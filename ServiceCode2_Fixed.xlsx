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69" firstSheet="0" activeTab="0" autoFilterDateGrouping="1"/>
  </bookViews>
  <sheets>
    <sheet xmlns:r="http://schemas.openxmlformats.org/officeDocument/2006/relationships" name="サービスコードマスタ（入力シート）" sheetId="1" state="visible" r:id="rId1"/>
    <sheet xmlns:r="http://schemas.openxmlformats.org/officeDocument/2006/relationships" name="サービスコードマスタ（入力シート説明）" sheetId="2" state="visible" r:id="rId2"/>
    <sheet xmlns:r="http://schemas.openxmlformats.org/officeDocument/2006/relationships" name="（サービスコードマスタ）入力チェックシート" sheetId="3" state="hidden" r:id="rId3"/>
    <sheet xmlns:r="http://schemas.openxmlformats.org/officeDocument/2006/relationships" name="補足_変換表" sheetId="4" state="hidden" r:id="rId4"/>
    <sheet xmlns:r="http://schemas.openxmlformats.org/officeDocument/2006/relationships" name="【参考】税金グループ（個別入力）" sheetId="5" state="visible" r:id="rId5"/>
    <sheet xmlns:r="http://schemas.openxmlformats.org/officeDocument/2006/relationships" name="【参考】税金グループ（個別入力以外）" sheetId="6" state="visible" r:id="rId6"/>
    <sheet xmlns:r="http://schemas.openxmlformats.org/officeDocument/2006/relationships" name="リスト" sheetId="7" state="hidden" r:id="rId7"/>
    <sheet xmlns:r="http://schemas.openxmlformats.org/officeDocument/2006/relationships" name="禁則文字一覧" sheetId="8" state="visible" r:id="rId8"/>
    <sheet xmlns:r="http://schemas.openxmlformats.org/officeDocument/2006/relationships" name="全銀協許容文字" sheetId="9" state="visible" r:id="rId9"/>
  </sheets>
  <externalReferences>
    <externalReference xmlns:r="http://schemas.openxmlformats.org/officeDocument/2006/relationships" r:id="rId10"/>
    <externalReference xmlns:r="http://schemas.openxmlformats.org/officeDocument/2006/relationships" r:id="rId11"/>
  </externalReferences>
  <definedNames>
    <definedName name="_Key1" hidden="1">'[2]5-1-2西支援　数値実績'!#REF!</definedName>
    <definedName name="_key2" hidden="1">'[2]5-1-2西支援　数値実績'!#REF!</definedName>
    <definedName name="_Order1" hidden="1">1</definedName>
    <definedName name="_Regression_X" hidden="1">#REF!</definedName>
    <definedName name="aaaa" hidden="1">#REF!</definedName>
    <definedName name="aaaaaaa" hidden="1">#REF!</definedName>
    <definedName name="AS2DocOpenMode" hidden="1">"AS2DocumentEdit"</definedName>
    <definedName name="HTML1_1" hidden="1">"[Book2]Sheet1!$A$1:$H$484"</definedName>
    <definedName name="HTML1_10" hidden="1">"obminfo@us.oracle.com"</definedName>
    <definedName name="HTML1_11" hidden="1">1</definedName>
    <definedName name="HTML1_12" hidden="1">"C:\Obm1\obm_html_doc\em_pl.htm"</definedName>
    <definedName name="HTML1_2" hidden="1">1</definedName>
    <definedName name="HTML1_3" hidden="1">"Oracle Business Models"</definedName>
    <definedName name="HTML1_4" hidden="1">"Process Library - Enterprise Management"</definedName>
    <definedName name="HTML1_5" hidden="1">""</definedName>
    <definedName name="HTML1_6" hidden="1">-4146</definedName>
    <definedName name="HTML1_7" hidden="1">-4146</definedName>
    <definedName name="HTML1_8" hidden="1">"7/6/99"</definedName>
    <definedName name="HTML1_9" hidden="1">"OBM Program Office"</definedName>
    <definedName name="HTMLCount" hidden="1">1</definedName>
    <definedName name="ｋｋ" hidden="1">#REF!</definedName>
    <definedName name="kkkk" hidden="1">'[2]5-1-2西支援　数値実績'!#REF!</definedName>
    <definedName name="SAPBEXhrIndnt" hidden="1">1</definedName>
    <definedName name="SAPBEXrevision" hidden="1">0</definedName>
    <definedName name="SAPBEXsysID" hidden="1">"JRP"</definedName>
    <definedName name="SAPBEXwbID" hidden="1">"3YZSOC36XHQDT0MW37G2NB63E"</definedName>
    <definedName name="ｓｓ" hidden="1">'[2]5-1-2西支援　数値実績'!#REF!</definedName>
    <definedName name="Z_F869EAA7_A1E2_4ED0_9AEB_257209E2FCA6_.wvu.FilterData" hidden="1">#REF!</definedName>
    <definedName name="あああ" hidden="1">'[2]5-1-2西支援　数値実績'!#REF!</definedName>
    <definedName name="ああああ" hidden="1">#REF!</definedName>
    <definedName name="あああああ" hidden="1">#REF!</definedName>
    <definedName name="いいい" hidden="1">#REF!</definedName>
    <definedName name="ううう" hidden="1">#REF!</definedName>
    <definedName name="おおお" hidden="1">#REF!</definedName>
    <definedName name="サンプル" hidden="1">#REF!</definedName>
    <definedName name="タスクドキュメント１" hidden="1">#REF!</definedName>
    <definedName name="関連表" hidden="1">#REF!</definedName>
    <definedName name="税金グループ">リスト!$A$2:$A$96</definedName>
    <definedName name="_xlnm._FilterDatabase" localSheetId="0" hidden="1">'サービスコードマスタ（入力シート）'!$A$6:$W$1550</definedName>
    <definedName name="_xlnm._FilterDatabase" localSheetId="1" hidden="1">'サービスコードマスタ（入力シート説明）'!$A$5:$Y$28</definedName>
    <definedName name="_Key1" localSheetId="4" hidden="1">'[2]5-1-2西支援　数値実績'!#REF!</definedName>
    <definedName name="_key2" localSheetId="4" hidden="1">'[2]5-1-2西支援　数値実績'!#REF!</definedName>
    <definedName name="_Regression_X" localSheetId="4" hidden="1">#REF!</definedName>
    <definedName name="aaaa" localSheetId="4" hidden="1">#REF!</definedName>
    <definedName name="aaaaaaa" localSheetId="4" hidden="1">#REF!</definedName>
    <definedName name="ｋｋ" localSheetId="4" hidden="1">#REF!</definedName>
    <definedName name="kkkk" localSheetId="4" hidden="1">'[2]5-1-2西支援　数値実績'!#REF!</definedName>
    <definedName name="ｓｓ" localSheetId="4" hidden="1">'[2]5-1-2西支援　数値実績'!#REF!</definedName>
    <definedName name="Z_F869EAA7_A1E2_4ED0_9AEB_257209E2FCA6_.wvu.FilterData" localSheetId="4" hidden="1">#REF!</definedName>
    <definedName name="あああ" localSheetId="4" hidden="1">'[2]5-1-2西支援　数値実績'!#REF!</definedName>
    <definedName name="ああああ" localSheetId="4" hidden="1">#REF!</definedName>
    <definedName name="あああああ" localSheetId="4" hidden="1">#REF!</definedName>
    <definedName name="いいい" localSheetId="4" hidden="1">#REF!</definedName>
    <definedName name="ううう" localSheetId="4" hidden="1">#REF!</definedName>
    <definedName name="おおお" localSheetId="4" hidden="1">#REF!</definedName>
    <definedName name="サンプル" localSheetId="4" hidden="1">#REF!</definedName>
    <definedName name="タスクドキュメント１" localSheetId="4" hidden="1">#REF!</definedName>
    <definedName name="関連表" localSheetId="4" hidden="1">#REF!</definedName>
    <definedName name="_Key1" localSheetId="5" hidden="1">'[2]5-1-2西支援　数値実績'!#REF!</definedName>
    <definedName name="_key2" localSheetId="5" hidden="1">'[2]5-1-2西支援　数値実績'!#REF!</definedName>
    <definedName name="_Regression_X" localSheetId="5" hidden="1">#REF!</definedName>
    <definedName name="aaaa" localSheetId="5" hidden="1">#REF!</definedName>
    <definedName name="aaaaaaa" localSheetId="5" hidden="1">#REF!</definedName>
    <definedName name="ｋｋ" localSheetId="5" hidden="1">#REF!</definedName>
    <definedName name="kkkk" localSheetId="5" hidden="1">'[2]5-1-2西支援　数値実績'!#REF!</definedName>
    <definedName name="ｓｓ" localSheetId="5" hidden="1">'[2]5-1-2西支援　数値実績'!#REF!</definedName>
    <definedName name="Z_F869EAA7_A1E2_4ED0_9AEB_257209E2FCA6_.wvu.FilterData" localSheetId="5" hidden="1">#REF!</definedName>
    <definedName name="あああ" localSheetId="5" hidden="1">'[2]5-1-2西支援　数値実績'!#REF!</definedName>
    <definedName name="ああああ" localSheetId="5" hidden="1">#REF!</definedName>
    <definedName name="あああああ" localSheetId="5" hidden="1">#REF!</definedName>
    <definedName name="いいい" localSheetId="5" hidden="1">#REF!</definedName>
    <definedName name="ううう" localSheetId="5" hidden="1">#REF!</definedName>
    <definedName name="おおお" localSheetId="5" hidden="1">#REF!</definedName>
    <definedName name="サンプル" localSheetId="5" hidden="1">#REF!</definedName>
    <definedName name="タスクドキュメント１" localSheetId="5" hidden="1">#REF!</definedName>
    <definedName name="関連表" localSheetId="5" hidden="1">#REF!</definedName>
    <definedName name="_Key1" localSheetId="6" hidden="1">'[2]5-1-2西支援　数値実績'!#REF!</definedName>
    <definedName name="_key2" localSheetId="6" hidden="1">'[2]5-1-2西支援　数値実績'!#REF!</definedName>
    <definedName name="_Regression_X" localSheetId="6" hidden="1">#REF!</definedName>
    <definedName name="aaaa" localSheetId="6" hidden="1">#REF!</definedName>
    <definedName name="aaaaaaa" localSheetId="6" hidden="1">#REF!</definedName>
    <definedName name="ｋｋ" localSheetId="6" hidden="1">#REF!</definedName>
    <definedName name="kkkk" localSheetId="6" hidden="1">'[2]5-1-2西支援　数値実績'!#REF!</definedName>
    <definedName name="ｓｓ" localSheetId="6" hidden="1">'[2]5-1-2西支援　数値実績'!#REF!</definedName>
    <definedName name="Z_F869EAA7_A1E2_4ED0_9AEB_257209E2FCA6_.wvu.FilterData" localSheetId="6" hidden="1">#REF!</definedName>
    <definedName name="あああ" localSheetId="6" hidden="1">'[2]5-1-2西支援　数値実績'!#REF!</definedName>
    <definedName name="ああああ" localSheetId="6" hidden="1">#REF!</definedName>
    <definedName name="あああああ" localSheetId="6" hidden="1">#REF!</definedName>
    <definedName name="いいい" localSheetId="6" hidden="1">#REF!</definedName>
    <definedName name="ううう" localSheetId="6" hidden="1">#REF!</definedName>
    <definedName name="おおお" localSheetId="6" hidden="1">#REF!</definedName>
    <definedName name="サンプル" localSheetId="6" hidden="1">#REF!</definedName>
    <definedName name="タスクドキュメント１" localSheetId="6" hidden="1">#REF!</definedName>
    <definedName name="関連表" localSheetId="6" hidden="1">#REF!</definedName>
  </definedNames>
  <calcPr calcId="191029" fullCalcOnLoad="1"/>
</workbook>
</file>

<file path=xl/styles.xml><?xml version="1.0" encoding="utf-8"?>
<styleSheet xmlns="http://schemas.openxmlformats.org/spreadsheetml/2006/main">
  <numFmts count="4">
    <numFmt numFmtId="164" formatCode="0_);[Red]\(0\)"/>
    <numFmt numFmtId="165" formatCode="#,##0;\-#,##0;&quot;-&quot;"/>
    <numFmt numFmtId="166" formatCode="&quot;SFr.&quot;#,##0;[Red]&quot;SFr.&quot;\-#,##0"/>
    <numFmt numFmtId="167" formatCode="#,##0.00;[Red]\(#,##0.00\)"/>
  </numFmts>
  <fonts count="56">
    <font>
      <name val="ＭＳ Ｐゴシック"/>
      <charset val="128"/>
      <family val="3"/>
      <sz val="11"/>
    </font>
    <font>
      <name val="ＭＳ Ｐゴシック"/>
      <charset val="128"/>
      <family val="2"/>
      <color theme="1"/>
      <sz val="11"/>
      <scheme val="minor"/>
    </font>
    <font>
      <name val="ＭＳ Ｐゴシック"/>
      <charset val="128"/>
      <family val="2"/>
      <color theme="1"/>
      <sz val="11"/>
      <scheme val="minor"/>
    </font>
    <font>
      <name val="ＭＳ Ｐゴシック"/>
      <charset val="128"/>
      <family val="2"/>
      <color theme="1"/>
      <sz val="11"/>
      <scheme val="minor"/>
    </font>
    <font>
      <name val="ＭＳ Ｐゴシック"/>
      <charset val="128"/>
      <family val="2"/>
      <color theme="1"/>
      <sz val="11"/>
      <scheme val="minor"/>
    </font>
    <font>
      <name val="ＭＳ Ｐゴシック"/>
      <charset val="128"/>
      <family val="3"/>
      <sz val="11"/>
    </font>
    <font>
      <name val="ＭＳ Ｐゴシック"/>
      <charset val="128"/>
      <family val="3"/>
      <sz val="6"/>
    </font>
    <font>
      <name val="ＭＳ Ｐゴシック"/>
      <charset val="128"/>
      <family val="3"/>
      <sz val="10"/>
    </font>
    <font>
      <name val="ＭＳ ゴシック"/>
      <charset val="128"/>
      <family val="3"/>
      <sz val="12"/>
    </font>
    <font>
      <name val="ＭＳ Ｐゴシック"/>
      <charset val="128"/>
      <family val="3"/>
      <b val="1"/>
      <color indexed="81"/>
      <sz val="9"/>
    </font>
    <font>
      <name val="Arial"/>
      <family val="2"/>
      <color indexed="8"/>
      <sz val="10"/>
    </font>
    <font>
      <name val="ＭＳ ゴシック"/>
      <charset val="128"/>
      <family val="3"/>
      <b val="1"/>
      <color indexed="9"/>
      <sz val="10"/>
    </font>
    <font>
      <name val="ＭＳ ゴシック"/>
      <charset val="128"/>
      <family val="3"/>
      <b val="1"/>
      <color indexed="9"/>
      <sz val="8"/>
    </font>
    <font>
      <name val="ＭＳ ゴシック"/>
      <charset val="128"/>
      <family val="3"/>
      <b val="1"/>
      <color indexed="8"/>
      <sz val="8"/>
    </font>
    <font>
      <name val="Times New Roman"/>
      <family val="1"/>
      <sz val="9"/>
    </font>
    <font>
      <name val="Arial"/>
      <family val="2"/>
      <b val="1"/>
      <sz val="12"/>
    </font>
    <font>
      <name val="ＭＳ ゴシック"/>
      <charset val="128"/>
      <family val="3"/>
      <b val="1"/>
      <color indexed="8"/>
      <sz val="10"/>
    </font>
    <font>
      <name val="Arial"/>
      <family val="2"/>
      <sz val="10"/>
    </font>
    <font>
      <name val="ＭＳ ゴシック"/>
      <charset val="128"/>
      <family val="3"/>
      <color indexed="8"/>
      <sz val="10"/>
    </font>
    <font>
      <name val="ＭＳ ゴシック"/>
      <charset val="128"/>
      <family val="3"/>
      <b val="1"/>
      <i val="1"/>
      <color indexed="8"/>
      <sz val="10"/>
    </font>
    <font>
      <name val="ＭＳ ゴシック"/>
      <charset val="128"/>
      <family val="3"/>
      <b val="1"/>
      <color indexed="17"/>
      <sz val="10"/>
    </font>
    <font>
      <name val="ＭＳ ゴシック"/>
      <charset val="128"/>
      <family val="3"/>
      <b val="1"/>
      <color indexed="13"/>
      <sz val="16"/>
    </font>
    <font>
      <name val="ＭＳ ゴシック"/>
      <charset val="128"/>
      <family val="3"/>
      <b val="1"/>
      <color indexed="8"/>
      <sz val="12"/>
    </font>
    <font>
      <name val="Century Schoolbook"/>
      <family val="1"/>
      <color indexed="16"/>
      <sz val="8"/>
    </font>
    <font>
      <name val="ＭＳ ゴシック"/>
      <charset val="128"/>
      <family val="3"/>
      <color indexed="8"/>
      <sz val="8"/>
    </font>
    <font>
      <name val="ＭＳ ゴシック"/>
      <charset val="128"/>
      <family val="3"/>
      <color indexed="12"/>
      <sz val="8"/>
    </font>
    <font>
      <name val="Times New Roman"/>
      <family val="1"/>
      <b val="1"/>
      <i val="1"/>
      <sz val="10"/>
    </font>
    <font>
      <name val="Helv"/>
      <family val="2"/>
      <b val="1"/>
      <sz val="11"/>
    </font>
    <font>
      <name val="ＭＳ ゴシック"/>
      <charset val="128"/>
      <family val="3"/>
      <sz val="10"/>
    </font>
    <font>
      <name val="Times New Roman"/>
      <family val="1"/>
      <b val="1"/>
      <sz val="9"/>
    </font>
    <font>
      <name val="Wingdings"/>
      <charset val="2"/>
      <color indexed="8"/>
      <sz val="8"/>
    </font>
    <font>
      <name val="OLF明朝"/>
      <charset val="128"/>
      <family val="3"/>
      <sz val="11"/>
    </font>
    <font>
      <name val="ＭＳ 明朝"/>
      <charset val="128"/>
      <family val="1"/>
      <sz val="14"/>
    </font>
    <font>
      <name val="ＭＳ Ｐゴシック"/>
      <charset val="128"/>
      <family val="3"/>
      <sz val="9"/>
    </font>
    <font>
      <name val="Osaka"/>
      <charset val="128"/>
      <family val="3"/>
      <sz val="10"/>
    </font>
    <font>
      <name val="ＭＳ ゴシック"/>
      <charset val="128"/>
      <family val="3"/>
      <sz val="11"/>
    </font>
    <font>
      <name val="ＭＳ Ｐゴシック"/>
      <charset val="128"/>
      <family val="3"/>
      <b val="1"/>
      <sz val="14"/>
      <u val="single"/>
    </font>
    <font>
      <name val="ＭＳ Ｐゴシック"/>
      <charset val="128"/>
      <family val="3"/>
      <b val="1"/>
      <sz val="11"/>
    </font>
    <font>
      <name val="ＭＳ Ｐゴシック"/>
      <charset val="128"/>
      <family val="3"/>
      <color indexed="81"/>
      <sz val="9"/>
    </font>
    <font>
      <name val="ＭＳ Ｐゴシック"/>
      <charset val="128"/>
      <family val="3"/>
      <sz val="18"/>
    </font>
    <font>
      <name val="ＭＳ Ｐゴシック"/>
      <charset val="128"/>
      <family val="3"/>
      <sz val="14"/>
    </font>
    <font>
      <name val="ＭＳ Ｐゴシック"/>
      <charset val="128"/>
      <family val="3"/>
      <sz val="16"/>
    </font>
    <font>
      <name val="ＭＳ Ｐゴシック"/>
      <charset val="128"/>
      <family val="3"/>
      <sz val="12"/>
    </font>
    <font>
      <name val="ＭＳ Ｐゴシック"/>
      <charset val="128"/>
      <family val="3"/>
      <color indexed="12"/>
      <sz val="11"/>
    </font>
    <font>
      <name val="ＭＳ Ｐゴシック"/>
      <family val="2"/>
      <color theme="1"/>
      <sz val="11"/>
      <scheme val="minor"/>
    </font>
    <font>
      <name val="ＭＳ Ｐゴシック"/>
      <charset val="128"/>
      <family val="3"/>
      <color rgb="FF000000"/>
      <sz val="11"/>
    </font>
    <font>
      <name val="Meiryo UI"/>
      <charset val="128"/>
      <family val="2"/>
      <color theme="1"/>
      <sz val="11"/>
    </font>
    <font>
      <name val="ＭＳ Ｐゴシック"/>
      <charset val="128"/>
      <family val="2"/>
      <sz val="6"/>
      <scheme val="minor"/>
    </font>
    <font>
      <name val="ＭＳ ゴシック"/>
      <charset val="128"/>
      <family val="2"/>
      <sz val="6"/>
    </font>
    <font>
      <name val="ＭＳ Ｐゴシック"/>
      <charset val="128"/>
      <family val="3"/>
      <color rgb="FFFF0000"/>
      <sz val="10"/>
    </font>
    <font>
      <name val="ＭＳ Ｐゴシック"/>
      <charset val="128"/>
      <family val="3"/>
      <color theme="1"/>
      <sz val="11"/>
      <scheme val="minor"/>
    </font>
    <font>
      <name val="ＭＳ Ｐゴシック"/>
      <charset val="128"/>
      <family val="3"/>
      <color theme="0"/>
      <sz val="10"/>
    </font>
    <font>
      <name val="Meiryo UI"/>
      <charset val="128"/>
      <family val="3"/>
      <sz val="10"/>
    </font>
    <font>
      <name val="Noto Sans JP"/>
      <charset val="134"/>
      <family val="3"/>
      <sz val="10"/>
    </font>
    <font>
      <name val="Meiryo UI"/>
      <charset val="128"/>
      <family val="2"/>
      <sz val="6"/>
    </font>
    <font>
      <name val="Meiryo UI"/>
      <charset val="128"/>
      <family val="3"/>
      <color rgb="FFFF0000"/>
      <sz val="10"/>
    </font>
  </fonts>
  <fills count="29">
    <fill>
      <patternFill/>
    </fill>
    <fill>
      <patternFill patternType="gray125"/>
    </fill>
    <fill>
      <patternFill patternType="solid">
        <fgColor indexed="12"/>
      </patternFill>
    </fill>
    <fill>
      <patternFill patternType="solid">
        <fgColor indexed="9"/>
      </patternFill>
    </fill>
    <fill>
      <patternFill patternType="solid">
        <fgColor indexed="13"/>
      </patternFill>
    </fill>
    <fill>
      <patternFill patternType="solid">
        <fgColor indexed="17"/>
      </patternFill>
    </fill>
    <fill>
      <patternFill patternType="solid">
        <fgColor indexed="43"/>
      </patternFill>
    </fill>
    <fill>
      <patternFill patternType="solid">
        <fgColor indexed="22"/>
      </patternFill>
    </fill>
    <fill>
      <patternFill patternType="solid">
        <fgColor indexed="43"/>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indexed="9"/>
        <bgColor indexed="64"/>
      </patternFill>
    </fill>
    <fill>
      <patternFill patternType="solid">
        <fgColor indexed="11"/>
        <bgColor indexed="64"/>
      </patternFill>
    </fill>
    <fill>
      <patternFill patternType="solid">
        <fgColor indexed="15"/>
        <bgColor indexed="64"/>
      </patternFill>
    </fill>
    <fill>
      <patternFill patternType="solid">
        <fgColor indexed="23"/>
        <bgColor indexed="64"/>
      </patternFill>
    </fill>
    <fill>
      <patternFill patternType="solid">
        <fgColor indexed="46"/>
        <bgColor indexed="64"/>
      </patternFill>
    </fill>
    <fill>
      <patternFill patternType="solid">
        <fgColor indexed="55"/>
        <bgColor indexed="64"/>
      </patternFill>
    </fill>
    <fill>
      <patternFill patternType="solid">
        <fgColor rgb="FFFFFF99"/>
        <bgColor indexed="64"/>
      </patternFill>
    </fill>
    <fill>
      <patternFill patternType="solid">
        <fgColor rgb="FFFFFF00"/>
        <bgColor indexed="64"/>
      </patternFill>
    </fill>
    <fill>
      <patternFill patternType="solid">
        <fgColor rgb="FFCCFFCC"/>
        <bgColor indexed="64"/>
      </patternFill>
    </fill>
    <fill>
      <patternFill patternType="solid">
        <fgColor theme="4" tint="0.7999816888943144"/>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theme="5" tint="0.7999816888943144"/>
        <bgColor indexed="64"/>
      </patternFill>
    </fill>
    <fill>
      <patternFill patternType="solid">
        <fgColor theme="6" tint="0.5999938962981048"/>
        <bgColor indexed="64"/>
      </patternFill>
    </fill>
    <fill>
      <patternFill patternType="solid">
        <fgColor theme="7" tint="0.7999816888943144"/>
        <bgColor indexed="64"/>
      </patternFill>
    </fill>
    <fill>
      <patternFill patternType="solid">
        <fgColor theme="5" tint="0.3999755851924192"/>
        <bgColor indexed="64"/>
      </patternFill>
    </fill>
    <fill>
      <patternFill patternType="solid">
        <fgColor theme="0"/>
        <bgColor indexed="64"/>
      </patternFill>
    </fill>
  </fills>
  <borders count="85">
    <border>
      <left/>
      <right/>
      <top/>
      <bottom/>
      <diagonal/>
    </border>
    <border>
      <left style="thin">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hair">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double">
        <color indexed="64"/>
      </top>
      <bottom style="hair">
        <color indexed="64"/>
      </bottom>
      <diagonal/>
    </border>
    <border>
      <left style="medium">
        <color indexed="64"/>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double">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auto="1"/>
      </left>
      <right/>
      <top/>
      <bottom style="medium">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s>
  <cellStyleXfs count="74">
    <xf numFmtId="0" fontId="5" fillId="0" borderId="0"/>
    <xf numFmtId="0" fontId="34" fillId="0" borderId="1" applyAlignment="1">
      <alignment horizontal="left" vertical="center"/>
    </xf>
    <xf numFmtId="165" fontId="10" fillId="0" borderId="0"/>
    <xf numFmtId="0" fontId="11" fillId="2" borderId="0" applyAlignment="1">
      <alignment horizontal="left"/>
    </xf>
    <xf numFmtId="0" fontId="12" fillId="2" borderId="0" applyAlignment="1">
      <alignment horizontal="right"/>
    </xf>
    <xf numFmtId="0" fontId="13" fillId="3" borderId="0" applyAlignment="1">
      <alignment horizontal="center"/>
    </xf>
    <xf numFmtId="0" fontId="12" fillId="2" borderId="0" applyAlignment="1">
      <alignment horizontal="right"/>
    </xf>
    <xf numFmtId="0" fontId="13" fillId="3" borderId="0" applyAlignment="1">
      <alignment horizontal="left"/>
    </xf>
    <xf numFmtId="0" fontId="14" fillId="0" borderId="0" applyAlignment="1">
      <alignment horizontal="left"/>
    </xf>
    <xf numFmtId="0" fontId="15" fillId="0" borderId="2" applyAlignment="1">
      <alignment horizontal="left" vertical="center"/>
    </xf>
    <xf numFmtId="0" fontId="15" fillId="0" borderId="3" applyAlignment="1">
      <alignment horizontal="left" vertical="center"/>
    </xf>
    <xf numFmtId="0" fontId="11" fillId="2" borderId="0" applyAlignment="1">
      <alignment horizontal="left"/>
    </xf>
    <xf numFmtId="0" fontId="16" fillId="3" borderId="0" applyAlignment="1">
      <alignment horizontal="left"/>
    </xf>
    <xf numFmtId="166" fontId="5" fillId="0" borderId="0"/>
    <xf numFmtId="0" fontId="17" fillId="0" borderId="0"/>
    <xf numFmtId="167" fontId="18" fillId="3" borderId="0" applyAlignment="1">
      <alignment horizontal="right"/>
    </xf>
    <xf numFmtId="0" fontId="19" fillId="4" borderId="0" applyAlignment="1">
      <alignment horizontal="center"/>
    </xf>
    <xf numFmtId="0" fontId="11" fillId="5" borderId="0"/>
    <xf numFmtId="0" fontId="20" fillId="3" borderId="0" applyAlignment="1">
      <alignment horizontal="centerContinuous"/>
    </xf>
    <xf numFmtId="0" fontId="21" fillId="5" borderId="0" applyAlignment="1">
      <alignment horizontal="centerContinuous"/>
    </xf>
    <xf numFmtId="4" fontId="14" fillId="0" borderId="0" applyAlignment="1">
      <alignment horizontal="right"/>
    </xf>
    <xf numFmtId="0" fontId="16" fillId="6" borderId="0" applyAlignment="1">
      <alignment horizontal="center"/>
    </xf>
    <xf numFmtId="49" fontId="22" fillId="3" borderId="0" applyAlignment="1">
      <alignment horizontal="center"/>
    </xf>
    <xf numFmtId="4" fontId="23" fillId="0" borderId="0" applyAlignment="1">
      <alignment horizontal="right"/>
    </xf>
    <xf numFmtId="0" fontId="12" fillId="2" borderId="0" applyAlignment="1">
      <alignment horizontal="center"/>
    </xf>
    <xf numFmtId="0" fontId="12" fillId="2" borderId="0" applyAlignment="1">
      <alignment horizontal="centerContinuous"/>
    </xf>
    <xf numFmtId="0" fontId="24" fillId="3" borderId="0" applyAlignment="1">
      <alignment horizontal="left"/>
    </xf>
    <xf numFmtId="49" fontId="24" fillId="3" borderId="0" applyAlignment="1">
      <alignment horizontal="center"/>
    </xf>
    <xf numFmtId="0" fontId="11" fillId="2" borderId="0" applyAlignment="1">
      <alignment horizontal="left"/>
    </xf>
    <xf numFmtId="49" fontId="24" fillId="3" borderId="0" applyAlignment="1">
      <alignment horizontal="left"/>
    </xf>
    <xf numFmtId="0" fontId="11" fillId="2" borderId="0" applyAlignment="1">
      <alignment horizontal="centerContinuous"/>
    </xf>
    <xf numFmtId="0" fontId="11" fillId="2" borderId="0" applyAlignment="1">
      <alignment horizontal="right"/>
    </xf>
    <xf numFmtId="49" fontId="16" fillId="3" borderId="0" applyAlignment="1">
      <alignment horizontal="left"/>
    </xf>
    <xf numFmtId="0" fontId="12" fillId="2" borderId="0" applyAlignment="1">
      <alignment horizontal="right"/>
    </xf>
    <xf numFmtId="0" fontId="24" fillId="7" borderId="0" applyAlignment="1">
      <alignment horizontal="center"/>
    </xf>
    <xf numFmtId="0" fontId="25" fillId="7" borderId="0" applyAlignment="1">
      <alignment horizontal="center"/>
    </xf>
    <xf numFmtId="0" fontId="26" fillId="0" borderId="0" applyAlignment="1">
      <alignment horizontal="left"/>
    </xf>
    <xf numFmtId="0" fontId="27" fillId="0" borderId="0"/>
    <xf numFmtId="0" fontId="28" fillId="0" borderId="0" applyAlignment="1">
      <alignment wrapText="1"/>
    </xf>
    <xf numFmtId="0" fontId="29" fillId="0" borderId="0" applyAlignment="1">
      <alignment horizontal="center"/>
    </xf>
    <xf numFmtId="0" fontId="30" fillId="3" borderId="0" applyAlignment="1">
      <alignment horizontal="center"/>
    </xf>
    <xf numFmtId="0" fontId="8" fillId="0" borderId="4" applyAlignment="1">
      <alignment vertical="center"/>
    </xf>
    <xf numFmtId="0" fontId="31" fillId="0" borderId="0"/>
    <xf numFmtId="0" fontId="5" fillId="0" borderId="0"/>
    <xf numFmtId="0" fontId="5" fillId="0" borderId="0"/>
    <xf numFmtId="0" fontId="5" fillId="0" borderId="0"/>
    <xf numFmtId="0" fontId="5" fillId="0" borderId="0"/>
    <xf numFmtId="3" fontId="35" fillId="0" borderId="0" applyAlignment="1">
      <alignment vertical="center"/>
    </xf>
    <xf numFmtId="0" fontId="28" fillId="0" borderId="0"/>
    <xf numFmtId="0" fontId="5" fillId="0" borderId="0" applyAlignment="1">
      <alignment vertical="center"/>
    </xf>
    <xf numFmtId="0" fontId="5" fillId="0" borderId="0" applyAlignment="1">
      <alignment vertical="center"/>
    </xf>
    <xf numFmtId="0" fontId="5" fillId="0" borderId="0" applyAlignment="1">
      <alignment vertical="center"/>
    </xf>
    <xf numFmtId="0" fontId="5" fillId="0" borderId="0" applyAlignment="1">
      <alignment vertical="center"/>
    </xf>
    <xf numFmtId="0" fontId="7" fillId="0" borderId="0" applyAlignment="1">
      <alignment vertical="center"/>
    </xf>
    <xf numFmtId="0" fontId="5" fillId="0" borderId="0"/>
    <xf numFmtId="0" fontId="7" fillId="0" borderId="0"/>
    <xf numFmtId="0" fontId="5" fillId="0" borderId="0" applyAlignment="1">
      <alignment vertical="center"/>
    </xf>
    <xf numFmtId="0" fontId="5" fillId="0" borderId="0"/>
    <xf numFmtId="0" fontId="32" fillId="0" borderId="0"/>
    <xf numFmtId="0" fontId="5" fillId="0" borderId="0"/>
    <xf numFmtId="0" fontId="5" fillId="0" borderId="0" applyAlignment="1">
      <alignment vertical="center"/>
    </xf>
    <xf numFmtId="0" fontId="44" fillId="0" borderId="0"/>
    <xf numFmtId="0" fontId="4" fillId="0" borderId="0" applyAlignment="1">
      <alignment vertical="center"/>
    </xf>
    <xf numFmtId="0" fontId="46" fillId="0" borderId="0" applyAlignment="1">
      <alignment vertical="center"/>
    </xf>
    <xf numFmtId="0" fontId="4" fillId="0" borderId="0" applyAlignment="1">
      <alignment vertical="center"/>
    </xf>
    <xf numFmtId="0" fontId="5"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5" fillId="0" borderId="0"/>
    <xf numFmtId="0" fontId="7" fillId="0" borderId="0"/>
    <xf numFmtId="0" fontId="5" fillId="0" borderId="0"/>
    <xf numFmtId="0" fontId="50" fillId="0" borderId="0" applyAlignment="1">
      <alignment vertical="center"/>
    </xf>
    <xf numFmtId="0" fontId="50" fillId="0" borderId="0" applyAlignment="1">
      <alignment vertical="center"/>
    </xf>
  </cellStyleXfs>
  <cellXfs count="348">
    <xf numFmtId="0" fontId="0" fillId="0" borderId="0" pivotButton="0" quotePrefix="0" xfId="0"/>
    <xf numFmtId="0" fontId="7" fillId="0" borderId="0" pivotButton="0" quotePrefix="0" xfId="0"/>
    <xf numFmtId="0" fontId="0" fillId="0" borderId="0" applyAlignment="1" pivotButton="0" quotePrefix="0" xfId="0">
      <alignment horizontal="center" vertical="center"/>
    </xf>
    <xf numFmtId="0" fontId="36" fillId="0" borderId="0" pivotButton="0" quotePrefix="0" xfId="0"/>
    <xf numFmtId="0" fontId="5" fillId="0" borderId="0" pivotButton="0" quotePrefix="0" xfId="0"/>
    <xf numFmtId="0" fontId="37" fillId="10" borderId="8" applyAlignment="1" pivotButton="0" quotePrefix="0" xfId="0">
      <alignment horizontal="center" vertical="center"/>
    </xf>
    <xf numFmtId="0" fontId="5" fillId="0" borderId="8" pivotButton="0" quotePrefix="0" xfId="0"/>
    <xf numFmtId="0" fontId="5" fillId="0" borderId="8" pivotButton="0" quotePrefix="1" xfId="0"/>
    <xf numFmtId="0" fontId="5" fillId="0" borderId="8" applyAlignment="1" pivotButton="0" quotePrefix="0" xfId="0">
      <alignment vertical="center" wrapText="1"/>
    </xf>
    <xf numFmtId="0" fontId="7" fillId="0" borderId="0" applyAlignment="1" pivotButton="0" quotePrefix="0" xfId="53">
      <alignment vertical="center"/>
    </xf>
    <xf numFmtId="0" fontId="39" fillId="0" borderId="0" applyAlignment="1" pivotButton="0" quotePrefix="0" xfId="53">
      <alignment horizontal="left" vertical="center"/>
    </xf>
    <xf numFmtId="0" fontId="7" fillId="0" borderId="0" applyAlignment="1" pivotButton="0" quotePrefix="0" xfId="53">
      <alignment horizontal="center" vertical="center"/>
    </xf>
    <xf numFmtId="0" fontId="7" fillId="11" borderId="10" applyAlignment="1" pivotButton="0" quotePrefix="0" xfId="53">
      <alignment horizontal="center" vertical="center"/>
    </xf>
    <xf numFmtId="0" fontId="7" fillId="11" borderId="11" applyAlignment="1" pivotButton="0" quotePrefix="0" xfId="53">
      <alignment horizontal="center" vertical="center"/>
    </xf>
    <xf numFmtId="0" fontId="40" fillId="0" borderId="12" applyAlignment="1" pivotButton="0" quotePrefix="0" xfId="53">
      <alignment horizontal="center" vertical="center"/>
    </xf>
    <xf numFmtId="0" fontId="40" fillId="0" borderId="13" applyAlignment="1" pivotButton="0" quotePrefix="0" xfId="53">
      <alignment horizontal="center" vertical="center"/>
    </xf>
    <xf numFmtId="0" fontId="40" fillId="0" borderId="14" applyAlignment="1" pivotButton="0" quotePrefix="0" xfId="53">
      <alignment horizontal="center" vertical="center"/>
    </xf>
    <xf numFmtId="0" fontId="41" fillId="0" borderId="15" applyAlignment="1" pivotButton="0" quotePrefix="0" xfId="53">
      <alignment horizontal="center" vertical="center"/>
    </xf>
    <xf numFmtId="0" fontId="39" fillId="0" borderId="0" applyAlignment="1" pivotButton="0" quotePrefix="0" xfId="53">
      <alignment vertical="center"/>
    </xf>
    <xf numFmtId="0" fontId="40" fillId="0" borderId="16" applyAlignment="1" pivotButton="0" quotePrefix="0" xfId="53">
      <alignment horizontal="center" vertical="center"/>
    </xf>
    <xf numFmtId="0" fontId="40" fillId="0" borderId="17" applyAlignment="1" pivotButton="0" quotePrefix="0" xfId="53">
      <alignment horizontal="center" vertical="center"/>
    </xf>
    <xf numFmtId="0" fontId="40" fillId="0" borderId="15" applyAlignment="1" pivotButton="0" quotePrefix="0" xfId="53">
      <alignment horizontal="center" vertical="center"/>
    </xf>
    <xf numFmtId="0" fontId="7" fillId="0" borderId="12" applyAlignment="1" pivotButton="0" quotePrefix="0" xfId="53">
      <alignment horizontal="center" vertical="center"/>
    </xf>
    <xf numFmtId="0" fontId="7" fillId="0" borderId="13" applyAlignment="1" pivotButton="0" quotePrefix="0" xfId="53">
      <alignment horizontal="center" vertical="center"/>
    </xf>
    <xf numFmtId="0" fontId="7" fillId="0" borderId="16" applyAlignment="1" pivotButton="0" quotePrefix="0" xfId="53">
      <alignment horizontal="center" vertical="center"/>
    </xf>
    <xf numFmtId="0" fontId="7" fillId="0" borderId="17" applyAlignment="1" pivotButton="0" quotePrefix="0" xfId="53">
      <alignment horizontal="center" vertical="center"/>
    </xf>
    <xf numFmtId="0" fontId="7" fillId="0" borderId="14" applyAlignment="1" pivotButton="0" quotePrefix="0" xfId="53">
      <alignment horizontal="center" vertical="center"/>
    </xf>
    <xf numFmtId="0" fontId="7" fillId="0" borderId="15" applyAlignment="1" pivotButton="0" quotePrefix="0" xfId="53">
      <alignment horizontal="center" vertical="center"/>
    </xf>
    <xf numFmtId="49" fontId="41" fillId="12" borderId="15" applyAlignment="1" pivotButton="0" quotePrefix="0" xfId="0">
      <alignment horizontal="center" vertical="center"/>
    </xf>
    <xf numFmtId="49" fontId="33" fillId="12" borderId="0" applyAlignment="1" pivotButton="0" quotePrefix="0" xfId="56">
      <alignment horizontal="left" vertical="center"/>
    </xf>
    <xf numFmtId="49" fontId="33" fillId="12" borderId="0" applyAlignment="1" pivotButton="0" quotePrefix="0" xfId="0">
      <alignment horizontal="left" vertical="center"/>
    </xf>
    <xf numFmtId="164" fontId="33" fillId="12" borderId="0" applyAlignment="1" pivotButton="0" quotePrefix="0" xfId="0">
      <alignment horizontal="left" vertical="center"/>
    </xf>
    <xf numFmtId="164" fontId="33" fillId="12" borderId="0" applyAlignment="1" pivotButton="0" quotePrefix="0" xfId="56">
      <alignment horizontal="left" vertical="center"/>
    </xf>
    <xf numFmtId="0" fontId="7" fillId="0" borderId="18" applyAlignment="1" pivotButton="0" quotePrefix="0" xfId="53">
      <alignment horizontal="center" vertical="center"/>
    </xf>
    <xf numFmtId="0" fontId="7" fillId="0" borderId="19" applyAlignment="1" pivotButton="0" quotePrefix="0" xfId="53">
      <alignment horizontal="center" vertical="center"/>
    </xf>
    <xf numFmtId="164" fontId="7" fillId="0" borderId="0" applyAlignment="1" pivotButton="0" quotePrefix="0" xfId="53">
      <alignment vertical="center"/>
    </xf>
    <xf numFmtId="0" fontId="42" fillId="0" borderId="0" applyAlignment="1" pivotButton="0" quotePrefix="0" xfId="53">
      <alignment horizontal="left" vertical="center"/>
    </xf>
    <xf numFmtId="49" fontId="5" fillId="8" borderId="8" applyAlignment="1" pivotButton="0" quotePrefix="0" xfId="50">
      <alignment horizontal="center" vertical="center"/>
    </xf>
    <xf numFmtId="0" fontId="5" fillId="8" borderId="8" applyAlignment="1" pivotButton="0" quotePrefix="0" xfId="49">
      <alignment horizontal="center" vertical="center" textRotation="255" wrapText="1"/>
    </xf>
    <xf numFmtId="0" fontId="5" fillId="0" borderId="0" applyAlignment="1" pivotButton="0" quotePrefix="0" xfId="51">
      <alignment horizontal="center" vertical="center"/>
    </xf>
    <xf numFmtId="0" fontId="5" fillId="0" borderId="0" applyAlignment="1" pivotButton="0" quotePrefix="0" xfId="52">
      <alignment horizontal="center" vertical="center"/>
    </xf>
    <xf numFmtId="0" fontId="5" fillId="0" borderId="0" applyAlignment="1" pivotButton="0" quotePrefix="0" xfId="51">
      <alignment vertical="center"/>
    </xf>
    <xf numFmtId="0" fontId="5" fillId="0" borderId="23" applyAlignment="1" pivotButton="0" quotePrefix="0" xfId="0">
      <alignment horizontal="center" vertical="center"/>
    </xf>
    <xf numFmtId="0" fontId="0" fillId="8" borderId="24" applyAlignment="1" pivotButton="0" quotePrefix="0" xfId="0">
      <alignment horizontal="center" vertical="center"/>
    </xf>
    <xf numFmtId="49" fontId="0" fillId="8" borderId="8" applyAlignment="1" pivotButton="0" quotePrefix="0" xfId="0">
      <alignment horizontal="center" vertical="center"/>
    </xf>
    <xf numFmtId="0" fontId="0" fillId="11" borderId="8" applyAlignment="1" pivotButton="0" quotePrefix="0" xfId="0">
      <alignment horizontal="center" vertical="center"/>
    </xf>
    <xf numFmtId="0" fontId="0" fillId="16" borderId="8" applyAlignment="1" pivotButton="0" quotePrefix="0" xfId="0">
      <alignment horizontal="center"/>
    </xf>
    <xf numFmtId="0" fontId="0" fillId="0" borderId="25" applyAlignment="1" pivotButton="0" quotePrefix="0" xfId="0">
      <alignment horizontal="center" vertical="center"/>
    </xf>
    <xf numFmtId="0" fontId="0" fillId="0" borderId="26" applyAlignment="1" pivotButton="0" quotePrefix="0" xfId="0">
      <alignment horizontal="center" vertical="center"/>
    </xf>
    <xf numFmtId="0" fontId="0" fillId="0" borderId="27" applyAlignment="1" pivotButton="0" quotePrefix="0" xfId="0">
      <alignment horizontal="center" vertical="center" textRotation="255"/>
    </xf>
    <xf numFmtId="0" fontId="0" fillId="8" borderId="21" applyAlignment="1" pivotButton="0" quotePrefix="0" xfId="0">
      <alignment vertical="center" wrapText="1"/>
    </xf>
    <xf numFmtId="0" fontId="0" fillId="8" borderId="21" applyAlignment="1" pivotButton="0" quotePrefix="0" xfId="0">
      <alignment horizontal="center" vertical="center" wrapText="1"/>
    </xf>
    <xf numFmtId="49" fontId="0" fillId="8" borderId="21" applyAlignment="1" pivotButton="0" quotePrefix="0" xfId="0">
      <alignment horizontal="center" vertical="center" wrapText="1"/>
    </xf>
    <xf numFmtId="0" fontId="0" fillId="8" borderId="21" applyAlignment="1" pivotButton="0" quotePrefix="0" xfId="0">
      <alignment horizontal="center" vertical="center" textRotation="255" wrapText="1"/>
    </xf>
    <xf numFmtId="0" fontId="0" fillId="8" borderId="8" applyAlignment="1" pivotButton="0" quotePrefix="0" xfId="0">
      <alignment horizontal="center" vertical="center" textRotation="255"/>
    </xf>
    <xf numFmtId="0" fontId="0" fillId="9" borderId="8" applyAlignment="1" pivotButton="0" quotePrefix="0" xfId="0">
      <alignment horizontal="center" vertical="center" textRotation="255" wrapText="1"/>
    </xf>
    <xf numFmtId="0" fontId="0" fillId="8" borderId="8" applyAlignment="1" pivotButton="0" quotePrefix="0" xfId="0">
      <alignment horizontal="center" vertical="center" textRotation="255" wrapText="1"/>
    </xf>
    <xf numFmtId="0" fontId="5" fillId="9" borderId="8" applyAlignment="1" pivotButton="0" quotePrefix="0" xfId="49">
      <alignment horizontal="center" vertical="center" textRotation="255" wrapText="1"/>
    </xf>
    <xf numFmtId="0" fontId="7" fillId="11" borderId="8" applyAlignment="1" pivotButton="0" quotePrefix="0" xfId="0">
      <alignment horizontal="center" vertical="center" textRotation="255"/>
    </xf>
    <xf numFmtId="0" fontId="7" fillId="15" borderId="8" applyAlignment="1" pivotButton="0" quotePrefix="0" xfId="0">
      <alignment horizontal="center" vertical="center" textRotation="255" wrapText="1"/>
    </xf>
    <xf numFmtId="0" fontId="7" fillId="11" borderId="8" applyAlignment="1" pivotButton="0" quotePrefix="0" xfId="0">
      <alignment horizontal="center" vertical="center" textRotation="255" wrapText="1"/>
    </xf>
    <xf numFmtId="0" fontId="0" fillId="0" borderId="8" applyAlignment="1" pivotButton="0" quotePrefix="0" xfId="0">
      <alignment horizontal="center" vertical="center" readingOrder="1"/>
    </xf>
    <xf numFmtId="0" fontId="7" fillId="11" borderId="28" applyAlignment="1" pivotButton="0" quotePrefix="0" xfId="0">
      <alignment horizontal="center" vertical="center" textRotation="255"/>
    </xf>
    <xf numFmtId="0" fontId="7" fillId="11" borderId="29" applyAlignment="1" pivotButton="0" quotePrefix="0" xfId="0">
      <alignment horizontal="center" vertical="center" textRotation="255"/>
    </xf>
    <xf numFmtId="0" fontId="7" fillId="16" borderId="21" applyAlignment="1" pivotButton="0" quotePrefix="0" xfId="0">
      <alignment horizontal="center" vertical="center" textRotation="255" wrapText="1"/>
    </xf>
    <xf numFmtId="0" fontId="7" fillId="16" borderId="21" applyAlignment="1" pivotButton="0" quotePrefix="0" xfId="0">
      <alignment horizontal="center" vertical="center" textRotation="255"/>
    </xf>
    <xf numFmtId="0" fontId="43" fillId="10" borderId="23" applyAlignment="1" pivotButton="0" quotePrefix="0" xfId="0">
      <alignment vertical="top"/>
    </xf>
    <xf numFmtId="49" fontId="5" fillId="0" borderId="23" applyAlignment="1" pivotButton="0" quotePrefix="0" xfId="0">
      <alignment vertical="center" wrapText="1"/>
    </xf>
    <xf numFmtId="0" fontId="5" fillId="0" borderId="23" pivotButton="0" quotePrefix="0" xfId="0"/>
    <xf numFmtId="49" fontId="5" fillId="0" borderId="23" applyAlignment="1" pivotButton="0" quotePrefix="0" xfId="0">
      <alignment vertical="center"/>
    </xf>
    <xf numFmtId="49" fontId="5" fillId="0" borderId="23" applyAlignment="1" pivotButton="0" quotePrefix="1" xfId="0">
      <alignment vertical="center"/>
    </xf>
    <xf numFmtId="49" fontId="0" fillId="0" borderId="0" pivotButton="0" quotePrefix="0" xfId="0"/>
    <xf numFmtId="0" fontId="0" fillId="17" borderId="0" applyAlignment="1" pivotButton="0" quotePrefix="0" xfId="0">
      <alignment vertical="center"/>
    </xf>
    <xf numFmtId="0" fontId="0" fillId="0" borderId="0" applyAlignment="1" pivotButton="0" quotePrefix="0" xfId="0">
      <alignment vertical="center"/>
    </xf>
    <xf numFmtId="0" fontId="0" fillId="13" borderId="0" applyAlignment="1" pivotButton="0" quotePrefix="0" xfId="0">
      <alignment horizontal="center" vertical="center"/>
    </xf>
    <xf numFmtId="0" fontId="0" fillId="0" borderId="0" applyAlignment="1" pivotButton="0" quotePrefix="0" xfId="0">
      <alignment horizontal="center"/>
    </xf>
    <xf numFmtId="0" fontId="7" fillId="0" borderId="0" applyAlignment="1" pivotButton="0" quotePrefix="0" xfId="0">
      <alignment horizontal="left" vertical="top"/>
    </xf>
    <xf numFmtId="49" fontId="7" fillId="0" borderId="0" applyAlignment="1" pivotButton="0" quotePrefix="0" xfId="0">
      <alignment horizontal="left"/>
    </xf>
    <xf numFmtId="49" fontId="7" fillId="0" borderId="23" applyAlignment="1" pivotButton="0" quotePrefix="0" xfId="57">
      <alignment horizontal="left" vertical="center"/>
    </xf>
    <xf numFmtId="0" fontId="5" fillId="0" borderId="33" applyAlignment="1" pivotButton="0" quotePrefix="0" xfId="0">
      <alignment horizontal="center" vertical="center"/>
    </xf>
    <xf numFmtId="0" fontId="43" fillId="10" borderId="33" applyAlignment="1" pivotButton="0" quotePrefix="0" xfId="0">
      <alignment vertical="top"/>
    </xf>
    <xf numFmtId="49" fontId="5" fillId="0" borderId="33" applyAlignment="1" pivotButton="0" quotePrefix="0" xfId="0">
      <alignment vertical="center" wrapText="1"/>
    </xf>
    <xf numFmtId="0" fontId="5" fillId="0" borderId="33" pivotButton="0" quotePrefix="0" xfId="0"/>
    <xf numFmtId="49" fontId="5" fillId="0" borderId="33" applyAlignment="1" pivotButton="0" quotePrefix="0" xfId="0">
      <alignment vertical="center"/>
    </xf>
    <xf numFmtId="49" fontId="5" fillId="0" borderId="33" applyAlignment="1" pivotButton="0" quotePrefix="1" xfId="0">
      <alignment vertical="center"/>
    </xf>
    <xf numFmtId="49" fontId="7" fillId="0" borderId="0" applyAlignment="1" applyProtection="1" pivotButton="0" quotePrefix="0" xfId="0">
      <alignment horizontal="left"/>
      <protection locked="0" hidden="0"/>
    </xf>
    <xf numFmtId="49" fontId="0" fillId="18" borderId="8" applyAlignment="1" pivotButton="0" quotePrefix="0" xfId="0">
      <alignment horizontal="center" vertical="center"/>
    </xf>
    <xf numFmtId="0" fontId="0" fillId="18" borderId="8" applyAlignment="1" pivotButton="0" quotePrefix="0" xfId="0">
      <alignment horizontal="center" vertical="center" textRotation="255"/>
    </xf>
    <xf numFmtId="49" fontId="7" fillId="0" borderId="0" pivotButton="0" quotePrefix="0" xfId="0"/>
    <xf numFmtId="49" fontId="7" fillId="0" borderId="0" applyAlignment="1" pivotButton="0" quotePrefix="0" xfId="0">
      <alignment vertical="top"/>
    </xf>
    <xf numFmtId="49" fontId="7" fillId="0" borderId="0" applyAlignment="1" pivotButton="0" quotePrefix="0" xfId="0">
      <alignment vertical="top" wrapText="1"/>
    </xf>
    <xf numFmtId="49" fontId="7" fillId="0" borderId="0" applyAlignment="1" pivotButton="0" quotePrefix="0" xfId="0">
      <alignment horizontal="center"/>
    </xf>
    <xf numFmtId="0" fontId="7" fillId="0" borderId="7" applyAlignment="1" pivotButton="0" quotePrefix="0" xfId="0">
      <alignment horizontal="center"/>
    </xf>
    <xf numFmtId="49" fontId="7" fillId="0" borderId="5" applyAlignment="1" pivotButton="0" quotePrefix="0" xfId="0">
      <alignment horizontal="center"/>
    </xf>
    <xf numFmtId="49" fontId="7" fillId="12" borderId="5" applyAlignment="1" pivotButton="0" quotePrefix="0" xfId="0">
      <alignment horizontal="center"/>
    </xf>
    <xf numFmtId="49" fontId="7" fillId="9" borderId="5" applyAlignment="1" pivotButton="0" quotePrefix="0" xfId="0">
      <alignment horizontal="center"/>
    </xf>
    <xf numFmtId="49" fontId="7" fillId="10" borderId="5" applyAlignment="1" pivotButton="0" quotePrefix="0" xfId="0">
      <alignment horizontal="center"/>
    </xf>
    <xf numFmtId="49" fontId="7" fillId="10" borderId="5" applyAlignment="1" pivotButton="0" quotePrefix="0" xfId="0">
      <alignment horizontal="center" vertical="top" wrapText="1"/>
    </xf>
    <xf numFmtId="49" fontId="7" fillId="0" borderId="5" applyAlignment="1" pivotButton="0" quotePrefix="0" xfId="0">
      <alignment horizontal="center" vertical="top" wrapText="1"/>
    </xf>
    <xf numFmtId="49" fontId="7" fillId="0" borderId="5" applyAlignment="1" pivotButton="0" quotePrefix="0" xfId="0">
      <alignment horizontal="center" vertical="top"/>
    </xf>
    <xf numFmtId="49" fontId="7" fillId="0" borderId="6" applyAlignment="1" pivotButton="0" quotePrefix="0" xfId="0">
      <alignment horizontal="center"/>
    </xf>
    <xf numFmtId="0" fontId="7" fillId="0" borderId="31" applyAlignment="1" pivotButton="0" quotePrefix="0" xfId="0">
      <alignment horizontal="left" vertical="center"/>
    </xf>
    <xf numFmtId="0" fontId="7" fillId="0" borderId="23" applyAlignment="1" pivotButton="0" quotePrefix="0" xfId="0">
      <alignment horizontal="left" vertical="center"/>
    </xf>
    <xf numFmtId="0" fontId="7" fillId="0" borderId="23" applyAlignment="1" pivotButton="0" quotePrefix="0" xfId="0">
      <alignment horizontal="left" vertical="center" wrapText="1"/>
    </xf>
    <xf numFmtId="49" fontId="7" fillId="0" borderId="23" applyAlignment="1" pivotButton="0" quotePrefix="0" xfId="0">
      <alignment horizontal="left" vertical="center" wrapText="1"/>
    </xf>
    <xf numFmtId="0" fontId="7" fillId="0" borderId="37" applyAlignment="1" pivotButton="0" quotePrefix="0" xfId="0">
      <alignment horizontal="left" vertical="center" wrapText="1"/>
    </xf>
    <xf numFmtId="0" fontId="7" fillId="0" borderId="38" applyAlignment="1" pivotButton="0" quotePrefix="0" xfId="0">
      <alignment horizontal="left" vertical="center"/>
    </xf>
    <xf numFmtId="0" fontId="7" fillId="0" borderId="39" applyAlignment="1" pivotButton="0" quotePrefix="0" xfId="0">
      <alignment horizontal="left" vertical="center"/>
    </xf>
    <xf numFmtId="0" fontId="7" fillId="0" borderId="39" applyAlignment="1" pivotButton="0" quotePrefix="0" xfId="0">
      <alignment horizontal="left" vertical="center" wrapText="1"/>
    </xf>
    <xf numFmtId="0" fontId="7" fillId="0" borderId="40" applyAlignment="1" pivotButton="0" quotePrefix="0" xfId="0">
      <alignment horizontal="left" vertical="center" wrapText="1"/>
    </xf>
    <xf numFmtId="0" fontId="0" fillId="0" borderId="8" pivotButton="0" quotePrefix="0" xfId="0"/>
    <xf numFmtId="0" fontId="0" fillId="0" borderId="8" applyAlignment="1" pivotButton="0" quotePrefix="0" xfId="0">
      <alignment vertical="center" textRotation="255"/>
    </xf>
    <xf numFmtId="0" fontId="5" fillId="0" borderId="23" applyAlignment="1" pivotButton="0" quotePrefix="0" xfId="0">
      <alignment horizontal="center"/>
    </xf>
    <xf numFmtId="0" fontId="5" fillId="0" borderId="33" applyAlignment="1" pivotButton="0" quotePrefix="0" xfId="0">
      <alignment horizontal="center"/>
    </xf>
    <xf numFmtId="49" fontId="0" fillId="0" borderId="23" applyAlignment="1" pivotButton="0" quotePrefix="1" xfId="0">
      <alignment vertical="center"/>
    </xf>
    <xf numFmtId="49" fontId="0" fillId="11" borderId="8" applyAlignment="1" pivotButton="0" quotePrefix="0" xfId="0">
      <alignment horizontal="center" vertical="center"/>
    </xf>
    <xf numFmtId="0" fontId="7" fillId="0" borderId="23" applyAlignment="1" pivotButton="0" quotePrefix="1" xfId="0">
      <alignment horizontal="left" vertical="center" wrapText="1"/>
    </xf>
    <xf numFmtId="0" fontId="7" fillId="8" borderId="44" applyAlignment="1" pivotButton="0" quotePrefix="0" xfId="0">
      <alignment vertical="top"/>
    </xf>
    <xf numFmtId="0" fontId="7" fillId="8" borderId="43" applyAlignment="1" pivotButton="0" quotePrefix="0" xfId="0">
      <alignment vertical="top" wrapText="1"/>
    </xf>
    <xf numFmtId="49" fontId="7" fillId="8" borderId="43" applyAlignment="1" pivotButton="0" quotePrefix="0" xfId="0">
      <alignment vertical="top"/>
    </xf>
    <xf numFmtId="49" fontId="7" fillId="8" borderId="43" applyAlignment="1" pivotButton="0" quotePrefix="0" xfId="0">
      <alignment vertical="top" wrapText="1"/>
    </xf>
    <xf numFmtId="49" fontId="7" fillId="8" borderId="45" applyAlignment="1" pivotButton="0" quotePrefix="0" xfId="0">
      <alignment vertical="top" wrapText="1"/>
    </xf>
    <xf numFmtId="0" fontId="7" fillId="0" borderId="39" applyAlignment="1" pivotButton="0" quotePrefix="1" xfId="0">
      <alignment horizontal="left" vertical="center" wrapText="1"/>
    </xf>
    <xf numFmtId="0" fontId="0" fillId="13" borderId="46" applyAlignment="1" pivotButton="0" quotePrefix="0" xfId="0">
      <alignment horizontal="center" vertical="center"/>
    </xf>
    <xf numFmtId="0" fontId="0" fillId="13" borderId="47" applyAlignment="1" pivotButton="0" quotePrefix="0" xfId="0">
      <alignment horizontal="center" vertical="center"/>
    </xf>
    <xf numFmtId="0" fontId="0" fillId="12" borderId="48" applyAlignment="1" pivotButton="0" quotePrefix="0" xfId="0">
      <alignment horizontal="center" vertical="center"/>
    </xf>
    <xf numFmtId="14" fontId="0" fillId="12" borderId="49" applyProtection="1" pivotButton="0" quotePrefix="0" xfId="0">
      <protection locked="0" hidden="0"/>
    </xf>
    <xf numFmtId="0" fontId="0" fillId="14" borderId="35" applyProtection="1" pivotButton="0" quotePrefix="0" xfId="0">
      <protection locked="0" hidden="0"/>
    </xf>
    <xf numFmtId="0" fontId="0" fillId="14" borderId="36" applyProtection="1" pivotButton="0" quotePrefix="0" xfId="0">
      <protection locked="0" hidden="0"/>
    </xf>
    <xf numFmtId="0" fontId="0" fillId="0" borderId="50" pivotButton="0" quotePrefix="0" xfId="0"/>
    <xf numFmtId="0" fontId="0" fillId="0" borderId="22" pivotButton="0" quotePrefix="0" xfId="0"/>
    <xf numFmtId="49" fontId="0" fillId="0" borderId="33" applyAlignment="1" pivotButton="0" quotePrefix="1" xfId="0">
      <alignment vertical="center"/>
    </xf>
    <xf numFmtId="0" fontId="5" fillId="0" borderId="30" applyAlignment="1" pivotButton="0" quotePrefix="0" xfId="0">
      <alignment horizontal="center" vertical="center" wrapText="1"/>
    </xf>
    <xf numFmtId="0" fontId="5" fillId="0" borderId="23" applyAlignment="1" pivotButton="0" quotePrefix="0" xfId="0">
      <alignment horizontal="center" vertical="center" wrapText="1"/>
    </xf>
    <xf numFmtId="0" fontId="5" fillId="0" borderId="23" applyAlignment="1" pivotButton="0" quotePrefix="0" xfId="0">
      <alignment horizontal="left" vertical="center"/>
    </xf>
    <xf numFmtId="0" fontId="5" fillId="10" borderId="23" applyAlignment="1" pivotButton="0" quotePrefix="0" xfId="0">
      <alignment vertical="center" wrapText="1"/>
    </xf>
    <xf numFmtId="0" fontId="5" fillId="10" borderId="23" applyAlignment="1" pivotButton="0" quotePrefix="0" xfId="0">
      <alignment horizontal="left" vertical="center"/>
    </xf>
    <xf numFmtId="0" fontId="5" fillId="10" borderId="23" applyAlignment="1" pivotButton="0" quotePrefix="0" xfId="0">
      <alignment horizontal="center" vertical="center"/>
    </xf>
    <xf numFmtId="0" fontId="5" fillId="15" borderId="23" applyAlignment="1" pivotButton="0" quotePrefix="0" xfId="0">
      <alignment horizontal="center" vertical="center"/>
    </xf>
    <xf numFmtId="0" fontId="5" fillId="0" borderId="32" applyAlignment="1" pivotButton="0" quotePrefix="0" xfId="0">
      <alignment horizontal="center" vertical="center" wrapText="1"/>
    </xf>
    <xf numFmtId="0" fontId="5" fillId="0" borderId="33" applyAlignment="1" pivotButton="0" quotePrefix="0" xfId="0">
      <alignment horizontal="center" vertical="center" wrapText="1"/>
    </xf>
    <xf numFmtId="0" fontId="5" fillId="0" borderId="33" applyAlignment="1" pivotButton="0" quotePrefix="0" xfId="0">
      <alignment horizontal="left" vertical="center"/>
    </xf>
    <xf numFmtId="0" fontId="5" fillId="10" borderId="33" applyAlignment="1" pivotButton="0" quotePrefix="0" xfId="0">
      <alignment vertical="center" wrapText="1"/>
    </xf>
    <xf numFmtId="0" fontId="5" fillId="10" borderId="33" applyAlignment="1" pivotButton="0" quotePrefix="0" xfId="0">
      <alignment horizontal="left" vertical="center"/>
    </xf>
    <xf numFmtId="0" fontId="5" fillId="10" borderId="33" applyAlignment="1" pivotButton="0" quotePrefix="0" xfId="0">
      <alignment horizontal="center" vertical="center"/>
    </xf>
    <xf numFmtId="0" fontId="5" fillId="15" borderId="33" applyAlignment="1" pivotButton="0" quotePrefix="0" xfId="0">
      <alignment horizontal="center" vertical="center"/>
    </xf>
    <xf numFmtId="49" fontId="7" fillId="0" borderId="39" applyAlignment="1" pivotButton="0" quotePrefix="0" xfId="0">
      <alignment horizontal="left" vertical="center" wrapText="1"/>
    </xf>
    <xf numFmtId="0" fontId="7" fillId="0" borderId="0" applyAlignment="1" pivotButton="0" quotePrefix="0" xfId="54">
      <alignment horizontal="left" vertical="center"/>
    </xf>
    <xf numFmtId="0" fontId="7" fillId="0" borderId="0" applyAlignment="1" pivotButton="0" quotePrefix="0" xfId="54">
      <alignment horizontal="center" vertical="center" wrapText="1"/>
    </xf>
    <xf numFmtId="0" fontId="0" fillId="20" borderId="9" applyAlignment="1" pivotButton="0" quotePrefix="0" xfId="0">
      <alignment horizontal="center" vertical="center"/>
    </xf>
    <xf numFmtId="0" fontId="0" fillId="20" borderId="8" applyAlignment="1" pivotButton="0" quotePrefix="0" xfId="0">
      <alignment horizontal="center" vertical="center"/>
    </xf>
    <xf numFmtId="0" fontId="0" fillId="20" borderId="34" applyAlignment="1" pivotButton="0" quotePrefix="0" xfId="0">
      <alignment horizontal="center" vertical="center"/>
    </xf>
    <xf numFmtId="0" fontId="0" fillId="20" borderId="16" applyAlignment="1" pivotButton="0" quotePrefix="0" xfId="0">
      <alignment horizontal="center" vertical="center"/>
    </xf>
    <xf numFmtId="0" fontId="0" fillId="20" borderId="21" applyAlignment="1" pivotButton="0" quotePrefix="0" xfId="0">
      <alignment horizontal="center" vertical="center"/>
    </xf>
    <xf numFmtId="0" fontId="0" fillId="0" borderId="23" applyAlignment="1" pivotButton="0" quotePrefix="0" xfId="0">
      <alignment horizontal="center" vertical="center"/>
    </xf>
    <xf numFmtId="0" fontId="0" fillId="20" borderId="17" applyAlignment="1" pivotButton="0" quotePrefix="0" xfId="0">
      <alignment horizontal="center" vertical="center"/>
    </xf>
    <xf numFmtId="0" fontId="0" fillId="0" borderId="8" applyAlignment="1" pivotButton="0" quotePrefix="0" xfId="0">
      <alignment vertical="center"/>
    </xf>
    <xf numFmtId="0" fontId="7" fillId="18" borderId="8" applyAlignment="1" pivotButton="0" quotePrefix="0" xfId="0">
      <alignment vertical="center" textRotation="255" wrapText="1"/>
    </xf>
    <xf numFmtId="0" fontId="0" fillId="21" borderId="8" applyAlignment="1" pivotButton="0" quotePrefix="0" xfId="0">
      <alignment horizontal="center" vertical="center"/>
    </xf>
    <xf numFmtId="49" fontId="0" fillId="0" borderId="8" applyAlignment="1" pivotButton="0" quotePrefix="0" xfId="0">
      <alignment vertical="center"/>
    </xf>
    <xf numFmtId="49" fontId="0" fillId="0" borderId="0" applyAlignment="1" pivotButton="0" quotePrefix="0" xfId="0">
      <alignment vertical="center"/>
    </xf>
    <xf numFmtId="0" fontId="43" fillId="10" borderId="23" applyAlignment="1" pivotButton="0" quotePrefix="0" xfId="0">
      <alignment vertical="top" wrapText="1"/>
    </xf>
    <xf numFmtId="0" fontId="7" fillId="0" borderId="0" applyAlignment="1" pivotButton="0" quotePrefix="0" xfId="0">
      <alignment horizontal="center" vertical="center" wrapText="1"/>
    </xf>
    <xf numFmtId="49" fontId="7" fillId="0" borderId="0" pivotButton="0" quotePrefix="0" xfId="55"/>
    <xf numFmtId="0" fontId="0" fillId="20" borderId="9" applyAlignment="1" pivotButton="0" quotePrefix="0" xfId="0">
      <alignment horizontal="left" vertical="top" wrapText="1"/>
    </xf>
    <xf numFmtId="0" fontId="0" fillId="20" borderId="8" applyAlignment="1" pivotButton="0" quotePrefix="0" xfId="0">
      <alignment horizontal="left" vertical="top" wrapText="1"/>
    </xf>
    <xf numFmtId="0" fontId="0" fillId="20" borderId="34" applyAlignment="1" pivotButton="0" quotePrefix="0" xfId="0">
      <alignment horizontal="left" vertical="top" wrapText="1"/>
    </xf>
    <xf numFmtId="0" fontId="42" fillId="0" borderId="0" pivotButton="0" quotePrefix="0" xfId="0"/>
    <xf numFmtId="49" fontId="0" fillId="0" borderId="0" applyAlignment="1" pivotButton="0" quotePrefix="0" xfId="0">
      <alignment vertical="center" wrapText="1"/>
    </xf>
    <xf numFmtId="49" fontId="0" fillId="21" borderId="59" applyAlignment="1" pivotButton="0" quotePrefix="0" xfId="0">
      <alignment horizontal="center" vertical="center" wrapText="1"/>
    </xf>
    <xf numFmtId="49" fontId="0" fillId="21" borderId="6" applyAlignment="1" pivotButton="0" quotePrefix="0" xfId="0">
      <alignment horizontal="center" vertical="center" wrapText="1"/>
    </xf>
    <xf numFmtId="49" fontId="0" fillId="21" borderId="9" applyAlignment="1" pivotButton="0" quotePrefix="0" xfId="0">
      <alignment horizontal="center" vertical="center"/>
    </xf>
    <xf numFmtId="49" fontId="0" fillId="21" borderId="8" applyAlignment="1" pivotButton="0" quotePrefix="0" xfId="0">
      <alignment horizontal="center" vertical="center"/>
    </xf>
    <xf numFmtId="49" fontId="0" fillId="21" borderId="34" applyAlignment="1" pivotButton="0" quotePrefix="0" xfId="0">
      <alignment horizontal="center" vertical="center"/>
    </xf>
    <xf numFmtId="49" fontId="0" fillId="24" borderId="53" applyAlignment="1" pivotButton="0" quotePrefix="0" xfId="0">
      <alignment horizontal="center" vertical="center"/>
    </xf>
    <xf numFmtId="49" fontId="0" fillId="24" borderId="8" applyAlignment="1" pivotButton="0" quotePrefix="0" xfId="0">
      <alignment horizontal="center" vertical="center"/>
    </xf>
    <xf numFmtId="49" fontId="0" fillId="24" borderId="22" applyAlignment="1" pivotButton="0" quotePrefix="0" xfId="0">
      <alignment horizontal="center" vertical="center"/>
    </xf>
    <xf numFmtId="49" fontId="0" fillId="25" borderId="9" applyAlignment="1" pivotButton="0" quotePrefix="0" xfId="0">
      <alignment horizontal="center" vertical="center"/>
    </xf>
    <xf numFmtId="49" fontId="0" fillId="25" borderId="8" applyAlignment="1" pivotButton="0" quotePrefix="0" xfId="0">
      <alignment horizontal="center" vertical="center"/>
    </xf>
    <xf numFmtId="49" fontId="0" fillId="25" borderId="34" applyAlignment="1" pivotButton="0" quotePrefix="0" xfId="0">
      <alignment horizontal="center" vertical="center"/>
    </xf>
    <xf numFmtId="49" fontId="0" fillId="26" borderId="53" applyAlignment="1" pivotButton="0" quotePrefix="0" xfId="0">
      <alignment horizontal="center" vertical="center"/>
    </xf>
    <xf numFmtId="49" fontId="0" fillId="26" borderId="8" applyAlignment="1" pivotButton="0" quotePrefix="0" xfId="0">
      <alignment horizontal="center" vertical="center"/>
    </xf>
    <xf numFmtId="49" fontId="0" fillId="26" borderId="34" applyAlignment="1" pivotButton="0" quotePrefix="0" xfId="0">
      <alignment horizontal="center" vertical="center"/>
    </xf>
    <xf numFmtId="49" fontId="0" fillId="21" borderId="35" applyAlignment="1" pivotButton="0" quotePrefix="0" xfId="0">
      <alignment horizontal="center" vertical="center"/>
    </xf>
    <xf numFmtId="49" fontId="0" fillId="21" borderId="51" applyAlignment="1" pivotButton="0" quotePrefix="0" xfId="0">
      <alignment horizontal="center" vertical="center"/>
    </xf>
    <xf numFmtId="49" fontId="0" fillId="21" borderId="36" applyAlignment="1" pivotButton="0" quotePrefix="0" xfId="0">
      <alignment horizontal="center" vertical="center"/>
    </xf>
    <xf numFmtId="49" fontId="0" fillId="24" borderId="64" applyAlignment="1" pivotButton="0" quotePrefix="0" xfId="0">
      <alignment horizontal="center" vertical="center"/>
    </xf>
    <xf numFmtId="49" fontId="0" fillId="24" borderId="51" applyAlignment="1" pivotButton="0" quotePrefix="0" xfId="0">
      <alignment horizontal="center" vertical="center"/>
    </xf>
    <xf numFmtId="49" fontId="0" fillId="24" borderId="46" applyAlignment="1" pivotButton="0" quotePrefix="0" xfId="0">
      <alignment horizontal="center" vertical="center"/>
    </xf>
    <xf numFmtId="49" fontId="0" fillId="25" borderId="35" applyAlignment="1" pivotButton="0" quotePrefix="0" xfId="0">
      <alignment horizontal="center" vertical="center"/>
    </xf>
    <xf numFmtId="49" fontId="0" fillId="25" borderId="51" applyAlignment="1" pivotButton="0" quotePrefix="0" xfId="0">
      <alignment horizontal="center" vertical="center"/>
    </xf>
    <xf numFmtId="49" fontId="0" fillId="25" borderId="36" applyAlignment="1" pivotButton="0" quotePrefix="0" xfId="0">
      <alignment horizontal="center" vertical="center"/>
    </xf>
    <xf numFmtId="49" fontId="0" fillId="26" borderId="64" applyAlignment="1" pivotButton="0" quotePrefix="0" xfId="0">
      <alignment horizontal="center" vertical="center"/>
    </xf>
    <xf numFmtId="49" fontId="0" fillId="26" borderId="51" applyAlignment="1" pivotButton="0" quotePrefix="0" xfId="0">
      <alignment horizontal="center" vertical="center"/>
    </xf>
    <xf numFmtId="49" fontId="0" fillId="26" borderId="36" applyAlignment="1" pivotButton="0" quotePrefix="0" xfId="0">
      <alignment horizontal="center" vertical="center"/>
    </xf>
    <xf numFmtId="49" fontId="0" fillId="21" borderId="65" applyAlignment="1" pivotButton="0" quotePrefix="0" xfId="0">
      <alignment vertical="center"/>
    </xf>
    <xf numFmtId="49" fontId="0" fillId="21" borderId="58" applyAlignment="1" pivotButton="0" quotePrefix="0" xfId="0">
      <alignment horizontal="center" vertical="center"/>
    </xf>
    <xf numFmtId="49" fontId="0" fillId="0" borderId="10" applyAlignment="1" pivotButton="0" quotePrefix="0" xfId="0">
      <alignment horizontal="center" vertical="center"/>
    </xf>
    <xf numFmtId="49" fontId="0" fillId="0" borderId="66" applyAlignment="1" pivotButton="0" quotePrefix="0" xfId="0">
      <alignment horizontal="center" vertical="center"/>
    </xf>
    <xf numFmtId="49" fontId="0" fillId="0" borderId="11" applyAlignment="1" pivotButton="0" quotePrefix="0" xfId="0">
      <alignment horizontal="center" vertical="center"/>
    </xf>
    <xf numFmtId="49" fontId="0" fillId="0" borderId="57" applyAlignment="1" pivotButton="0" quotePrefix="0" xfId="0">
      <alignment horizontal="center" vertical="center"/>
    </xf>
    <xf numFmtId="49" fontId="0" fillId="0" borderId="58" applyAlignment="1" pivotButton="0" quotePrefix="0" xfId="0">
      <alignment horizontal="center" vertical="center"/>
    </xf>
    <xf numFmtId="49" fontId="0" fillId="21" borderId="67" applyAlignment="1" pivotButton="0" quotePrefix="0" xfId="0">
      <alignment vertical="center"/>
    </xf>
    <xf numFmtId="49" fontId="0" fillId="21" borderId="22" applyAlignment="1" pivotButton="0" quotePrefix="0" xfId="0">
      <alignment horizontal="center" vertical="center"/>
    </xf>
    <xf numFmtId="49" fontId="0" fillId="0" borderId="9" applyAlignment="1" pivotButton="0" quotePrefix="0" xfId="0">
      <alignment horizontal="center" vertical="center"/>
    </xf>
    <xf numFmtId="49" fontId="0" fillId="0" borderId="8" applyAlignment="1" pivotButton="0" quotePrefix="0" xfId="0">
      <alignment horizontal="center" vertical="center"/>
    </xf>
    <xf numFmtId="49" fontId="0" fillId="0" borderId="34" applyAlignment="1" pivotButton="0" quotePrefix="0" xfId="0">
      <alignment horizontal="center" vertical="center"/>
    </xf>
    <xf numFmtId="49" fontId="0" fillId="0" borderId="53" applyAlignment="1" pivotButton="0" quotePrefix="0" xfId="0">
      <alignment horizontal="center" vertical="center"/>
    </xf>
    <xf numFmtId="49" fontId="0" fillId="0" borderId="22" applyAlignment="1" pivotButton="0" quotePrefix="0" xfId="0">
      <alignment horizontal="center" vertical="center"/>
    </xf>
    <xf numFmtId="49" fontId="0" fillId="21" borderId="46" applyAlignment="1" pivotButton="0" quotePrefix="0" xfId="0">
      <alignment horizontal="center" vertical="center"/>
    </xf>
    <xf numFmtId="49" fontId="0" fillId="0" borderId="35" applyAlignment="1" pivotButton="0" quotePrefix="0" xfId="0">
      <alignment horizontal="center" vertical="center"/>
    </xf>
    <xf numFmtId="49" fontId="0" fillId="0" borderId="51" applyAlignment="1" pivotButton="0" quotePrefix="0" xfId="0">
      <alignment horizontal="center" vertical="center"/>
    </xf>
    <xf numFmtId="49" fontId="0" fillId="0" borderId="36" applyAlignment="1" pivotButton="0" quotePrefix="0" xfId="0">
      <alignment horizontal="center" vertical="center"/>
    </xf>
    <xf numFmtId="49" fontId="0" fillId="0" borderId="64" applyAlignment="1" pivotButton="0" quotePrefix="0" xfId="0">
      <alignment horizontal="center" vertical="center"/>
    </xf>
    <xf numFmtId="49" fontId="0" fillId="0" borderId="46" applyAlignment="1" pivotButton="0" quotePrefix="0" xfId="0">
      <alignment horizontal="center" vertical="center"/>
    </xf>
    <xf numFmtId="49" fontId="0" fillId="24" borderId="65" applyAlignment="1" pivotButton="0" quotePrefix="0" xfId="0">
      <alignment vertical="center"/>
    </xf>
    <xf numFmtId="49" fontId="0" fillId="24" borderId="58" applyAlignment="1" pivotButton="0" quotePrefix="0" xfId="0">
      <alignment horizontal="center" vertical="center"/>
    </xf>
    <xf numFmtId="49" fontId="0" fillId="24" borderId="67" applyAlignment="1" pivotButton="0" quotePrefix="0" xfId="0">
      <alignment vertical="center"/>
    </xf>
    <xf numFmtId="49" fontId="0" fillId="24" borderId="67" applyAlignment="1" pivotButton="0" quotePrefix="0" xfId="0">
      <alignment horizontal="right" vertical="center"/>
    </xf>
    <xf numFmtId="49" fontId="0" fillId="27" borderId="22" applyAlignment="1" pivotButton="0" quotePrefix="0" xfId="0">
      <alignment horizontal="center" vertical="center"/>
    </xf>
    <xf numFmtId="49" fontId="0" fillId="24" borderId="68" applyAlignment="1" pivotButton="0" quotePrefix="0" xfId="0">
      <alignment horizontal="right" vertical="center"/>
    </xf>
    <xf numFmtId="49" fontId="0" fillId="27" borderId="46" applyAlignment="1" pivotButton="0" quotePrefix="0" xfId="0">
      <alignment horizontal="center" vertical="center"/>
    </xf>
    <xf numFmtId="49" fontId="0" fillId="0" borderId="67" applyAlignment="1" pivotButton="0" quotePrefix="0" xfId="0">
      <alignment vertical="center"/>
    </xf>
    <xf numFmtId="49" fontId="0" fillId="0" borderId="69" applyAlignment="1" pivotButton="0" quotePrefix="0" xfId="0">
      <alignment horizontal="center" vertical="center"/>
    </xf>
    <xf numFmtId="49" fontId="0" fillId="0" borderId="70" applyAlignment="1" pivotButton="0" quotePrefix="0" xfId="0">
      <alignment horizontal="center" vertical="center"/>
    </xf>
    <xf numFmtId="49" fontId="0" fillId="0" borderId="71" applyAlignment="1" pivotButton="0" quotePrefix="0" xfId="0">
      <alignment horizontal="center" vertical="center"/>
    </xf>
    <xf numFmtId="49" fontId="0" fillId="0" borderId="72" applyAlignment="1" pivotButton="0" quotePrefix="0" xfId="0">
      <alignment horizontal="center" vertical="center"/>
    </xf>
    <xf numFmtId="49" fontId="0" fillId="0" borderId="73" applyAlignment="1" pivotButton="0" quotePrefix="0" xfId="0">
      <alignment horizontal="center" vertical="center"/>
    </xf>
    <xf numFmtId="49" fontId="0" fillId="25" borderId="65" applyAlignment="1" pivotButton="0" quotePrefix="0" xfId="0">
      <alignment vertical="center"/>
    </xf>
    <xf numFmtId="49" fontId="0" fillId="25" borderId="58" applyAlignment="1" pivotButton="0" quotePrefix="0" xfId="0">
      <alignment horizontal="center" vertical="center"/>
    </xf>
    <xf numFmtId="49" fontId="0" fillId="25" borderId="67" applyAlignment="1" pivotButton="0" quotePrefix="0" xfId="0">
      <alignment horizontal="right" vertical="center"/>
    </xf>
    <xf numFmtId="49" fontId="0" fillId="25" borderId="22" applyAlignment="1" pivotButton="0" quotePrefix="0" xfId="0">
      <alignment horizontal="center" vertical="center"/>
    </xf>
    <xf numFmtId="49" fontId="0" fillId="25" borderId="68" applyAlignment="1" pivotButton="0" quotePrefix="0" xfId="0">
      <alignment vertical="center"/>
    </xf>
    <xf numFmtId="49" fontId="0" fillId="25" borderId="46" applyAlignment="1" pivotButton="0" quotePrefix="0" xfId="0">
      <alignment horizontal="center" vertical="center"/>
    </xf>
    <xf numFmtId="49" fontId="0" fillId="22" borderId="68" applyAlignment="1" pivotButton="0" quotePrefix="0" xfId="0">
      <alignment vertical="center" wrapText="1"/>
    </xf>
    <xf numFmtId="49" fontId="0" fillId="22" borderId="69" applyAlignment="1" pivotButton="0" quotePrefix="0" xfId="0">
      <alignment horizontal="center" vertical="center"/>
    </xf>
    <xf numFmtId="49" fontId="0" fillId="22" borderId="70" applyAlignment="1" pivotButton="0" quotePrefix="0" xfId="0">
      <alignment horizontal="center" vertical="center"/>
    </xf>
    <xf numFmtId="49" fontId="0" fillId="22" borderId="71" applyAlignment="1" pivotButton="0" quotePrefix="0" xfId="0">
      <alignment horizontal="center" vertical="center"/>
    </xf>
    <xf numFmtId="49" fontId="0" fillId="22" borderId="72" applyAlignment="1" pivotButton="0" quotePrefix="0" xfId="0">
      <alignment horizontal="center" vertical="center"/>
    </xf>
    <xf numFmtId="49" fontId="0" fillId="22" borderId="73" applyAlignment="1" pivotButton="0" quotePrefix="0" xfId="0">
      <alignment horizontal="center" vertical="center"/>
    </xf>
    <xf numFmtId="49" fontId="0" fillId="24" borderId="9" applyAlignment="1" pivotButton="0" quotePrefix="0" xfId="0">
      <alignment horizontal="center" vertical="center"/>
    </xf>
    <xf numFmtId="49" fontId="0" fillId="24" borderId="34" applyAlignment="1" pivotButton="0" quotePrefix="0" xfId="0">
      <alignment horizontal="center" vertical="center"/>
    </xf>
    <xf numFmtId="49" fontId="0" fillId="21" borderId="12" applyAlignment="1" pivotButton="0" quotePrefix="0" xfId="0">
      <alignment horizontal="center" vertical="center"/>
    </xf>
    <xf numFmtId="49" fontId="0" fillId="21" borderId="24" applyAlignment="1" pivotButton="0" quotePrefix="0" xfId="0">
      <alignment horizontal="center" vertical="center"/>
    </xf>
    <xf numFmtId="49" fontId="0" fillId="24" borderId="12" applyAlignment="1" pivotButton="0" quotePrefix="0" xfId="0">
      <alignment horizontal="center" vertical="center"/>
    </xf>
    <xf numFmtId="49" fontId="0" fillId="24" borderId="24" applyAlignment="1" pivotButton="0" quotePrefix="0" xfId="0">
      <alignment horizontal="center" vertical="center"/>
    </xf>
    <xf numFmtId="49" fontId="0" fillId="24" borderId="13" applyAlignment="1" pivotButton="0" quotePrefix="0" xfId="0">
      <alignment horizontal="center" vertical="center"/>
    </xf>
    <xf numFmtId="49" fontId="0" fillId="21" borderId="4" applyAlignment="1" pivotButton="0" quotePrefix="0" xfId="0">
      <alignment horizontal="center" vertical="center"/>
    </xf>
    <xf numFmtId="49" fontId="0" fillId="0" borderId="12" applyAlignment="1" pivotButton="0" quotePrefix="0" xfId="0">
      <alignment horizontal="center" vertical="center"/>
    </xf>
    <xf numFmtId="49" fontId="0" fillId="0" borderId="24" applyAlignment="1" pivotButton="0" quotePrefix="0" xfId="0">
      <alignment horizontal="center" vertical="center"/>
    </xf>
    <xf numFmtId="49" fontId="0" fillId="0" borderId="13" applyAlignment="1" pivotButton="0" quotePrefix="0" xfId="0">
      <alignment horizontal="center" vertical="center"/>
    </xf>
    <xf numFmtId="49" fontId="0" fillId="0" borderId="74" applyAlignment="1" pivotButton="0" quotePrefix="0" xfId="0">
      <alignment horizontal="center" vertical="center"/>
    </xf>
    <xf numFmtId="49" fontId="0" fillId="24" borderId="68" applyAlignment="1" pivotButton="0" quotePrefix="0" xfId="0">
      <alignment vertical="center"/>
    </xf>
    <xf numFmtId="49" fontId="0" fillId="0" borderId="29" applyAlignment="1" pivotButton="0" quotePrefix="0" xfId="0">
      <alignment horizontal="center" vertical="center"/>
    </xf>
    <xf numFmtId="49" fontId="0" fillId="0" borderId="14" applyAlignment="1" pivotButton="0" quotePrefix="0" xfId="0">
      <alignment horizontal="center" vertical="center"/>
    </xf>
    <xf numFmtId="49" fontId="0" fillId="0" borderId="28" applyAlignment="1" pivotButton="0" quotePrefix="0" xfId="0">
      <alignment horizontal="center" vertical="center"/>
    </xf>
    <xf numFmtId="49" fontId="0" fillId="0" borderId="15" applyAlignment="1" pivotButton="0" quotePrefix="0" xfId="0">
      <alignment horizontal="center" vertical="center"/>
    </xf>
    <xf numFmtId="49" fontId="0" fillId="0" borderId="75" applyAlignment="1" pivotButton="0" quotePrefix="0" xfId="0">
      <alignment horizontal="center" vertical="center"/>
    </xf>
    <xf numFmtId="49" fontId="0" fillId="22" borderId="76" applyAlignment="1" pivotButton="0" quotePrefix="0" xfId="0">
      <alignment horizontal="center" vertical="center"/>
    </xf>
    <xf numFmtId="49" fontId="0" fillId="22" borderId="18" applyAlignment="1" pivotButton="0" quotePrefix="0" xfId="0">
      <alignment horizontal="center" vertical="center"/>
    </xf>
    <xf numFmtId="49" fontId="0" fillId="22" borderId="77" applyAlignment="1" pivotButton="0" quotePrefix="0" xfId="0">
      <alignment horizontal="center" vertical="center"/>
    </xf>
    <xf numFmtId="49" fontId="0" fillId="22" borderId="19" applyAlignment="1" pivotButton="0" quotePrefix="0" xfId="0">
      <alignment horizontal="center" vertical="center"/>
    </xf>
    <xf numFmtId="49" fontId="0" fillId="22" borderId="78" applyAlignment="1" pivotButton="0" quotePrefix="0" xfId="0">
      <alignment horizontal="center" vertical="center"/>
    </xf>
    <xf numFmtId="49" fontId="0" fillId="0" borderId="23" applyAlignment="1" pivotButton="0" quotePrefix="0" xfId="0">
      <alignment vertical="center"/>
    </xf>
    <xf numFmtId="49" fontId="0" fillId="19" borderId="7" applyAlignment="1" pivotButton="0" quotePrefix="0" xfId="0">
      <alignment horizontal="center" vertical="center" wrapText="1"/>
    </xf>
    <xf numFmtId="49" fontId="0" fillId="19" borderId="5" applyAlignment="1" pivotButton="0" quotePrefix="0" xfId="0">
      <alignment horizontal="center" vertical="center" wrapText="1"/>
    </xf>
    <xf numFmtId="49" fontId="0" fillId="19" borderId="52" applyAlignment="1" pivotButton="0" quotePrefix="0" xfId="0">
      <alignment horizontal="center" vertical="center" wrapText="1"/>
    </xf>
    <xf numFmtId="49" fontId="51" fillId="0" borderId="0" applyAlignment="1" pivotButton="0" quotePrefix="0" xfId="0">
      <alignment vertical="center"/>
    </xf>
    <xf numFmtId="49" fontId="7" fillId="0" borderId="9" applyAlignment="1" applyProtection="1" pivotButton="0" quotePrefix="0" xfId="0">
      <alignment horizontal="left"/>
      <protection locked="0" hidden="0"/>
    </xf>
    <xf numFmtId="49" fontId="7" fillId="0" borderId="8" applyAlignment="1" applyProtection="1" pivotButton="0" quotePrefix="0" xfId="0">
      <alignment horizontal="left"/>
      <protection locked="0" hidden="0"/>
    </xf>
    <xf numFmtId="49" fontId="7" fillId="0" borderId="34" applyAlignment="1" applyProtection="1" pivotButton="0" quotePrefix="0" xfId="0">
      <alignment horizontal="left"/>
      <protection locked="0" hidden="0"/>
    </xf>
    <xf numFmtId="0" fontId="0" fillId="20" borderId="12" applyAlignment="1" pivotButton="0" quotePrefix="0" xfId="0">
      <alignment horizontal="center" vertical="center"/>
    </xf>
    <xf numFmtId="0" fontId="0" fillId="20" borderId="24" applyAlignment="1" pivotButton="0" quotePrefix="0" xfId="0">
      <alignment horizontal="center" vertical="center"/>
    </xf>
    <xf numFmtId="0" fontId="0" fillId="20" borderId="13" applyAlignment="1" pivotButton="0" quotePrefix="0" xfId="0">
      <alignment horizontal="center" vertical="center"/>
    </xf>
    <xf numFmtId="49" fontId="7" fillId="0" borderId="35" applyAlignment="1" applyProtection="1" pivotButton="0" quotePrefix="0" xfId="0">
      <alignment horizontal="left"/>
      <protection locked="0" hidden="0"/>
    </xf>
    <xf numFmtId="49" fontId="7" fillId="0" borderId="51" applyAlignment="1" applyProtection="1" pivotButton="0" quotePrefix="0" xfId="0">
      <alignment horizontal="left"/>
      <protection locked="0" hidden="0"/>
    </xf>
    <xf numFmtId="49" fontId="7" fillId="0" borderId="36" applyAlignment="1" applyProtection="1" pivotButton="0" quotePrefix="0" xfId="0">
      <alignment horizontal="left"/>
      <protection locked="0" hidden="0"/>
    </xf>
    <xf numFmtId="49" fontId="7" fillId="0" borderId="9" applyAlignment="1" pivotButton="0" quotePrefix="0" xfId="0">
      <alignment horizontal="left"/>
    </xf>
    <xf numFmtId="49" fontId="7" fillId="0" borderId="8" applyAlignment="1" pivotButton="0" quotePrefix="0" xfId="0">
      <alignment horizontal="left"/>
    </xf>
    <xf numFmtId="49" fontId="7" fillId="0" borderId="16" applyAlignment="1" applyProtection="1" pivotButton="0" quotePrefix="0" xfId="0">
      <alignment horizontal="left"/>
      <protection locked="0" hidden="0"/>
    </xf>
    <xf numFmtId="49" fontId="7" fillId="0" borderId="21" applyAlignment="1" applyProtection="1" pivotButton="0" quotePrefix="0" xfId="0">
      <alignment horizontal="left"/>
      <protection locked="0" hidden="0"/>
    </xf>
    <xf numFmtId="49" fontId="7" fillId="0" borderId="17" applyAlignment="1" applyProtection="1" pivotButton="0" quotePrefix="0" xfId="0">
      <alignment horizontal="left"/>
      <protection locked="0" hidden="0"/>
    </xf>
    <xf numFmtId="49" fontId="7" fillId="0" borderId="0" applyAlignment="1" pivotButton="0" quotePrefix="0" xfId="55">
      <alignment horizontal="left"/>
    </xf>
    <xf numFmtId="49" fontId="52" fillId="0" borderId="0" applyAlignment="1" pivotButton="0" quotePrefix="0" xfId="55">
      <alignment horizontal="left"/>
    </xf>
    <xf numFmtId="49" fontId="52" fillId="0" borderId="9" applyAlignment="1" pivotButton="0" quotePrefix="0" xfId="0">
      <alignment horizontal="left"/>
    </xf>
    <xf numFmtId="49" fontId="52" fillId="0" borderId="8" applyAlignment="1" pivotButton="0" quotePrefix="0" xfId="0">
      <alignment horizontal="left"/>
    </xf>
    <xf numFmtId="49" fontId="52" fillId="0" borderId="8" applyAlignment="1" applyProtection="1" pivotButton="0" quotePrefix="0" xfId="0">
      <alignment horizontal="left"/>
      <protection locked="0" hidden="0"/>
    </xf>
    <xf numFmtId="49" fontId="53" fillId="0" borderId="8" applyAlignment="1" pivotButton="0" quotePrefix="1" xfId="0">
      <alignment horizontal="left"/>
    </xf>
    <xf numFmtId="49" fontId="52" fillId="0" borderId="34" applyAlignment="1" applyProtection="1" pivotButton="0" quotePrefix="0" xfId="0">
      <alignment horizontal="left"/>
      <protection locked="0" hidden="0"/>
    </xf>
    <xf numFmtId="49" fontId="52" fillId="0" borderId="0" pivotButton="0" quotePrefix="0" xfId="55"/>
    <xf numFmtId="49" fontId="52" fillId="19" borderId="34" applyAlignment="1" applyProtection="1" pivotButton="0" quotePrefix="0" xfId="0">
      <alignment horizontal="left"/>
      <protection locked="0" hidden="0"/>
    </xf>
    <xf numFmtId="49" fontId="52" fillId="19" borderId="8" applyAlignment="1" applyProtection="1" pivotButton="0" quotePrefix="0" xfId="0">
      <alignment horizontal="left"/>
      <protection locked="0" hidden="0"/>
    </xf>
    <xf numFmtId="49" fontId="52" fillId="28" borderId="8" applyAlignment="1" applyProtection="1" pivotButton="0" quotePrefix="0" xfId="0">
      <alignment horizontal="left"/>
      <protection locked="0" hidden="0"/>
    </xf>
    <xf numFmtId="49" fontId="55" fillId="19" borderId="34" applyAlignment="1" applyProtection="1" pivotButton="0" quotePrefix="0" xfId="0">
      <alignment horizontal="left"/>
      <protection locked="0" hidden="0"/>
    </xf>
    <xf numFmtId="49" fontId="52" fillId="28" borderId="34" applyAlignment="1" applyProtection="1" pivotButton="0" quotePrefix="0" xfId="0">
      <alignment horizontal="left"/>
      <protection locked="0" hidden="0"/>
    </xf>
    <xf numFmtId="49" fontId="7" fillId="11" borderId="20" applyAlignment="1" pivotButton="0" quotePrefix="0" xfId="0">
      <alignment horizontal="center"/>
    </xf>
    <xf numFmtId="49" fontId="7" fillId="11" borderId="41" applyAlignment="1" pivotButton="0" quotePrefix="0" xfId="0">
      <alignment horizontal="center"/>
    </xf>
    <xf numFmtId="49" fontId="7" fillId="11" borderId="42" applyAlignment="1" pivotButton="0" quotePrefix="0" xfId="0">
      <alignment horizontal="center"/>
    </xf>
    <xf numFmtId="49" fontId="0" fillId="11" borderId="8" applyAlignment="1" pivotButton="0" quotePrefix="0" xfId="0">
      <alignment horizontal="center" vertical="center"/>
    </xf>
    <xf numFmtId="0" fontId="0" fillId="0" borderId="8" applyAlignment="1" pivotButton="0" quotePrefix="0" xfId="0">
      <alignment vertical="center"/>
    </xf>
    <xf numFmtId="49" fontId="0" fillId="24" borderId="58" applyAlignment="1" pivotButton="0" quotePrefix="0" xfId="0">
      <alignment horizontal="center" vertical="center" wrapText="1"/>
    </xf>
    <xf numFmtId="0" fontId="0" fillId="24" borderId="57" applyAlignment="1" pivotButton="0" quotePrefix="0" xfId="0">
      <alignment horizontal="center" vertical="center" wrapText="1"/>
    </xf>
    <xf numFmtId="49" fontId="0" fillId="23" borderId="54" applyAlignment="1" pivotButton="0" quotePrefix="0" xfId="0">
      <alignment horizontal="right" vertical="center" wrapText="1"/>
    </xf>
    <xf numFmtId="0" fontId="0" fillId="0" borderId="55" applyAlignment="1" pivotButton="0" quotePrefix="0" xfId="0">
      <alignment horizontal="right" vertical="center"/>
    </xf>
    <xf numFmtId="49" fontId="0" fillId="21" borderId="54" applyAlignment="1" pivotButton="0" quotePrefix="0" xfId="0">
      <alignment horizontal="center" vertical="center" wrapText="1"/>
    </xf>
    <xf numFmtId="0" fontId="0" fillId="21" borderId="56" applyAlignment="1" pivotButton="0" quotePrefix="0" xfId="0">
      <alignment horizontal="center" vertical="center" wrapText="1"/>
    </xf>
    <xf numFmtId="0" fontId="0" fillId="21" borderId="57" applyAlignment="1" pivotButton="0" quotePrefix="0" xfId="0">
      <alignment horizontal="center" vertical="center" wrapText="1"/>
    </xf>
    <xf numFmtId="49" fontId="0" fillId="21" borderId="58" applyAlignment="1" pivotButton="0" quotePrefix="0" xfId="0">
      <alignment horizontal="center" vertical="center" wrapText="1"/>
    </xf>
    <xf numFmtId="49" fontId="0" fillId="24" borderId="56" applyAlignment="1" pivotButton="0" quotePrefix="0" xfId="0">
      <alignment horizontal="center" vertical="center" wrapText="1"/>
    </xf>
    <xf numFmtId="0" fontId="0" fillId="24" borderId="56" applyAlignment="1" pivotButton="0" quotePrefix="0" xfId="0">
      <alignment horizontal="center" vertical="center" wrapText="1"/>
    </xf>
    <xf numFmtId="49" fontId="0" fillId="26" borderId="56" applyAlignment="1" pivotButton="0" quotePrefix="0" xfId="0">
      <alignment horizontal="center" vertical="center" wrapText="1"/>
    </xf>
    <xf numFmtId="0" fontId="0" fillId="26" borderId="56" applyAlignment="1" pivotButton="0" quotePrefix="0" xfId="0">
      <alignment horizontal="center" vertical="center" wrapText="1"/>
    </xf>
    <xf numFmtId="0" fontId="0" fillId="26" borderId="55" applyAlignment="1" pivotButton="0" quotePrefix="0" xfId="0">
      <alignment horizontal="center" vertical="center" wrapText="1"/>
    </xf>
    <xf numFmtId="49" fontId="0" fillId="23" borderId="60" applyAlignment="1" pivotButton="0" quotePrefix="0" xfId="0">
      <alignment horizontal="right" vertical="center"/>
    </xf>
    <xf numFmtId="0" fontId="0" fillId="0" borderId="61" applyAlignment="1" pivotButton="0" quotePrefix="0" xfId="0">
      <alignment horizontal="right" vertical="center"/>
    </xf>
    <xf numFmtId="49" fontId="0" fillId="23" borderId="62" applyAlignment="1" pivotButton="0" quotePrefix="0" xfId="0">
      <alignment horizontal="right" vertical="center"/>
    </xf>
    <xf numFmtId="0" fontId="0" fillId="0" borderId="63" applyAlignment="1" pivotButton="0" quotePrefix="0" xfId="0">
      <alignment horizontal="right" vertical="center"/>
    </xf>
    <xf numFmtId="49" fontId="0" fillId="25" borderId="54" applyAlignment="1" pivotButton="0" quotePrefix="0" xfId="0">
      <alignment horizontal="center" vertical="center" wrapText="1"/>
    </xf>
    <xf numFmtId="0" fontId="0" fillId="25" borderId="56" applyAlignment="1" pivotButton="0" quotePrefix="0" xfId="0">
      <alignment horizontal="center" vertical="center" wrapText="1"/>
    </xf>
    <xf numFmtId="0" fontId="0" fillId="25" borderId="55" applyAlignment="1" pivotButton="0" quotePrefix="0" xfId="0">
      <alignment horizontal="center" vertical="center" wrapText="1"/>
    </xf>
    <xf numFmtId="49" fontId="0" fillId="21" borderId="56" applyAlignment="1" pivotButton="0" quotePrefix="0" xfId="0">
      <alignment horizontal="center" vertical="center" wrapText="1"/>
    </xf>
    <xf numFmtId="49" fontId="0" fillId="21" borderId="57" applyAlignment="1" pivotButton="0" quotePrefix="0" xfId="0">
      <alignment horizontal="center" vertical="center" wrapText="1"/>
    </xf>
    <xf numFmtId="49" fontId="0" fillId="24" borderId="54" applyAlignment="1" pivotButton="0" quotePrefix="0" xfId="0">
      <alignment horizontal="center" vertical="center" wrapText="1"/>
    </xf>
    <xf numFmtId="0" fontId="0" fillId="24" borderId="55" applyAlignment="1" pivotButton="0" quotePrefix="0" xfId="0">
      <alignment horizontal="center" vertical="center" wrapText="1"/>
    </xf>
    <xf numFmtId="49" fontId="7" fillId="11" borderId="5" applyAlignment="1" pivotButton="0" quotePrefix="0" xfId="0">
      <alignment horizontal="center"/>
    </xf>
    <xf numFmtId="0" fontId="0" fillId="0" borderId="41" pivotButton="0" quotePrefix="0" xfId="0"/>
    <xf numFmtId="0" fontId="0" fillId="0" borderId="42" pivotButton="0" quotePrefix="0" xfId="0"/>
    <xf numFmtId="0" fontId="0" fillId="0" borderId="3" pivotButton="0" quotePrefix="0" xfId="0"/>
    <xf numFmtId="0" fontId="0" fillId="0" borderId="53" pivotButton="0" quotePrefix="0" xfId="0"/>
    <xf numFmtId="49" fontId="0" fillId="23" borderId="84" applyAlignment="1" pivotButton="0" quotePrefix="0" xfId="0">
      <alignment horizontal="right" vertical="center" wrapText="1"/>
    </xf>
    <xf numFmtId="0" fontId="0" fillId="0" borderId="55" pivotButton="0" quotePrefix="0" xfId="0"/>
    <xf numFmtId="49" fontId="0" fillId="21" borderId="10" applyAlignment="1" pivotButton="0" quotePrefix="0" xfId="0">
      <alignment horizontal="center" vertical="center" wrapText="1"/>
    </xf>
    <xf numFmtId="0" fontId="0" fillId="0" borderId="56" pivotButton="0" quotePrefix="0" xfId="0"/>
    <xf numFmtId="0" fontId="0" fillId="0" borderId="57" pivotButton="0" quotePrefix="0" xfId="0"/>
    <xf numFmtId="49" fontId="0" fillId="21" borderId="66" applyAlignment="1" pivotButton="0" quotePrefix="0" xfId="0">
      <alignment horizontal="center" vertical="center" wrapText="1"/>
    </xf>
    <xf numFmtId="49" fontId="0" fillId="24" borderId="57" applyAlignment="1" pivotButton="0" quotePrefix="0" xfId="0">
      <alignment horizontal="center" vertical="center" wrapText="1"/>
    </xf>
    <xf numFmtId="49" fontId="0" fillId="24" borderId="66" applyAlignment="1" pivotButton="0" quotePrefix="0" xfId="0">
      <alignment horizontal="center" vertical="center" wrapText="1"/>
    </xf>
    <xf numFmtId="49" fontId="0" fillId="25" borderId="84" applyAlignment="1" pivotButton="0" quotePrefix="0" xfId="0">
      <alignment horizontal="center" vertical="center" wrapText="1"/>
    </xf>
    <xf numFmtId="49" fontId="0" fillId="26" borderId="55" applyAlignment="1" pivotButton="0" quotePrefix="0" xfId="0">
      <alignment horizontal="center" vertical="center" wrapText="1"/>
    </xf>
    <xf numFmtId="49" fontId="0" fillId="23" borderId="82" applyAlignment="1" pivotButton="0" quotePrefix="0" xfId="0">
      <alignment horizontal="right" vertical="center"/>
    </xf>
    <xf numFmtId="0" fontId="0" fillId="0" borderId="61" pivotButton="0" quotePrefix="0" xfId="0"/>
    <xf numFmtId="49" fontId="0" fillId="23" borderId="47" applyAlignment="1" pivotButton="0" quotePrefix="0" xfId="0">
      <alignment horizontal="right" vertical="center"/>
    </xf>
    <xf numFmtId="0" fontId="0" fillId="0" borderId="63" pivotButton="0" quotePrefix="0" xfId="0"/>
    <xf numFmtId="49" fontId="0" fillId="24" borderId="10" applyAlignment="1" pivotButton="0" quotePrefix="0" xfId="0">
      <alignment horizontal="center" vertical="center" wrapText="1"/>
    </xf>
    <xf numFmtId="49" fontId="0" fillId="24" borderId="11" applyAlignment="1" pivotButton="0" quotePrefix="0" xfId="0">
      <alignment horizontal="center" vertical="center" wrapText="1"/>
    </xf>
    <xf numFmtId="164" fontId="33" fillId="12" borderId="0" applyAlignment="1" pivotButton="0" quotePrefix="0" xfId="0">
      <alignment horizontal="left" vertical="center"/>
    </xf>
    <xf numFmtId="164" fontId="33" fillId="12" borderId="0" applyAlignment="1" pivotButton="0" quotePrefix="0" xfId="56">
      <alignment horizontal="left" vertical="center"/>
    </xf>
    <xf numFmtId="164" fontId="7" fillId="0" borderId="0" applyAlignment="1" pivotButton="0" quotePrefix="0" xfId="53">
      <alignment vertical="center"/>
    </xf>
  </cellXfs>
  <cellStyles count="74">
    <cellStyle name="標準" xfId="0" builtinId="0"/>
    <cellStyle name="11" xfId="1"/>
    <cellStyle name="Calc Currency (0)" xfId="2"/>
    <cellStyle name="ColumnAttributeAbovePrompt" xfId="3"/>
    <cellStyle name="ColumnAttributePrompt" xfId="4"/>
    <cellStyle name="ColumnAttributeValue" xfId="5"/>
    <cellStyle name="ColumnHeadingPrompt" xfId="6"/>
    <cellStyle name="ColumnHeadingValue" xfId="7"/>
    <cellStyle name="entry" xfId="8"/>
    <cellStyle name="Header1" xfId="9"/>
    <cellStyle name="Header2" xfId="10"/>
    <cellStyle name="LineItemPrompt" xfId="11"/>
    <cellStyle name="LineItemValue" xfId="12"/>
    <cellStyle name="Normal - Style1" xfId="13"/>
    <cellStyle name="Normal_#18-Internet" xfId="14"/>
    <cellStyle name="OUTPUT AMOUNTS" xfId="15"/>
    <cellStyle name="OUTPUT COLUMN HEADINGS" xfId="16"/>
    <cellStyle name="OUTPUT LINE ITEMS" xfId="17"/>
    <cellStyle name="OUTPUT REPORT HEADING" xfId="18"/>
    <cellStyle name="OUTPUT REPORT TITLE" xfId="19"/>
    <cellStyle name="price" xfId="20"/>
    <cellStyle name="ReportTitlePrompt" xfId="21"/>
    <cellStyle name="ReportTitleValue" xfId="22"/>
    <cellStyle name="revised" xfId="23"/>
    <cellStyle name="RowAcctAbovePrompt" xfId="24"/>
    <cellStyle name="RowAcctSOBAbovePrompt" xfId="25"/>
    <cellStyle name="RowAcctSOBValue" xfId="26"/>
    <cellStyle name="RowAcctValue" xfId="27"/>
    <cellStyle name="RowAttrAbovePrompt" xfId="28"/>
    <cellStyle name="RowAttrValue" xfId="29"/>
    <cellStyle name="RowColSetAbovePrompt" xfId="30"/>
    <cellStyle name="RowColSetLeftPrompt" xfId="31"/>
    <cellStyle name="RowColSetValue" xfId="32"/>
    <cellStyle name="RowLeftPrompt" xfId="33"/>
    <cellStyle name="SampleUsingFormatMask" xfId="34"/>
    <cellStyle name="SampleWithNoFormatMask" xfId="35"/>
    <cellStyle name="section" xfId="36"/>
    <cellStyle name="subhead" xfId="37"/>
    <cellStyle name="TEMP" xfId="38"/>
    <cellStyle name="title" xfId="39"/>
    <cellStyle name="UploadThisRowValue" xfId="40"/>
    <cellStyle name="基本フォーム" xfId="41"/>
    <cellStyle name="詳細" xfId="42"/>
    <cellStyle name="標準 2" xfId="43"/>
    <cellStyle name="標準 3" xfId="44"/>
    <cellStyle name="標準 4" xfId="45"/>
    <cellStyle name="標準 5" xfId="46"/>
    <cellStyle name="標準:銀行別入金表" xfId="47"/>
    <cellStyle name="標準:料金" xfId="48"/>
    <cellStyle name="標準_0003_チェック定義シート（事業所）v1.00" xfId="49"/>
    <cellStyle name="標準_0007_チェック定義シート（補助科目マスタ）v1.00" xfId="50"/>
    <cellStyle name="標準_0034_チェック定義シート（クレジット・カードコーポレートカード種別）v1.00" xfId="51"/>
    <cellStyle name="標準_0039_チェック定義シート（出納取引マスタ）v1.00" xfId="52"/>
    <cellStyle name="標準_Book1" xfId="53"/>
    <cellStyle name="標準_Sheet1" xfId="54"/>
    <cellStyle name="標準_移行データ入力シート" xfId="55"/>
    <cellStyle name="標準_植木コメント_共通関数外部設計書_XXFND_共通関数外部設計書（XxfndString）" xfId="56"/>
    <cellStyle name="標準_値セット(値)●" xfId="57"/>
    <cellStyle name="未定義" xfId="58"/>
    <cellStyle name="標準 2 3" xfId="59"/>
    <cellStyle name="標準 6" xfId="60"/>
    <cellStyle name="標準 7" xfId="61"/>
    <cellStyle name="標準 8" xfId="62"/>
    <cellStyle name="標準 9" xfId="63"/>
    <cellStyle name="標準 2 3 2" xfId="64"/>
    <cellStyle name="標準 2 4" xfId="65"/>
    <cellStyle name="標準 2 3 2 2" xfId="66"/>
    <cellStyle name="標準 8 2" xfId="67"/>
    <cellStyle name="標準 10" xfId="68"/>
    <cellStyle name="標準 9 2" xfId="69"/>
    <cellStyle name="標準 14" xfId="70"/>
    <cellStyle name="標準 114" xfId="71"/>
    <cellStyle name="標準 8 3" xfId="72"/>
    <cellStyle name="標準 2 2 2" xfId="73"/>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externalLink" Target="/xl/externalLinks/externalLink2.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keiri_213</author>
  </authors>
  <commentList>
    <comment ref="E1" authorId="0" shapeId="0">
      <text>
        <t>この内容がそのまま入力シート上部へ表示されます。</t>
      </text>
    </comment>
    <comment ref="F1" authorId="0" shapeId="0">
      <text>
        <t xml:space="preserve">この内容がそのまま入力シート上部へ表示されます。
</t>
      </text>
    </comment>
  </commentList>
</comments>
</file>

<file path=xl/comments/comment2.xml><?xml version="1.0" encoding="utf-8"?>
<comments xmlns="http://schemas.openxmlformats.org/spreadsheetml/2006/main">
  <authors>
    <author>keiri_215</author>
  </authors>
  <commentList>
    <comment ref="C3" authorId="0" shapeId="0">
      <text>
        <t xml:space="preserve">ここに記載した文言が、
処理結果ファイルの「NG詳細」シートの「エラー内容」欄に表示されます
</t>
      </text>
    </comment>
  </commentList>
</comments>
</file>

<file path=xl/externalLinks/_rels/externalLink1.xml.rels><Relationships xmlns="http://schemas.openxmlformats.org/package/2006/relationships"><Relationship Type="http://schemas.openxmlformats.org/officeDocument/2006/relationships/externalLinkPath" Target="file:///\\192.168.110.20\share\WINDOWS\Temporary%20Internet%20Files\Content.IE5\LLTWW692\file002(2).XLS" TargetMode="External" Id="rId1"/></Relationships>
</file>

<file path=xl/externalLinks/_rels/externalLink2.xml.rels><Relationships xmlns="http://schemas.openxmlformats.org/package/2006/relationships"><Relationship Type="http://schemas.openxmlformats.org/officeDocument/2006/relationships/externalLinkPath" Target="file:///\\Ntqueen.tk.lca\maccom\My%20Documents\&#19979;&#26399;&#26041;&#37341;&#30330;&#34920;&#20250;\&#20303;&#23429;&#12539;&#20184;&#21152;&#20385;&#20516;\7&#26376;\7&#65374;9&#26376;&#19978;&#26041;&#20462;&#27491;&#35336;&#30011;\&#20303;&#23429;&#12539;&#20184;&#21152;&#20385;&#20516;\6&#26376;\Desktop%20Folder\&#20303;&#23429;&#12539;&#20184;&#21152;&#20385;&#20516;\6&#26376;\32&#26399;&#12521;&#12452;&#12531;&#37096;&#38272;"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１．InfoCube (YKCH0010)案１"/>
      <sheetName val="１．InfoCube (YKCH0010) 案２"/>
      <sheetName val="属性一覧"/>
      <sheetName val="Sheet1"/>
      <sheetName val="リスト"/>
      <sheetName val="リスト値"/>
      <sheetName val="入力規則"/>
      <sheetName val="リスト（変更不可）"/>
      <sheetName val="パターン"/>
      <sheetName val="共通コード_SalesRegion"/>
      <sheetName val="Exchange rate list"/>
      <sheetName val="CompanyList_ComGroup"/>
      <sheetName val="master"/>
      <sheetName val="exchange_rate"/>
      <sheetName val="CompanyList"/>
      <sheetName val="CoA_lis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西ﾏｰｹ 事業部報告 "/>
      <sheetName val="濱村ﾁｰﾑ"/>
      <sheetName val="桐原ﾁｰﾑ"/>
      <sheetName val="大島チーム"/>
      <sheetName val="　東ﾏｰｹ　5月度"/>
      <sheetName val="西改善　総括"/>
      <sheetName val="久保A"/>
      <sheetName val="久保B"/>
      <sheetName val="新谷"/>
      <sheetName val="嶋寺"/>
      <sheetName val="坂本"/>
      <sheetName val="湯野川"/>
      <sheetName val="酒井"/>
      <sheetName val=" 田中"/>
      <sheetName val="EK-1 東改善部門報告"/>
      <sheetName val="EK-2 チーム報告"/>
      <sheetName val="EK-5 中経・計画値"/>
      <sheetName val="5-1-1 西支援 総括"/>
      <sheetName val="5-1-2西支援　数値実績"/>
      <sheetName val="REF"/>
      <sheetName val="プルダウンリスト"/>
      <sheetName val="(ワーク)リストボックスデータ"/>
      <sheetName val="【編集禁止】データシート"/>
      <sheetName val="list"/>
      <sheetName val="言語メニュー"/>
      <sheetName val="Sheet1"/>
      <sheetName val="Sheet2"/>
      <sheetName val="リスト"/>
      <sheetName val="14年度委託料一覧"/>
      <sheetName val="(Appendix)screen List"/>
      <sheetName val="Bill periods"/>
      <sheetName val="Sheet5"/>
      <sheetName val="会社コード一覧"/>
      <sheetName val="権限パターンリスト"/>
      <sheetName val="選択候補"/>
      <sheetName val="参考_プルダウン項目一覧"/>
      <sheetName val="プルダウン項目"/>
      <sheetName val="参考_選択候補"/>
      <sheetName val="プルダウン回答"/>
      <sheetName val="プルダウン"/>
      <sheetName val="hiddenSheet"/>
      <sheetName val="work"/>
      <sheetName val="【MST】"/>
      <sheetName val="プルダインメニュー"/>
      <sheetName val="【成果・支払・請求】使用者区分一覧"/>
      <sheetName val="【新MARS】使用者区分一覧"/>
      <sheetName val="【情機SYS】各種区分等一覧"/>
      <sheetName val="区分"/>
      <sheetName val="集計用振分区分"/>
      <sheetName val="売上集計"/>
      <sheetName val="Sheet3"/>
      <sheetName val="5_1_2西支援_数値実績"/>
      <sheetName val="西ﾏｰｹ 事業部報呈 "/>
      <sheetName val="濱村ﾁ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InputSheet">
    <outlinePr summaryBelow="1" summaryRight="1"/>
    <pageSetUpPr/>
  </sheetPr>
  <dimension ref="A1:W1550"/>
  <sheetViews>
    <sheetView tabSelected="1" topLeftCell="A4" zoomScale="55" zoomScaleNormal="55" zoomScaleSheetLayoutView="100" workbookViewId="0">
      <selection activeCell="A39" sqref="A39:XFD39"/>
    </sheetView>
  </sheetViews>
  <sheetFormatPr baseColWidth="8" defaultColWidth="9" defaultRowHeight="12"/>
  <cols>
    <col width="10.6640625" bestFit="1" customWidth="1" style="77" min="1" max="1"/>
    <col width="12.77734375" customWidth="1" style="85" min="2" max="2"/>
    <col width="15.109375" customWidth="1" style="85" min="3" max="3"/>
    <col width="44.77734375" customWidth="1" style="85" min="4" max="4"/>
    <col width="11.21875" customWidth="1" style="85" min="5" max="5"/>
    <col width="21.77734375" customWidth="1" style="85" min="6" max="6"/>
    <col width="16.33203125" customWidth="1" style="85" min="7" max="7"/>
    <col width="13.6640625" customWidth="1" style="85" min="8" max="9"/>
    <col width="13" customWidth="1" style="85" min="10" max="10"/>
    <col width="16" customWidth="1" style="85" min="11" max="14"/>
    <col width="14.77734375" customWidth="1" style="85" min="15" max="19"/>
    <col width="14.88671875" customWidth="1" style="85" min="20" max="20"/>
    <col width="12.77734375" customWidth="1" style="85" min="21" max="22"/>
    <col width="14" customWidth="1" style="85" min="23" max="23"/>
    <col width="9" customWidth="1" style="88" min="24" max="16384"/>
  </cols>
  <sheetData>
    <row r="1" ht="129" customFormat="1" customHeight="1" s="1" thickBot="1">
      <c r="A1" s="76" t="n"/>
      <c r="B1" s="267" t="inlineStr">
        <is>
          <t>1234</t>
        </is>
      </c>
    </row>
    <row r="2" ht="39.75" customFormat="1" customHeight="1" s="1" thickBot="1">
      <c r="A2" s="147" t="inlineStr">
        <is>
          <t>項目名</t>
        </is>
      </c>
      <c r="B2" s="264">
        <f>'サービスコードマスタ（入力シート説明）'!$B7</f>
        <v/>
      </c>
      <c r="C2" s="265">
        <f>'サービスコードマスタ（入力シート説明）'!$B8</f>
        <v/>
      </c>
      <c r="D2" s="265">
        <f>'サービスコードマスタ（入力シート説明）'!$B9</f>
        <v/>
      </c>
      <c r="E2" s="265">
        <f>'サービスコードマスタ（入力シート説明）'!$B10</f>
        <v/>
      </c>
      <c r="F2" s="265">
        <f>'サービスコードマスタ（入力シート説明）'!$B11</f>
        <v/>
      </c>
      <c r="G2" s="265">
        <f>'サービスコードマスタ（入力シート説明）'!$B12</f>
        <v/>
      </c>
      <c r="H2" s="265">
        <f>'サービスコードマスタ（入力シート説明）'!$B13</f>
        <v/>
      </c>
      <c r="I2" s="265">
        <f>'サービスコードマスタ（入力シート説明）'!$B14</f>
        <v/>
      </c>
      <c r="J2" s="265">
        <f>'サービスコードマスタ（入力シート説明）'!$B15</f>
        <v/>
      </c>
      <c r="K2" s="265">
        <f>'サービスコードマスタ（入力シート説明）'!$B16</f>
        <v/>
      </c>
      <c r="L2" s="265">
        <f>'サービスコードマスタ（入力シート説明）'!$B17</f>
        <v/>
      </c>
      <c r="M2" s="265">
        <f>'サービスコードマスタ（入力シート説明）'!$B18</f>
        <v/>
      </c>
      <c r="N2" s="265">
        <f>'サービスコードマスタ（入力シート説明）'!$B19</f>
        <v/>
      </c>
      <c r="O2" s="265">
        <f>'サービスコードマスタ（入力シート説明）'!$B20</f>
        <v/>
      </c>
      <c r="P2" s="265">
        <f>'サービスコードマスタ（入力シート説明）'!$B21</f>
        <v/>
      </c>
      <c r="Q2" s="265">
        <f>'サービスコードマスタ（入力シート説明）'!$B22</f>
        <v/>
      </c>
      <c r="R2" s="265">
        <f>'サービスコードマスタ（入力シート説明）'!$B23</f>
        <v/>
      </c>
      <c r="S2" s="265">
        <f>'サービスコードマスタ（入力シート説明）'!$B24</f>
        <v/>
      </c>
      <c r="T2" s="265">
        <f>'サービスコードマスタ（入力シート説明）'!$B25</f>
        <v/>
      </c>
      <c r="U2" s="265">
        <f>'サービスコードマスタ（入力シート説明）'!$B26</f>
        <v/>
      </c>
      <c r="V2" s="265">
        <f>'サービスコードマスタ（入力シート説明）'!$B27</f>
        <v/>
      </c>
      <c r="W2" s="266">
        <f>'サービスコードマスタ（入力シート説明）'!$B28</f>
        <v/>
      </c>
    </row>
    <row r="3" ht="18" customFormat="1" customHeight="1" s="1" thickTop="1">
      <c r="A3" s="147" t="inlineStr">
        <is>
          <t>データ決定者</t>
        </is>
      </c>
      <c r="B3" s="152">
        <f>'サービスコードマスタ（入力シート説明）'!$Q7</f>
        <v/>
      </c>
      <c r="C3" s="153">
        <f>'サービスコードマスタ（入力シート説明）'!$Q8</f>
        <v/>
      </c>
      <c r="D3" s="153">
        <f>'サービスコードマスタ（入力シート説明）'!$Q9</f>
        <v/>
      </c>
      <c r="E3" s="153">
        <f>'サービスコードマスタ（入力シート説明）'!$Q10</f>
        <v/>
      </c>
      <c r="F3" s="153">
        <f>'サービスコードマスタ（入力シート説明）'!$Q11</f>
        <v/>
      </c>
      <c r="G3" s="153">
        <f>'サービスコードマスタ（入力シート説明）'!$Q12</f>
        <v/>
      </c>
      <c r="H3" s="153">
        <f>'サービスコードマスタ（入力シート説明）'!$Q13</f>
        <v/>
      </c>
      <c r="I3" s="153">
        <f>'サービスコードマスタ（入力シート説明）'!$Q14</f>
        <v/>
      </c>
      <c r="J3" s="153">
        <f>'サービスコードマスタ（入力シート説明）'!$Q15</f>
        <v/>
      </c>
      <c r="K3" s="153">
        <f>'サービスコードマスタ（入力シート説明）'!$Q16</f>
        <v/>
      </c>
      <c r="L3" s="153">
        <f>'サービスコードマスタ（入力シート説明）'!$Q17</f>
        <v/>
      </c>
      <c r="M3" s="153">
        <f>'サービスコードマスタ（入力シート説明）'!$Q18</f>
        <v/>
      </c>
      <c r="N3" s="153">
        <f>'サービスコードマスタ（入力シート説明）'!$Q19</f>
        <v/>
      </c>
      <c r="O3" s="153">
        <f>'サービスコードマスタ（入力シート説明）'!$Q20</f>
        <v/>
      </c>
      <c r="P3" s="153">
        <f>'サービスコードマスタ（入力シート説明）'!$Q21</f>
        <v/>
      </c>
      <c r="Q3" s="153">
        <f>'サービスコードマスタ（入力シート説明）'!$Q22</f>
        <v/>
      </c>
      <c r="R3" s="153">
        <f>'サービスコードマスタ（入力シート説明）'!$Q23</f>
        <v/>
      </c>
      <c r="S3" s="153">
        <f>'サービスコードマスタ（入力シート説明）'!$Q24</f>
        <v/>
      </c>
      <c r="T3" s="153">
        <f>'サービスコードマスタ（入力シート説明）'!$Q25</f>
        <v/>
      </c>
      <c r="U3" s="153">
        <f>'サービスコードマスタ（入力シート説明）'!$Q26</f>
        <v/>
      </c>
      <c r="V3" s="153">
        <f>'サービスコードマスタ（入力シート説明）'!$Q27</f>
        <v/>
      </c>
      <c r="W3" s="155">
        <f>'サービスコードマスタ（入力シート説明）'!$Q28</f>
        <v/>
      </c>
    </row>
    <row r="4" ht="149.25" customFormat="1" customHeight="1" s="162">
      <c r="A4" s="148" t="inlineStr">
        <is>
          <t>項目説明</t>
        </is>
      </c>
      <c r="B4" s="164">
        <f>'サービスコードマスタ（入力シート説明）'!$K7</f>
        <v/>
      </c>
      <c r="C4" s="165">
        <f>'サービスコードマスタ（入力シート説明）'!$K8</f>
        <v/>
      </c>
      <c r="D4" s="165">
        <f>'サービスコードマスタ（入力シート説明）'!$K9</f>
        <v/>
      </c>
      <c r="E4" s="165">
        <f>'サービスコードマスタ（入力シート説明）'!$K10</f>
        <v/>
      </c>
      <c r="F4" s="165">
        <f>'サービスコードマスタ（入力シート説明）'!$K11</f>
        <v/>
      </c>
      <c r="G4" s="165">
        <f>'サービスコードマスタ（入力シート説明）'!$K12</f>
        <v/>
      </c>
      <c r="H4" s="165">
        <f>'サービスコードマスタ（入力シート説明）'!$K13</f>
        <v/>
      </c>
      <c r="I4" s="165">
        <f>'サービスコードマスタ（入力シート説明）'!$K14</f>
        <v/>
      </c>
      <c r="J4" s="165">
        <f>'サービスコードマスタ（入力シート説明）'!$K15</f>
        <v/>
      </c>
      <c r="K4" s="165">
        <f>'サービスコードマスタ（入力シート説明）'!$K16</f>
        <v/>
      </c>
      <c r="L4" s="165">
        <f>'サービスコードマスタ（入力シート説明）'!$K17</f>
        <v/>
      </c>
      <c r="M4" s="165">
        <f>'サービスコードマスタ（入力シート説明）'!$K18</f>
        <v/>
      </c>
      <c r="N4" s="165">
        <f>'サービスコードマスタ（入力シート説明）'!$K19</f>
        <v/>
      </c>
      <c r="O4" s="165">
        <f>'サービスコードマスタ（入力シート説明）'!$K20</f>
        <v/>
      </c>
      <c r="P4" s="165">
        <f>'サービスコードマスタ（入力シート説明）'!$K21</f>
        <v/>
      </c>
      <c r="Q4" s="165">
        <f>'サービスコードマスタ（入力シート説明）'!$K22</f>
        <v/>
      </c>
      <c r="R4" s="165">
        <f>'サービスコードマスタ（入力シート説明）'!$K23</f>
        <v/>
      </c>
      <c r="S4" s="165">
        <f>'サービスコードマスタ（入力シート説明）'!$K24</f>
        <v/>
      </c>
      <c r="T4" s="165">
        <f>'サービスコードマスタ（入力シート説明）'!$K25</f>
        <v/>
      </c>
      <c r="U4" s="165">
        <f>'サービスコードマスタ（入力シート説明）'!$K26</f>
        <v/>
      </c>
      <c r="V4" s="165">
        <f>'サービスコードマスタ（入力シート説明）'!$K27</f>
        <v/>
      </c>
      <c r="W4" s="166">
        <f>'サービスコードマスタ（入力シート説明）'!$K28</f>
        <v/>
      </c>
    </row>
    <row r="5" ht="18" customFormat="1" customHeight="1" s="1">
      <c r="A5" s="147" t="inlineStr">
        <is>
          <t>バイト数</t>
        </is>
      </c>
      <c r="B5" s="149">
        <f>'サービスコードマスタ（入力シート説明）'!$D7</f>
        <v/>
      </c>
      <c r="C5" s="150">
        <f>'サービスコードマスタ（入力シート説明）'!$D8</f>
        <v/>
      </c>
      <c r="D5" s="150">
        <f>'サービスコードマスタ（入力シート説明）'!$D9</f>
        <v/>
      </c>
      <c r="E5" s="150">
        <f>'サービスコードマスタ（入力シート説明）'!$D10</f>
        <v/>
      </c>
      <c r="F5" s="150">
        <f>'サービスコードマスタ（入力シート説明）'!$D11</f>
        <v/>
      </c>
      <c r="G5" s="150">
        <f>'サービスコードマスタ（入力シート説明）'!$D12</f>
        <v/>
      </c>
      <c r="H5" s="150">
        <f>'サービスコードマスタ（入力シート説明）'!$D13</f>
        <v/>
      </c>
      <c r="I5" s="150">
        <f>'サービスコードマスタ（入力シート説明）'!$D14</f>
        <v/>
      </c>
      <c r="J5" s="150">
        <f>'サービスコードマスタ（入力シート説明）'!$D15</f>
        <v/>
      </c>
      <c r="K5" s="150">
        <f>'サービスコードマスタ（入力シート説明）'!$D16</f>
        <v/>
      </c>
      <c r="L5" s="150">
        <f>'サービスコードマスタ（入力シート説明）'!$D17</f>
        <v/>
      </c>
      <c r="M5" s="150">
        <f>'サービスコードマスタ（入力シート説明）'!$D18</f>
        <v/>
      </c>
      <c r="N5" s="150">
        <f>'サービスコードマスタ（入力シート説明）'!$D19</f>
        <v/>
      </c>
      <c r="O5" s="150">
        <f>'サービスコードマスタ（入力シート説明）'!$D20</f>
        <v/>
      </c>
      <c r="P5" s="150">
        <f>'サービスコードマスタ（入力シート説明）'!$D21</f>
        <v/>
      </c>
      <c r="Q5" s="150">
        <f>'サービスコードマスタ（入力シート説明）'!$D22</f>
        <v/>
      </c>
      <c r="R5" s="150">
        <f>'サービスコードマスタ（入力シート説明）'!$D23</f>
        <v/>
      </c>
      <c r="S5" s="150">
        <f>'サービスコードマスタ（入力シート説明）'!$D24</f>
        <v/>
      </c>
      <c r="T5" s="150">
        <f>'サービスコードマスタ（入力シート説明）'!$D25</f>
        <v/>
      </c>
      <c r="U5" s="150">
        <f>'サービスコードマスタ（入力シート説明）'!$D26</f>
        <v/>
      </c>
      <c r="V5" s="150">
        <f>'サービスコードマスタ（入力シート説明）'!$D27</f>
        <v/>
      </c>
      <c r="W5" s="151">
        <f>'サービスコードマスタ（入力シート説明）'!$D28</f>
        <v/>
      </c>
    </row>
    <row r="6" ht="18" customFormat="1" customHeight="1" s="1">
      <c r="A6" s="147" t="inlineStr">
        <is>
          <t>必須区分</t>
        </is>
      </c>
      <c r="B6" s="271">
        <f>'サービスコードマスタ（入力シート説明）'!$E7</f>
        <v/>
      </c>
      <c r="C6" s="272">
        <f>'サービスコードマスタ（入力シート説明）'!$E8</f>
        <v/>
      </c>
      <c r="D6" s="272">
        <f>'サービスコードマスタ（入力シート説明）'!$E9</f>
        <v/>
      </c>
      <c r="E6" s="272">
        <f>'サービスコードマスタ（入力シート説明）'!$E10</f>
        <v/>
      </c>
      <c r="F6" s="272">
        <f>'サービスコードマスタ（入力シート説明）'!$E11</f>
        <v/>
      </c>
      <c r="G6" s="272">
        <f>'サービスコードマスタ（入力シート説明）'!$E12</f>
        <v/>
      </c>
      <c r="H6" s="272">
        <f>'サービスコードマスタ（入力シート説明）'!$E13</f>
        <v/>
      </c>
      <c r="I6" s="272">
        <f>'サービスコードマスタ（入力シート説明）'!$E14</f>
        <v/>
      </c>
      <c r="J6" s="272">
        <f>'サービスコードマスタ（入力シート説明）'!$E15</f>
        <v/>
      </c>
      <c r="K6" s="272">
        <f>'サービスコードマスタ（入力シート説明）'!$E16</f>
        <v/>
      </c>
      <c r="L6" s="272">
        <f>'サービスコードマスタ（入力シート説明）'!$E17</f>
        <v/>
      </c>
      <c r="M6" s="272">
        <f>'サービスコードマスタ（入力シート説明）'!$E18</f>
        <v/>
      </c>
      <c r="N6" s="272">
        <f>'サービスコードマスタ（入力シート説明）'!$E19</f>
        <v/>
      </c>
      <c r="O6" s="272">
        <f>'サービスコードマスタ（入力シート説明）'!$E20</f>
        <v/>
      </c>
      <c r="P6" s="272">
        <f>'サービスコードマスタ（入力シート説明）'!$E21</f>
        <v/>
      </c>
      <c r="Q6" s="272">
        <f>'サービスコードマスタ（入力シート説明）'!$E22</f>
        <v/>
      </c>
      <c r="R6" s="272">
        <f>'サービスコードマスタ（入力シート説明）'!$E23</f>
        <v/>
      </c>
      <c r="S6" s="272">
        <f>'サービスコードマスタ（入力シート説明）'!$E24</f>
        <v/>
      </c>
      <c r="T6" s="272">
        <f>'サービスコードマスタ（入力シート説明）'!$E25</f>
        <v/>
      </c>
      <c r="U6" s="272">
        <f>'サービスコードマスタ（入力シート説明）'!$E26</f>
        <v/>
      </c>
      <c r="V6" s="272">
        <f>'サービスコードマスタ（入力シート説明）'!$E27</f>
        <v/>
      </c>
      <c r="W6" s="273">
        <f>'サービスコードマスタ（入力シート説明）'!$E28</f>
        <v/>
      </c>
    </row>
    <row r="7" ht="17.4" customFormat="1" customHeight="1" s="289">
      <c r="A7" s="283" t="inlineStr">
        <is>
          <t>-</t>
        </is>
      </c>
      <c r="B7" s="284" t="inlineStr">
        <is>
          <t>1234</t>
        </is>
      </c>
      <c r="C7" s="285" t="inlineStr">
        <is>
          <t>9000000001</t>
        </is>
      </c>
      <c r="D7" s="286" t="inlineStr">
        <is>
          <t>OK_子値標準（収益）</t>
        </is>
      </c>
      <c r="E7" s="286" t="inlineStr">
        <is>
          <t>Y</t>
        </is>
      </c>
      <c r="F7" s="286" t="inlineStr">
        <is>
          <t>20260329</t>
        </is>
      </c>
      <c r="G7" s="286" t="n"/>
      <c r="H7" s="286" t="inlineStr">
        <is>
          <t>N</t>
        </is>
      </c>
      <c r="I7" s="286" t="n"/>
      <c r="J7" s="286" t="n"/>
      <c r="K7" s="286" t="n"/>
      <c r="L7" s="286" t="n"/>
      <c r="M7" s="286" t="inlineStr">
        <is>
          <t>9000000001</t>
        </is>
      </c>
      <c r="N7" s="287" t="inlineStr">
        <is>
          <t>0000000000</t>
        </is>
      </c>
      <c r="O7" s="286" t="inlineStr">
        <is>
          <t>Y</t>
        </is>
      </c>
      <c r="P7" s="286" t="n"/>
      <c r="Q7" s="286" t="n"/>
      <c r="R7" s="286" t="inlineStr">
        <is>
          <t>Y</t>
        </is>
      </c>
      <c r="S7" s="286" t="inlineStr">
        <is>
          <t>73A</t>
        </is>
      </c>
      <c r="T7" s="286" t="inlineStr">
        <is>
          <t>Y</t>
        </is>
      </c>
      <c r="U7" s="286" t="n"/>
      <c r="V7" s="286" t="n"/>
      <c r="W7" s="293" t="inlineStr">
        <is>
          <t>-:データあり</t>
        </is>
      </c>
    </row>
    <row r="8" ht="14.4" customFormat="1" customHeight="1" s="289">
      <c r="A8" s="283" t="inlineStr">
        <is>
          <t>-</t>
        </is>
      </c>
      <c r="B8" s="284" t="inlineStr">
        <is>
          <t>1234</t>
        </is>
      </c>
      <c r="C8" s="285" t="inlineStr">
        <is>
          <t>1000000001</t>
        </is>
      </c>
      <c r="D8" s="286" t="inlineStr">
        <is>
          <t>NG_チェック2_親かつWBS有</t>
        </is>
      </c>
      <c r="E8" s="286" t="inlineStr">
        <is>
          <t>Y</t>
        </is>
      </c>
      <c r="F8" s="286" t="inlineStr">
        <is>
          <t>20260329</t>
        </is>
      </c>
      <c r="G8" s="286" t="n"/>
      <c r="H8" s="286" t="inlineStr">
        <is>
          <t>Y</t>
        </is>
      </c>
      <c r="I8" s="286" t="inlineStr">
        <is>
          <t>2</t>
        </is>
      </c>
      <c r="J8" s="286" t="inlineStr">
        <is>
          <t>C</t>
        </is>
      </c>
      <c r="K8" s="286" t="inlineStr">
        <is>
          <t>1000000001</t>
        </is>
      </c>
      <c r="L8" s="286" t="inlineStr">
        <is>
          <t>1099999999</t>
        </is>
      </c>
      <c r="M8" s="286" t="n"/>
      <c r="N8" s="286" t="n"/>
      <c r="O8" s="286" t="n"/>
      <c r="P8" s="286" t="n"/>
      <c r="Q8" s="286" t="n"/>
      <c r="R8" s="286" t="n"/>
      <c r="S8" s="286" t="n"/>
      <c r="T8" s="286" t="inlineStr">
        <is>
          <t>Y</t>
        </is>
      </c>
      <c r="U8" s="286" t="n"/>
      <c r="V8" s="286" t="n"/>
      <c r="W8" s="293" t="inlineStr">
        <is>
          <t>-:データあり</t>
        </is>
      </c>
    </row>
    <row r="9" ht="17.4" customFormat="1" customHeight="1" s="289">
      <c r="A9" s="283" t="inlineStr">
        <is>
          <t>-</t>
        </is>
      </c>
      <c r="B9" s="284" t="inlineStr">
        <is>
          <t>1234</t>
        </is>
      </c>
      <c r="C9" s="285" t="inlineStr">
        <is>
          <t>2000000001</t>
        </is>
      </c>
      <c r="D9" s="286" t="inlineStr">
        <is>
          <t>NG_チェック3_子かつ費用不一致</t>
        </is>
      </c>
      <c r="E9" s="286" t="inlineStr">
        <is>
          <t>Y</t>
        </is>
      </c>
      <c r="F9" s="286" t="inlineStr">
        <is>
          <t>20260329</t>
        </is>
      </c>
      <c r="G9" s="286" t="n"/>
      <c r="H9" s="286" t="inlineStr">
        <is>
          <t>N</t>
        </is>
      </c>
      <c r="I9" s="286" t="n"/>
      <c r="J9" s="286" t="n"/>
      <c r="K9" s="286" t="n"/>
      <c r="L9" s="286" t="n"/>
      <c r="M9" s="286" t="inlineStr">
        <is>
          <t>9999999999</t>
        </is>
      </c>
      <c r="N9" s="287" t="inlineStr">
        <is>
          <t>0000000000</t>
        </is>
      </c>
      <c r="O9" s="286" t="inlineStr">
        <is>
          <t>Y</t>
        </is>
      </c>
      <c r="P9" s="286" t="n"/>
      <c r="Q9" s="286" t="n"/>
      <c r="R9" s="286" t="n"/>
      <c r="S9" s="286" t="inlineStr">
        <is>
          <t>73A</t>
        </is>
      </c>
      <c r="T9" s="286" t="inlineStr">
        <is>
          <t>Y</t>
        </is>
      </c>
      <c r="U9" s="286" t="n"/>
      <c r="V9" s="286" t="n"/>
      <c r="W9" s="293" t="inlineStr">
        <is>
          <t>-:データあり</t>
        </is>
      </c>
    </row>
    <row r="10" ht="17.4" customFormat="1" customHeight="1" s="289">
      <c r="A10" s="283" t="inlineStr">
        <is>
          <t>-</t>
        </is>
      </c>
      <c r="B10" s="284" t="inlineStr">
        <is>
          <t>1234</t>
        </is>
      </c>
      <c r="C10" s="287" t="inlineStr">
        <is>
          <t>0000000000</t>
        </is>
      </c>
      <c r="D10" s="286" t="inlineStr">
        <is>
          <t>NG_4-01_費用L不一致（ゼロ埋め）</t>
        </is>
      </c>
      <c r="E10" s="286" t="inlineStr">
        <is>
          <t>Y</t>
        </is>
      </c>
      <c r="F10" s="286" t="inlineStr">
        <is>
          <t>20260329</t>
        </is>
      </c>
      <c r="G10" s="286" t="n"/>
      <c r="H10" s="286" t="inlineStr">
        <is>
          <t>N</t>
        </is>
      </c>
      <c r="I10" s="286" t="n"/>
      <c r="J10" s="286" t="n"/>
      <c r="K10" s="286" t="n"/>
      <c r="L10" s="286" t="n"/>
      <c r="M10" s="286" t="inlineStr">
        <is>
          <t>1111111111</t>
        </is>
      </c>
      <c r="N10" s="286" t="n"/>
      <c r="O10" s="286" t="n"/>
      <c r="P10" s="286" t="inlineStr">
        <is>
          <t>Y</t>
        </is>
      </c>
      <c r="Q10" s="286" t="n"/>
      <c r="R10" s="286" t="n"/>
      <c r="S10" s="286" t="n"/>
      <c r="T10" s="286" t="inlineStr">
        <is>
          <t>Y</t>
        </is>
      </c>
      <c r="U10" s="286" t="n"/>
      <c r="V10" s="286" t="n"/>
      <c r="W10" s="293" t="inlineStr">
        <is>
          <t>-:データあり</t>
        </is>
      </c>
    </row>
    <row r="11" ht="17.4" customFormat="1" customHeight="1" s="289">
      <c r="A11" s="283" t="inlineStr">
        <is>
          <t>-</t>
        </is>
      </c>
      <c r="B11" s="284" t="inlineStr">
        <is>
          <t>1234</t>
        </is>
      </c>
      <c r="C11" s="287" t="inlineStr">
        <is>
          <t>0000000000</t>
        </is>
      </c>
      <c r="D11" s="286" t="inlineStr">
        <is>
          <t>NG_4-02_事業Lあり</t>
        </is>
      </c>
      <c r="E11" s="286" t="inlineStr">
        <is>
          <t>Y</t>
        </is>
      </c>
      <c r="F11" s="286" t="inlineStr">
        <is>
          <t>20260329</t>
        </is>
      </c>
      <c r="G11" s="286" t="n"/>
      <c r="H11" s="286" t="inlineStr">
        <is>
          <t>N</t>
        </is>
      </c>
      <c r="I11" s="286" t="n"/>
      <c r="J11" s="286" t="n"/>
      <c r="K11" s="286" t="n"/>
      <c r="L11" s="286" t="n"/>
      <c r="M11" s="287" t="inlineStr">
        <is>
          <t>0000000000</t>
        </is>
      </c>
      <c r="N11" s="286" t="inlineStr">
        <is>
          <t>1111111111</t>
        </is>
      </c>
      <c r="O11" s="286" t="n"/>
      <c r="P11" s="286" t="inlineStr">
        <is>
          <t>Y</t>
        </is>
      </c>
      <c r="Q11" s="286" t="n"/>
      <c r="R11" s="286" t="n"/>
      <c r="S11" s="286" t="n"/>
      <c r="T11" s="286" t="inlineStr">
        <is>
          <t>Y</t>
        </is>
      </c>
      <c r="U11" s="286" t="n"/>
      <c r="V11" s="286" t="n"/>
      <c r="W11" s="293" t="inlineStr">
        <is>
          <t>-:データあり</t>
        </is>
      </c>
    </row>
    <row r="12" ht="17.4" customFormat="1" customHeight="1" s="289">
      <c r="A12" s="283" t="inlineStr">
        <is>
          <t>-</t>
        </is>
      </c>
      <c r="B12" s="284" t="inlineStr">
        <is>
          <t>1234</t>
        </is>
      </c>
      <c r="C12" s="287" t="inlineStr">
        <is>
          <t>0000000000</t>
        </is>
      </c>
      <c r="D12" s="286" t="inlineStr">
        <is>
          <t>NG_4-03_収益Y</t>
        </is>
      </c>
      <c r="E12" s="286" t="inlineStr">
        <is>
          <t>Y</t>
        </is>
      </c>
      <c r="F12" s="286" t="inlineStr">
        <is>
          <t>20260329</t>
        </is>
      </c>
      <c r="G12" s="286" t="n"/>
      <c r="H12" s="286" t="inlineStr">
        <is>
          <t>N</t>
        </is>
      </c>
      <c r="I12" s="286" t="n"/>
      <c r="J12" s="286" t="n"/>
      <c r="K12" s="286" t="n"/>
      <c r="L12" s="286" t="n"/>
      <c r="M12" s="287" t="inlineStr">
        <is>
          <t>0000000000</t>
        </is>
      </c>
      <c r="N12" s="286" t="n"/>
      <c r="O12" s="286" t="inlineStr">
        <is>
          <t>Y</t>
        </is>
      </c>
      <c r="P12" s="286" t="inlineStr">
        <is>
          <t>Y</t>
        </is>
      </c>
      <c r="Q12" s="286" t="n"/>
      <c r="R12" s="286" t="n"/>
      <c r="S12" s="286" t="n"/>
      <c r="T12" s="286" t="inlineStr">
        <is>
          <t>Y</t>
        </is>
      </c>
      <c r="U12" s="286" t="n"/>
      <c r="V12" s="286" t="n"/>
      <c r="W12" s="288" t="inlineStr">
        <is>
          <t>2:追加</t>
        </is>
      </c>
    </row>
    <row r="13" ht="17.4" customFormat="1" customHeight="1" s="289">
      <c r="A13" s="283" t="inlineStr">
        <is>
          <t>-</t>
        </is>
      </c>
      <c r="B13" s="284" t="inlineStr">
        <is>
          <t>1234</t>
        </is>
      </c>
      <c r="C13" s="287" t="inlineStr">
        <is>
          <t>0000000000</t>
        </is>
      </c>
      <c r="D13" s="286" t="inlineStr">
        <is>
          <t>NG_4-04_費用非Y</t>
        </is>
      </c>
      <c r="E13" s="286" t="inlineStr">
        <is>
          <t>Y</t>
        </is>
      </c>
      <c r="F13" s="286" t="inlineStr">
        <is>
          <t>20260329</t>
        </is>
      </c>
      <c r="G13" s="286" t="n"/>
      <c r="H13" s="286" t="inlineStr">
        <is>
          <t>N</t>
        </is>
      </c>
      <c r="I13" s="286" t="n"/>
      <c r="J13" s="286" t="n"/>
      <c r="K13" s="286" t="n"/>
      <c r="L13" s="286" t="n"/>
      <c r="M13" s="287" t="inlineStr">
        <is>
          <t>0000000000</t>
        </is>
      </c>
      <c r="N13" s="286" t="n"/>
      <c r="O13" s="286" t="n"/>
      <c r="P13" s="286" t="inlineStr">
        <is>
          <t>N</t>
        </is>
      </c>
      <c r="Q13" s="286" t="n"/>
      <c r="R13" s="286" t="n"/>
      <c r="S13" s="286" t="n"/>
      <c r="T13" s="286" t="inlineStr">
        <is>
          <t>Y</t>
        </is>
      </c>
      <c r="U13" s="286" t="n"/>
      <c r="V13" s="286" t="n"/>
      <c r="W13" s="288" t="inlineStr">
        <is>
          <t>2:追加</t>
        </is>
      </c>
    </row>
    <row r="14" ht="17.4" customFormat="1" customHeight="1" s="289">
      <c r="A14" s="283" t="inlineStr">
        <is>
          <t>-</t>
        </is>
      </c>
      <c r="B14" s="284" t="inlineStr">
        <is>
          <t>1234</t>
        </is>
      </c>
      <c r="C14" s="287" t="inlineStr">
        <is>
          <t>0000000000</t>
        </is>
      </c>
      <c r="D14" s="286" t="inlineStr">
        <is>
          <t>NG_4-05_固定資産Y</t>
        </is>
      </c>
      <c r="E14" s="286" t="inlineStr">
        <is>
          <t>Y</t>
        </is>
      </c>
      <c r="F14" s="286" t="inlineStr">
        <is>
          <t>20260329</t>
        </is>
      </c>
      <c r="G14" s="286" t="n"/>
      <c r="H14" s="286" t="inlineStr">
        <is>
          <t>N</t>
        </is>
      </c>
      <c r="I14" s="286" t="n"/>
      <c r="J14" s="286" t="n"/>
      <c r="K14" s="286" t="n"/>
      <c r="L14" s="286" t="n"/>
      <c r="M14" s="287" t="inlineStr">
        <is>
          <t>0000000000</t>
        </is>
      </c>
      <c r="N14" s="286" t="n"/>
      <c r="O14" s="286" t="n"/>
      <c r="P14" s="286" t="inlineStr">
        <is>
          <t>Y</t>
        </is>
      </c>
      <c r="Q14" s="286" t="inlineStr">
        <is>
          <t>Y</t>
        </is>
      </c>
      <c r="R14" s="286" t="n"/>
      <c r="S14" s="286" t="n"/>
      <c r="T14" s="286" t="inlineStr">
        <is>
          <t>Y</t>
        </is>
      </c>
      <c r="U14" s="286" t="n"/>
      <c r="V14" s="286" t="n"/>
      <c r="W14" s="288" t="inlineStr">
        <is>
          <t>2:追加</t>
        </is>
      </c>
    </row>
    <row r="15" ht="17.4" customFormat="1" customHeight="1" s="289">
      <c r="A15" s="283" t="inlineStr">
        <is>
          <t>-</t>
        </is>
      </c>
      <c r="B15" s="284" t="inlineStr">
        <is>
          <t>1234</t>
        </is>
      </c>
      <c r="C15" s="287" t="inlineStr">
        <is>
          <t>0000000000</t>
        </is>
      </c>
      <c r="D15" s="286" t="inlineStr">
        <is>
          <t>NG_4-06_区分経理Y</t>
        </is>
      </c>
      <c r="E15" s="286" t="inlineStr">
        <is>
          <t>Y</t>
        </is>
      </c>
      <c r="F15" s="286" t="inlineStr">
        <is>
          <t>20260329</t>
        </is>
      </c>
      <c r="G15" s="286" t="n"/>
      <c r="H15" s="286" t="inlineStr">
        <is>
          <t>N</t>
        </is>
      </c>
      <c r="I15" s="286" t="n"/>
      <c r="J15" s="286" t="n"/>
      <c r="K15" s="286" t="n"/>
      <c r="L15" s="286" t="n"/>
      <c r="M15" s="287" t="inlineStr">
        <is>
          <t>0000000000</t>
        </is>
      </c>
      <c r="N15" s="286" t="n"/>
      <c r="O15" s="286" t="n"/>
      <c r="P15" s="286" t="inlineStr">
        <is>
          <t>Y</t>
        </is>
      </c>
      <c r="Q15" s="286" t="n"/>
      <c r="R15" s="286" t="inlineStr">
        <is>
          <t>Y</t>
        </is>
      </c>
      <c r="S15" s="286" t="n"/>
      <c r="T15" s="286" t="inlineStr">
        <is>
          <t>Y</t>
        </is>
      </c>
      <c r="U15" s="286" t="n"/>
      <c r="V15" s="286" t="n"/>
      <c r="W15" s="288" t="inlineStr">
        <is>
          <t>2:追加</t>
        </is>
      </c>
    </row>
    <row r="16" ht="17.4" customFormat="1" customHeight="1" s="289">
      <c r="A16" s="283" t="inlineStr">
        <is>
          <t>-</t>
        </is>
      </c>
      <c r="B16" s="284" t="inlineStr">
        <is>
          <t>1234</t>
        </is>
      </c>
      <c r="C16" s="287" t="inlineStr">
        <is>
          <t>0000000000</t>
        </is>
      </c>
      <c r="D16" s="286" t="inlineStr">
        <is>
          <t>NG_4-07_税金あり</t>
        </is>
      </c>
      <c r="E16" s="286" t="inlineStr">
        <is>
          <t>Y</t>
        </is>
      </c>
      <c r="F16" s="286" t="inlineStr">
        <is>
          <t>20260329</t>
        </is>
      </c>
      <c r="G16" s="286" t="n"/>
      <c r="H16" s="286" t="inlineStr">
        <is>
          <t>N</t>
        </is>
      </c>
      <c r="I16" s="286" t="n"/>
      <c r="J16" s="286" t="n"/>
      <c r="K16" s="286" t="n"/>
      <c r="L16" s="286" t="n"/>
      <c r="M16" s="287" t="inlineStr">
        <is>
          <t>0000000000</t>
        </is>
      </c>
      <c r="N16" s="286" t="n"/>
      <c r="O16" s="286" t="n"/>
      <c r="P16" s="286" t="inlineStr">
        <is>
          <t>Y</t>
        </is>
      </c>
      <c r="Q16" s="286" t="n"/>
      <c r="R16" s="286" t="n"/>
      <c r="S16" s="286" t="inlineStr">
        <is>
          <t>73A</t>
        </is>
      </c>
      <c r="T16" s="286" t="inlineStr">
        <is>
          <t>Y</t>
        </is>
      </c>
      <c r="U16" s="286" t="n"/>
      <c r="V16" s="286" t="n"/>
      <c r="W16" s="288" t="inlineStr">
        <is>
          <t>2:追加</t>
        </is>
      </c>
    </row>
    <row r="17" ht="17.4" customFormat="1" customHeight="1" s="289">
      <c r="A17" s="283" t="inlineStr">
        <is>
          <t>-</t>
        </is>
      </c>
      <c r="B17" s="284" t="inlineStr">
        <is>
          <t>1234</t>
        </is>
      </c>
      <c r="C17" s="287" t="inlineStr">
        <is>
          <t>0000000000</t>
        </is>
      </c>
      <c r="D17" s="286" t="inlineStr">
        <is>
          <t>NG_4-08_WBS非Y</t>
        </is>
      </c>
      <c r="E17" s="286" t="inlineStr">
        <is>
          <t>Y</t>
        </is>
      </c>
      <c r="F17" s="286" t="inlineStr">
        <is>
          <t>20260329</t>
        </is>
      </c>
      <c r="G17" s="286" t="n"/>
      <c r="H17" s="286" t="inlineStr">
        <is>
          <t>N</t>
        </is>
      </c>
      <c r="I17" s="286" t="n"/>
      <c r="J17" s="286" t="n"/>
      <c r="K17" s="286" t="n"/>
      <c r="L17" s="286" t="n"/>
      <c r="M17" s="287" t="inlineStr">
        <is>
          <t>0000000000</t>
        </is>
      </c>
      <c r="N17" s="286" t="n"/>
      <c r="O17" s="286" t="n"/>
      <c r="P17" s="286" t="inlineStr">
        <is>
          <t>Y</t>
        </is>
      </c>
      <c r="Q17" s="286" t="n"/>
      <c r="R17" s="286" t="n"/>
      <c r="S17" s="286" t="n"/>
      <c r="T17" s="286" t="inlineStr">
        <is>
          <t>N</t>
        </is>
      </c>
      <c r="U17" s="286" t="n"/>
      <c r="V17" s="286" t="n"/>
      <c r="W17" s="288" t="inlineStr">
        <is>
          <t>2:追加</t>
        </is>
      </c>
    </row>
    <row r="18" ht="14.4" customFormat="1" customHeight="1" s="289">
      <c r="A18" s="283" t="inlineStr">
        <is>
          <t>-</t>
        </is>
      </c>
      <c r="B18" s="284" t="inlineStr">
        <is>
          <t>1001</t>
        </is>
      </c>
      <c r="C18" s="285" t="inlineStr">
        <is>
          <t>3000000001</t>
        </is>
      </c>
      <c r="D18" s="286" t="inlineStr">
        <is>
          <t>NG_5-01_再編資産区分非Y</t>
        </is>
      </c>
      <c r="E18" s="286" t="inlineStr">
        <is>
          <t>Y</t>
        </is>
      </c>
      <c r="F18" s="286" t="inlineStr">
        <is>
          <t>20260329</t>
        </is>
      </c>
      <c r="G18" s="286" t="n"/>
      <c r="H18" s="286" t="inlineStr">
        <is>
          <t>N</t>
        </is>
      </c>
      <c r="I18" s="286" t="n"/>
      <c r="J18" s="286" t="n"/>
      <c r="K18" s="286" t="n"/>
      <c r="L18" s="286" t="n"/>
      <c r="M18" s="286" t="inlineStr">
        <is>
          <t>3000000001</t>
        </is>
      </c>
      <c r="N18" s="286" t="inlineStr">
        <is>
          <t>3000000001</t>
        </is>
      </c>
      <c r="O18" s="286" t="n"/>
      <c r="P18" s="286" t="n"/>
      <c r="Q18" s="286" t="inlineStr">
        <is>
          <t>Y</t>
        </is>
      </c>
      <c r="R18" s="286" t="inlineStr">
        <is>
          <t>N</t>
        </is>
      </c>
      <c r="S18" s="286" t="n"/>
      <c r="T18" s="286" t="inlineStr">
        <is>
          <t>Y</t>
        </is>
      </c>
      <c r="U18" s="286" t="n"/>
      <c r="V18" s="286" t="n"/>
      <c r="W18" s="288" t="inlineStr">
        <is>
          <t>2:追加</t>
        </is>
      </c>
    </row>
    <row r="19" ht="14.4" customFormat="1" customHeight="1" s="289">
      <c r="A19" s="283" t="inlineStr">
        <is>
          <t>-</t>
        </is>
      </c>
      <c r="B19" s="284" t="inlineStr">
        <is>
          <t>1002</t>
        </is>
      </c>
      <c r="C19" s="285" t="inlineStr">
        <is>
          <t>3000000002</t>
        </is>
      </c>
      <c r="D19" s="286" t="inlineStr">
        <is>
          <t>NG_5-02_再編資産事業L不一致</t>
        </is>
      </c>
      <c r="E19" s="286" t="inlineStr">
        <is>
          <t>Y</t>
        </is>
      </c>
      <c r="F19" s="286" t="inlineStr">
        <is>
          <t>20260329</t>
        </is>
      </c>
      <c r="G19" s="286" t="n"/>
      <c r="H19" s="286" t="inlineStr">
        <is>
          <t>N</t>
        </is>
      </c>
      <c r="I19" s="286" t="n"/>
      <c r="J19" s="286" t="n"/>
      <c r="K19" s="286" t="n"/>
      <c r="L19" s="286" t="n"/>
      <c r="M19" s="286" t="inlineStr">
        <is>
          <t>3000000002</t>
        </is>
      </c>
      <c r="N19" s="286" t="inlineStr">
        <is>
          <t>9999999999</t>
        </is>
      </c>
      <c r="O19" s="286" t="n"/>
      <c r="P19" s="286" t="n"/>
      <c r="Q19" s="286" t="inlineStr">
        <is>
          <t>Y</t>
        </is>
      </c>
      <c r="R19" s="286" t="inlineStr">
        <is>
          <t>Y</t>
        </is>
      </c>
      <c r="S19" s="286" t="n"/>
      <c r="T19" s="286" t="inlineStr">
        <is>
          <t>Y</t>
        </is>
      </c>
      <c r="U19" s="286" t="n"/>
      <c r="V19" s="286" t="n"/>
      <c r="W19" s="288" t="inlineStr">
        <is>
          <t>2:追加</t>
        </is>
      </c>
    </row>
    <row r="20" ht="17.4" customFormat="1" customHeight="1" s="289">
      <c r="A20" s="283" t="inlineStr">
        <is>
          <t>-</t>
        </is>
      </c>
      <c r="B20" s="284" t="inlineStr">
        <is>
          <t>8888</t>
        </is>
      </c>
      <c r="C20" s="285" t="inlineStr">
        <is>
          <t>3000000003</t>
        </is>
      </c>
      <c r="D20" s="286" t="inlineStr">
        <is>
          <t>NG_5-03_非再編資産区分Y</t>
        </is>
      </c>
      <c r="E20" s="286" t="inlineStr">
        <is>
          <t>Y</t>
        </is>
      </c>
      <c r="F20" s="286" t="inlineStr">
        <is>
          <t>20260329</t>
        </is>
      </c>
      <c r="G20" s="286" t="n"/>
      <c r="H20" s="286" t="inlineStr">
        <is>
          <t>N</t>
        </is>
      </c>
      <c r="I20" s="286" t="n"/>
      <c r="J20" s="286" t="n"/>
      <c r="K20" s="286" t="n"/>
      <c r="L20" s="286" t="n"/>
      <c r="M20" s="286" t="inlineStr">
        <is>
          <t>3000000003</t>
        </is>
      </c>
      <c r="N20" s="287" t="inlineStr">
        <is>
          <t>0000000000</t>
        </is>
      </c>
      <c r="O20" s="286" t="n"/>
      <c r="P20" s="286" t="n"/>
      <c r="Q20" s="286" t="inlineStr">
        <is>
          <t>Y</t>
        </is>
      </c>
      <c r="R20" s="286" t="inlineStr">
        <is>
          <t>Y</t>
        </is>
      </c>
      <c r="S20" s="286" t="n"/>
      <c r="T20" s="286" t="inlineStr">
        <is>
          <t>Y</t>
        </is>
      </c>
      <c r="U20" s="286" t="n"/>
      <c r="V20" s="286" t="n"/>
      <c r="W20" s="288" t="inlineStr">
        <is>
          <t>2:追加</t>
        </is>
      </c>
    </row>
    <row r="21" ht="17.4" customFormat="1" customHeight="1" s="289">
      <c r="A21" s="283" t="inlineStr">
        <is>
          <t>-</t>
        </is>
      </c>
      <c r="B21" s="284" t="inlineStr">
        <is>
          <t>8888</t>
        </is>
      </c>
      <c r="C21" s="285" t="inlineStr">
        <is>
          <t>3000000004</t>
        </is>
      </c>
      <c r="D21" s="286" t="inlineStr">
        <is>
          <t>NG_5-04_非再編資産コード不備</t>
        </is>
      </c>
      <c r="E21" s="286" t="inlineStr">
        <is>
          <t>Y</t>
        </is>
      </c>
      <c r="F21" s="286" t="inlineStr">
        <is>
          <t>20260329</t>
        </is>
      </c>
      <c r="G21" s="286" t="n"/>
      <c r="H21" s="286" t="inlineStr">
        <is>
          <t>N</t>
        </is>
      </c>
      <c r="I21" s="286" t="n"/>
      <c r="J21" s="286" t="n"/>
      <c r="K21" s="286" t="n"/>
      <c r="L21" s="286" t="n"/>
      <c r="M21" s="286" t="inlineStr">
        <is>
          <t>3000000004</t>
        </is>
      </c>
      <c r="N21" s="287" t="inlineStr">
        <is>
          <t>0000000000</t>
        </is>
      </c>
      <c r="O21" s="286" t="n"/>
      <c r="P21" s="286" t="n"/>
      <c r="Q21" s="286" t="inlineStr">
        <is>
          <t>Y</t>
        </is>
      </c>
      <c r="R21" s="286" t="n"/>
      <c r="S21" s="286" t="n"/>
      <c r="T21" s="286" t="inlineStr">
        <is>
          <t>Y</t>
        </is>
      </c>
      <c r="U21" s="286" t="n"/>
      <c r="V21" s="286" t="n"/>
      <c r="W21" s="288" t="inlineStr">
        <is>
          <t>2:追加</t>
        </is>
      </c>
    </row>
    <row r="22" ht="17.4" customFormat="1" customHeight="1" s="289">
      <c r="A22" s="283" t="inlineStr">
        <is>
          <t>-</t>
        </is>
      </c>
      <c r="B22" s="284" t="inlineStr">
        <is>
          <t>1234</t>
        </is>
      </c>
      <c r="C22" s="285" t="inlineStr">
        <is>
          <t>4000000001</t>
        </is>
      </c>
      <c r="D22" s="286" t="inlineStr">
        <is>
          <t>NG_6-01_費用のみ税金あり</t>
        </is>
      </c>
      <c r="E22" s="286" t="inlineStr">
        <is>
          <t>Y</t>
        </is>
      </c>
      <c r="F22" s="286" t="inlineStr">
        <is>
          <t>20260329</t>
        </is>
      </c>
      <c r="G22" s="286" t="n"/>
      <c r="H22" s="286" t="inlineStr">
        <is>
          <t>N</t>
        </is>
      </c>
      <c r="I22" s="286" t="n"/>
      <c r="J22" s="286" t="n"/>
      <c r="K22" s="286" t="n"/>
      <c r="L22" s="286" t="n"/>
      <c r="M22" s="286" t="inlineStr">
        <is>
          <t>4000000001</t>
        </is>
      </c>
      <c r="N22" s="287" t="inlineStr">
        <is>
          <t>0000000000</t>
        </is>
      </c>
      <c r="O22" s="286" t="n"/>
      <c r="P22" s="286" t="inlineStr">
        <is>
          <t>Y</t>
        </is>
      </c>
      <c r="Q22" s="286" t="n"/>
      <c r="R22" s="286" t="n"/>
      <c r="S22" s="286" t="inlineStr">
        <is>
          <t>73A</t>
        </is>
      </c>
      <c r="T22" s="286" t="inlineStr">
        <is>
          <t>Y</t>
        </is>
      </c>
      <c r="U22" s="286" t="n"/>
      <c r="V22" s="286" t="n"/>
      <c r="W22" s="288" t="inlineStr">
        <is>
          <t>2:追加</t>
        </is>
      </c>
    </row>
    <row r="23" ht="17.4" customFormat="1" customHeight="1" s="289">
      <c r="A23" s="283" t="inlineStr">
        <is>
          <t>-</t>
        </is>
      </c>
      <c r="B23" s="284" t="inlineStr">
        <is>
          <t>1234</t>
        </is>
      </c>
      <c r="C23" s="285" t="inlineStr">
        <is>
          <t>4000000002</t>
        </is>
      </c>
      <c r="D23" s="286" t="inlineStr">
        <is>
          <t>NG_6-02_費用のみWBS非Y</t>
        </is>
      </c>
      <c r="E23" s="286" t="inlineStr">
        <is>
          <t>Y</t>
        </is>
      </c>
      <c r="F23" s="286" t="inlineStr">
        <is>
          <t>20260329</t>
        </is>
      </c>
      <c r="G23" s="286" t="n"/>
      <c r="H23" s="286" t="inlineStr">
        <is>
          <t>N</t>
        </is>
      </c>
      <c r="I23" s="286" t="n"/>
      <c r="J23" s="286" t="n"/>
      <c r="K23" s="286" t="n"/>
      <c r="L23" s="286" t="n"/>
      <c r="M23" s="286" t="inlineStr">
        <is>
          <t>4000000002</t>
        </is>
      </c>
      <c r="N23" s="287" t="inlineStr">
        <is>
          <t>0000000000</t>
        </is>
      </c>
      <c r="O23" s="286" t="n"/>
      <c r="P23" s="286" t="inlineStr">
        <is>
          <t>Y</t>
        </is>
      </c>
      <c r="Q23" s="286" t="n"/>
      <c r="R23" s="286" t="n"/>
      <c r="S23" s="286" t="n"/>
      <c r="T23" s="286" t="inlineStr">
        <is>
          <t>N</t>
        </is>
      </c>
      <c r="U23" s="286" t="n"/>
      <c r="V23" s="286" t="n"/>
      <c r="W23" s="288" t="inlineStr">
        <is>
          <t>2:追加</t>
        </is>
      </c>
    </row>
    <row r="24" ht="17.4" customFormat="1" customHeight="1" s="289">
      <c r="A24" s="283" t="inlineStr">
        <is>
          <t>-</t>
        </is>
      </c>
      <c r="B24" s="284" t="inlineStr">
        <is>
          <t>1234</t>
        </is>
      </c>
      <c r="C24" s="285" t="inlineStr">
        <is>
          <t>5000000001</t>
        </is>
      </c>
      <c r="D24" s="286" t="inlineStr">
        <is>
          <t>NG_7-01_収益税金末尾非A</t>
        </is>
      </c>
      <c r="E24" s="286" t="inlineStr">
        <is>
          <t>Y</t>
        </is>
      </c>
      <c r="F24" s="286" t="inlineStr">
        <is>
          <t>20260329</t>
        </is>
      </c>
      <c r="G24" s="286" t="n"/>
      <c r="H24" s="286" t="inlineStr">
        <is>
          <t>N</t>
        </is>
      </c>
      <c r="I24" s="286" t="n"/>
      <c r="J24" s="286" t="n"/>
      <c r="K24" s="286" t="n"/>
      <c r="L24" s="286" t="n"/>
      <c r="M24" s="286" t="inlineStr">
        <is>
          <t>5000000001</t>
        </is>
      </c>
      <c r="N24" s="287" t="inlineStr">
        <is>
          <t>0000000000</t>
        </is>
      </c>
      <c r="O24" s="286" t="inlineStr">
        <is>
          <t>Y</t>
        </is>
      </c>
      <c r="P24" s="286" t="n"/>
      <c r="Q24" s="286" t="n"/>
      <c r="R24" s="286" t="n"/>
      <c r="S24" s="286" t="inlineStr">
        <is>
          <t>73B</t>
        </is>
      </c>
      <c r="T24" s="286" t="inlineStr">
        <is>
          <t>Y</t>
        </is>
      </c>
      <c r="U24" s="286" t="n"/>
      <c r="V24" s="286" t="n"/>
      <c r="W24" s="288" t="inlineStr">
        <is>
          <t>2:追加</t>
        </is>
      </c>
    </row>
    <row r="25" ht="17.4" customFormat="1" customHeight="1" s="289">
      <c r="A25" s="283" t="inlineStr">
        <is>
          <t>-</t>
        </is>
      </c>
      <c r="B25" s="284" t="inlineStr">
        <is>
          <t>1234</t>
        </is>
      </c>
      <c r="C25" s="285" t="inlineStr">
        <is>
          <t>5000000002</t>
        </is>
      </c>
      <c r="D25" s="286" t="inlineStr">
        <is>
          <t>NG_7-02_収益WBS非Y</t>
        </is>
      </c>
      <c r="E25" s="286" t="inlineStr">
        <is>
          <t>Y</t>
        </is>
      </c>
      <c r="F25" s="286" t="inlineStr">
        <is>
          <t>20260329</t>
        </is>
      </c>
      <c r="G25" s="286" t="n"/>
      <c r="H25" s="286" t="inlineStr">
        <is>
          <t>N</t>
        </is>
      </c>
      <c r="I25" s="286" t="n"/>
      <c r="J25" s="286" t="n"/>
      <c r="K25" s="286" t="n"/>
      <c r="L25" s="286" t="n"/>
      <c r="M25" s="286" t="inlineStr">
        <is>
          <t>5000000002</t>
        </is>
      </c>
      <c r="N25" s="287" t="inlineStr">
        <is>
          <t>0000000000</t>
        </is>
      </c>
      <c r="O25" s="286" t="inlineStr">
        <is>
          <t>Y</t>
        </is>
      </c>
      <c r="P25" s="286" t="n"/>
      <c r="Q25" s="286" t="n"/>
      <c r="R25" s="286" t="n"/>
      <c r="S25" s="286" t="inlineStr">
        <is>
          <t>73A</t>
        </is>
      </c>
      <c r="T25" s="286" t="inlineStr">
        <is>
          <t>N</t>
        </is>
      </c>
      <c r="U25" s="286" t="n"/>
      <c r="V25" s="286" t="n"/>
      <c r="W25" s="288" t="inlineStr">
        <is>
          <t>2:追加</t>
        </is>
      </c>
    </row>
    <row r="26" ht="17.4" customFormat="1" customHeight="1" s="289">
      <c r="A26" s="283" t="inlineStr">
        <is>
          <t>-</t>
        </is>
      </c>
      <c r="B26" s="284" t="inlineStr">
        <is>
          <t>1234</t>
        </is>
      </c>
      <c r="C26" s="285" t="inlineStr">
        <is>
          <t>5000000003</t>
        </is>
      </c>
      <c r="D26" s="286" t="inlineStr">
        <is>
          <t>NG_7-03_非収益税金あり</t>
        </is>
      </c>
      <c r="E26" s="286" t="inlineStr">
        <is>
          <t>Y</t>
        </is>
      </c>
      <c r="F26" s="286" t="inlineStr">
        <is>
          <t>20260329</t>
        </is>
      </c>
      <c r="G26" s="286" t="n"/>
      <c r="H26" s="286" t="inlineStr">
        <is>
          <t>N</t>
        </is>
      </c>
      <c r="I26" s="286" t="n"/>
      <c r="J26" s="286" t="n"/>
      <c r="K26" s="286" t="n"/>
      <c r="L26" s="286" t="n"/>
      <c r="M26" s="286" t="inlineStr">
        <is>
          <t>5000000003</t>
        </is>
      </c>
      <c r="N26" s="287" t="inlineStr">
        <is>
          <t>0000000000</t>
        </is>
      </c>
      <c r="O26" s="286" t="inlineStr">
        <is>
          <t>N</t>
        </is>
      </c>
      <c r="P26" s="286" t="n"/>
      <c r="Q26" s="286" t="n"/>
      <c r="R26" s="286" t="n"/>
      <c r="S26" s="286" t="inlineStr">
        <is>
          <t>73A</t>
        </is>
      </c>
      <c r="T26" s="286" t="inlineStr">
        <is>
          <t>Y</t>
        </is>
      </c>
      <c r="U26" s="286" t="n"/>
      <c r="V26" s="286" t="n"/>
      <c r="W26" s="288" t="inlineStr">
        <is>
          <t>2:追加</t>
        </is>
      </c>
    </row>
    <row r="27" ht="14.4" customFormat="1" customHeight="1" s="289">
      <c r="A27" s="283" t="inlineStr">
        <is>
          <t>-</t>
        </is>
      </c>
      <c r="B27" s="284" t="inlineStr">
        <is>
          <t>8888</t>
        </is>
      </c>
      <c r="C27" s="285" t="inlineStr">
        <is>
          <t>6000000001</t>
        </is>
      </c>
      <c r="D27" s="286" t="inlineStr">
        <is>
          <t>NG_8-01_非再編事業L非0</t>
        </is>
      </c>
      <c r="E27" s="286" t="inlineStr">
        <is>
          <t>Y</t>
        </is>
      </c>
      <c r="F27" s="286" t="inlineStr">
        <is>
          <t>20260329</t>
        </is>
      </c>
      <c r="G27" s="286" t="n"/>
      <c r="H27" s="286" t="inlineStr">
        <is>
          <t>N</t>
        </is>
      </c>
      <c r="I27" s="286" t="n"/>
      <c r="J27" s="286" t="n"/>
      <c r="K27" s="286" t="n"/>
      <c r="L27" s="286" t="n"/>
      <c r="M27" s="286" t="inlineStr">
        <is>
          <t>6000000001</t>
        </is>
      </c>
      <c r="N27" s="286" t="inlineStr">
        <is>
          <t>1111111111</t>
        </is>
      </c>
      <c r="O27" s="286" t="inlineStr">
        <is>
          <t>Y</t>
        </is>
      </c>
      <c r="P27" s="286" t="n"/>
      <c r="Q27" s="286" t="n"/>
      <c r="R27" s="286" t="n"/>
      <c r="S27" s="286" t="inlineStr">
        <is>
          <t>73A</t>
        </is>
      </c>
      <c r="T27" s="286" t="inlineStr">
        <is>
          <t>Y</t>
        </is>
      </c>
      <c r="U27" s="286" t="n"/>
      <c r="V27" s="286" t="n"/>
      <c r="W27" s="288" t="inlineStr">
        <is>
          <t>2:追加</t>
        </is>
      </c>
    </row>
    <row r="28" ht="17.4" customFormat="1" customHeight="1" s="289">
      <c r="A28" s="283" t="inlineStr">
        <is>
          <t>-</t>
        </is>
      </c>
      <c r="B28" s="284" t="inlineStr">
        <is>
          <t>1234</t>
        </is>
      </c>
      <c r="C28" s="285" t="inlineStr">
        <is>
          <t>7000000001</t>
        </is>
      </c>
      <c r="D28" s="286" t="inlineStr">
        <is>
          <t>NG_9-01_収益費用共NULL</t>
        </is>
      </c>
      <c r="E28" s="286" t="inlineStr">
        <is>
          <t>Y</t>
        </is>
      </c>
      <c r="F28" s="286" t="inlineStr">
        <is>
          <t>20260329</t>
        </is>
      </c>
      <c r="G28" s="286" t="n"/>
      <c r="H28" s="286" t="inlineStr">
        <is>
          <t>N</t>
        </is>
      </c>
      <c r="I28" s="286" t="n"/>
      <c r="J28" s="286" t="n"/>
      <c r="K28" s="286" t="n"/>
      <c r="L28" s="286" t="n"/>
      <c r="M28" s="286" t="inlineStr">
        <is>
          <t>7000000001</t>
        </is>
      </c>
      <c r="N28" s="287" t="inlineStr">
        <is>
          <t>0000000000</t>
        </is>
      </c>
      <c r="O28" s="286" t="n"/>
      <c r="P28" s="286" t="n"/>
      <c r="Q28" s="286" t="n"/>
      <c r="R28" s="286" t="inlineStr">
        <is>
          <t>N</t>
        </is>
      </c>
      <c r="S28" s="286" t="n"/>
      <c r="T28" s="286" t="n"/>
      <c r="U28" s="286" t="n"/>
      <c r="V28" s="286" t="n"/>
      <c r="W28" s="288" t="inlineStr">
        <is>
          <t>2:追加</t>
        </is>
      </c>
    </row>
    <row r="29" ht="14.4" customFormat="1" customHeight="1" s="289">
      <c r="A29" s="283" t="inlineStr">
        <is>
          <t>-</t>
        </is>
      </c>
      <c r="B29" s="284" t="inlineStr">
        <is>
          <t>1003</t>
        </is>
      </c>
      <c r="C29" s="285" t="inlineStr">
        <is>
          <t>9000000002</t>
        </is>
      </c>
      <c r="D29" s="286" t="inlineStr">
        <is>
          <t>OK_9-01例外（再編区分Y）</t>
        </is>
      </c>
      <c r="E29" s="286" t="inlineStr">
        <is>
          <t>Y</t>
        </is>
      </c>
      <c r="F29" s="286" t="inlineStr">
        <is>
          <t>20260329</t>
        </is>
      </c>
      <c r="G29" s="286" t="n"/>
      <c r="H29" s="286" t="inlineStr">
        <is>
          <t>N</t>
        </is>
      </c>
      <c r="I29" s="286" t="n"/>
      <c r="J29" s="286" t="n"/>
      <c r="K29" s="286" t="n"/>
      <c r="L29" s="286" t="n"/>
      <c r="M29" s="286" t="inlineStr">
        <is>
          <t>9000000002</t>
        </is>
      </c>
      <c r="N29" s="286" t="inlineStr">
        <is>
          <t>9000000002</t>
        </is>
      </c>
      <c r="O29" s="286" t="n"/>
      <c r="P29" s="286" t="n"/>
      <c r="Q29" s="286" t="n"/>
      <c r="R29" s="286" t="inlineStr">
        <is>
          <t>Y</t>
        </is>
      </c>
      <c r="S29" s="286" t="n"/>
      <c r="T29" s="286" t="n"/>
      <c r="U29" s="286" t="n"/>
      <c r="V29" s="286" t="n"/>
      <c r="W29" s="288" t="inlineStr">
        <is>
          <t>2:追加</t>
        </is>
      </c>
    </row>
    <row r="30" ht="14.4" customFormat="1" customHeight="1" s="289">
      <c r="A30" s="283" t="inlineStr">
        <is>
          <t>-</t>
        </is>
      </c>
      <c r="B30" s="284" t="inlineStr">
        <is>
          <t>1234</t>
        </is>
      </c>
      <c r="C30" s="285" t="inlineStr">
        <is>
          <t>2100000000</t>
        </is>
      </c>
      <c r="D30" s="286" t="inlineStr">
        <is>
          <t>AAAAAA</t>
        </is>
      </c>
      <c r="E30" s="292" t="inlineStr">
        <is>
          <t>Y</t>
        </is>
      </c>
      <c r="F30" s="286" t="inlineStr">
        <is>
          <t>20230126</t>
        </is>
      </c>
      <c r="G30" s="286" t="n"/>
      <c r="H30" s="286" t="inlineStr">
        <is>
          <t>Y</t>
        </is>
      </c>
      <c r="I30" s="286" t="inlineStr">
        <is>
          <t>2</t>
        </is>
      </c>
      <c r="J30" s="286" t="inlineStr">
        <is>
          <t>C</t>
        </is>
      </c>
      <c r="K30" s="286" t="inlineStr">
        <is>
          <t>2100000000</t>
        </is>
      </c>
      <c r="L30" s="286" t="inlineStr">
        <is>
          <t>2199999999</t>
        </is>
      </c>
      <c r="M30" s="286" t="n"/>
      <c r="N30" s="286" t="n"/>
      <c r="O30" s="286" t="n"/>
      <c r="P30" s="286" t="n"/>
      <c r="Q30" s="286" t="n"/>
      <c r="R30" s="286" t="n"/>
      <c r="S30" s="286" t="n"/>
      <c r="T30" s="286" t="n"/>
      <c r="U30" s="286" t="n"/>
      <c r="V30" s="286" t="n"/>
      <c r="W30" s="293" t="inlineStr">
        <is>
          <t>1:変更</t>
        </is>
      </c>
    </row>
    <row r="31" ht="14.4" customFormat="1" customHeight="1" s="289">
      <c r="A31" s="283" t="inlineStr">
        <is>
          <t>-</t>
        </is>
      </c>
      <c r="B31" s="284" t="inlineStr">
        <is>
          <t>1234</t>
        </is>
      </c>
      <c r="C31" s="285" t="inlineStr">
        <is>
          <t>2110000000</t>
        </is>
      </c>
      <c r="D31" s="286" t="inlineStr">
        <is>
          <t>AAAAAA</t>
        </is>
      </c>
      <c r="E31" s="292" t="inlineStr">
        <is>
          <t>Y</t>
        </is>
      </c>
      <c r="F31" s="286" t="inlineStr">
        <is>
          <t>20230126</t>
        </is>
      </c>
      <c r="G31" s="286" t="n"/>
      <c r="H31" s="286" t="inlineStr">
        <is>
          <t>Y</t>
        </is>
      </c>
      <c r="I31" s="286" t="inlineStr">
        <is>
          <t>3</t>
        </is>
      </c>
      <c r="J31" s="286" t="inlineStr">
        <is>
          <t>C</t>
        </is>
      </c>
      <c r="K31" s="286" t="inlineStr">
        <is>
          <t>2110000000</t>
        </is>
      </c>
      <c r="L31" s="286" t="inlineStr">
        <is>
          <t>2119999999</t>
        </is>
      </c>
      <c r="M31" s="286" t="n"/>
      <c r="N31" s="286" t="n"/>
      <c r="O31" s="286" t="n"/>
      <c r="P31" s="286" t="n"/>
      <c r="Q31" s="286" t="n"/>
      <c r="R31" s="286" t="n"/>
      <c r="S31" s="286" t="n"/>
      <c r="T31" s="286" t="n"/>
      <c r="U31" s="286" t="n"/>
      <c r="V31" s="286" t="n"/>
      <c r="W31" s="294" t="inlineStr">
        <is>
          <t>-:データあり</t>
        </is>
      </c>
    </row>
    <row r="32" ht="14.4" customFormat="1" customHeight="1" s="289">
      <c r="A32" s="283" t="inlineStr">
        <is>
          <t>-</t>
        </is>
      </c>
      <c r="B32" s="284" t="inlineStr">
        <is>
          <t>1234</t>
        </is>
      </c>
      <c r="C32" s="285" t="inlineStr">
        <is>
          <t>2111000000</t>
        </is>
      </c>
      <c r="D32" s="286" t="inlineStr">
        <is>
          <t>AAAAAA</t>
        </is>
      </c>
      <c r="E32" s="292" t="inlineStr">
        <is>
          <t>Y</t>
        </is>
      </c>
      <c r="F32" s="286" t="inlineStr">
        <is>
          <t>20230126</t>
        </is>
      </c>
      <c r="G32" s="286" t="n"/>
      <c r="H32" s="286" t="inlineStr">
        <is>
          <t>Y</t>
        </is>
      </c>
      <c r="I32" s="286" t="inlineStr">
        <is>
          <t>3</t>
        </is>
      </c>
      <c r="J32" s="286" t="inlineStr">
        <is>
          <t>C</t>
        </is>
      </c>
      <c r="K32" s="286" t="inlineStr">
        <is>
          <t>2111000000</t>
        </is>
      </c>
      <c r="L32" s="286" t="inlineStr">
        <is>
          <t>2111999999</t>
        </is>
      </c>
      <c r="M32" s="286" t="n"/>
      <c r="N32" s="286" t="n"/>
      <c r="O32" s="286" t="n"/>
      <c r="P32" s="286" t="n"/>
      <c r="Q32" s="286" t="n"/>
      <c r="R32" s="286" t="n"/>
      <c r="S32" s="286" t="n"/>
      <c r="T32" s="286" t="n"/>
      <c r="U32" s="286" t="n"/>
      <c r="V32" s="286" t="n"/>
      <c r="W32" s="294" t="inlineStr">
        <is>
          <t>-:データあり</t>
        </is>
      </c>
    </row>
    <row r="33" ht="14.4" customFormat="1" customHeight="1" s="289">
      <c r="A33" s="283" t="inlineStr">
        <is>
          <t>-</t>
        </is>
      </c>
      <c r="B33" s="284" t="inlineStr">
        <is>
          <t>1234</t>
        </is>
      </c>
      <c r="C33" s="285" t="inlineStr">
        <is>
          <t>2112000000</t>
        </is>
      </c>
      <c r="D33" s="286" t="inlineStr">
        <is>
          <t>AAAAAA</t>
        </is>
      </c>
      <c r="E33" s="291" t="inlineStr">
        <is>
          <t>N</t>
        </is>
      </c>
      <c r="F33" s="286" t="inlineStr">
        <is>
          <t>20230126</t>
        </is>
      </c>
      <c r="G33" s="286" t="n"/>
      <c r="H33" s="286" t="inlineStr">
        <is>
          <t>Y</t>
        </is>
      </c>
      <c r="I33" s="286" t="inlineStr">
        <is>
          <t>3</t>
        </is>
      </c>
      <c r="J33" s="286" t="inlineStr">
        <is>
          <t>C</t>
        </is>
      </c>
      <c r="K33" s="286" t="inlineStr">
        <is>
          <t>2112000000</t>
        </is>
      </c>
      <c r="L33" s="286" t="inlineStr">
        <is>
          <t>2112999999</t>
        </is>
      </c>
      <c r="M33" s="286" t="n"/>
      <c r="N33" s="286" t="n"/>
      <c r="O33" s="286" t="n"/>
      <c r="P33" s="286" t="n"/>
      <c r="Q33" s="286" t="n"/>
      <c r="R33" s="286" t="n"/>
      <c r="S33" s="286" t="n"/>
      <c r="T33" s="286" t="n"/>
      <c r="U33" s="286" t="n"/>
      <c r="V33" s="286" t="n"/>
      <c r="W33" s="293" t="inlineStr">
        <is>
          <t>-:データあり</t>
        </is>
      </c>
    </row>
    <row r="34" ht="14.4" customFormat="1" customHeight="1" s="289">
      <c r="A34" s="283" t="inlineStr">
        <is>
          <t>-</t>
        </is>
      </c>
      <c r="B34" s="284" t="inlineStr">
        <is>
          <t>1234</t>
        </is>
      </c>
      <c r="C34" s="285" t="inlineStr">
        <is>
          <t>2112100100</t>
        </is>
      </c>
      <c r="D34" s="286" t="inlineStr">
        <is>
          <t>AAAAAA</t>
        </is>
      </c>
      <c r="E34" s="291" t="inlineStr">
        <is>
          <t>N</t>
        </is>
      </c>
      <c r="F34" s="286" t="inlineStr">
        <is>
          <t>20230126</t>
        </is>
      </c>
      <c r="G34" s="286" t="n"/>
      <c r="H34" s="286" t="inlineStr">
        <is>
          <t>Y</t>
        </is>
      </c>
      <c r="I34" s="286" t="inlineStr">
        <is>
          <t>4</t>
        </is>
      </c>
      <c r="J34" s="286" t="inlineStr">
        <is>
          <t>C</t>
        </is>
      </c>
      <c r="K34" s="286" t="inlineStr">
        <is>
          <t>2112100100</t>
        </is>
      </c>
      <c r="L34" s="286" t="inlineStr">
        <is>
          <t>2112100900</t>
        </is>
      </c>
      <c r="M34" s="286" t="n"/>
      <c r="N34" s="286" t="n"/>
      <c r="O34" s="286" t="n"/>
      <c r="P34" s="286" t="n"/>
      <c r="Q34" s="286" t="n"/>
      <c r="R34" s="286" t="n"/>
      <c r="S34" s="286" t="n"/>
      <c r="T34" s="286" t="n"/>
      <c r="U34" s="286" t="n"/>
      <c r="V34" s="286" t="n"/>
      <c r="W34" s="293" t="inlineStr">
        <is>
          <t>-:データあり</t>
        </is>
      </c>
    </row>
    <row r="35" ht="14.4" customFormat="1" customHeight="1" s="289">
      <c r="A35" s="283" t="inlineStr">
        <is>
          <t>-</t>
        </is>
      </c>
      <c r="B35" s="284" t="inlineStr">
        <is>
          <t>1234</t>
        </is>
      </c>
      <c r="C35" s="285" t="inlineStr">
        <is>
          <t>2112100200</t>
        </is>
      </c>
      <c r="D35" s="286" t="inlineStr">
        <is>
          <t>AAAAAA</t>
        </is>
      </c>
      <c r="E35" s="291" t="inlineStr">
        <is>
          <t>N</t>
        </is>
      </c>
      <c r="F35" s="286" t="inlineStr">
        <is>
          <t>20230126</t>
        </is>
      </c>
      <c r="G35" s="286" t="n"/>
      <c r="H35" s="286" t="inlineStr">
        <is>
          <t>Y</t>
        </is>
      </c>
      <c r="I35" s="286" t="inlineStr">
        <is>
          <t>5</t>
        </is>
      </c>
      <c r="J35" s="286" t="inlineStr">
        <is>
          <t>C</t>
        </is>
      </c>
      <c r="K35" s="286" t="inlineStr">
        <is>
          <t>2112100200</t>
        </is>
      </c>
      <c r="L35" s="286" t="inlineStr">
        <is>
          <t>2112100900</t>
        </is>
      </c>
      <c r="M35" s="286" t="n"/>
      <c r="N35" s="286" t="n"/>
      <c r="O35" s="286" t="n"/>
      <c r="P35" s="286" t="n"/>
      <c r="Q35" s="286" t="n"/>
      <c r="R35" s="286" t="n"/>
      <c r="S35" s="286" t="n"/>
      <c r="T35" s="286" t="n"/>
      <c r="U35" s="286" t="n"/>
      <c r="V35" s="286" t="n"/>
      <c r="W35" s="290" t="inlineStr">
        <is>
          <t>1:変更</t>
        </is>
      </c>
    </row>
    <row r="36" ht="14.4" customFormat="1" customHeight="1" s="289">
      <c r="A36" s="283" t="inlineStr">
        <is>
          <t>-</t>
        </is>
      </c>
      <c r="B36" s="284" t="inlineStr">
        <is>
          <t>1234</t>
        </is>
      </c>
      <c r="C36" s="285" t="inlineStr">
        <is>
          <t>2112100300</t>
        </is>
      </c>
      <c r="D36" s="286" t="inlineStr">
        <is>
          <t>AAAAAA</t>
        </is>
      </c>
      <c r="E36" s="291" t="inlineStr">
        <is>
          <t>N</t>
        </is>
      </c>
      <c r="F36" s="286" t="inlineStr">
        <is>
          <t>20230126</t>
        </is>
      </c>
      <c r="G36" s="286" t="n"/>
      <c r="H36" s="286" t="inlineStr">
        <is>
          <t>Y</t>
        </is>
      </c>
      <c r="I36" s="286" t="inlineStr">
        <is>
          <t>6</t>
        </is>
      </c>
      <c r="J36" s="286" t="inlineStr">
        <is>
          <t>C</t>
        </is>
      </c>
      <c r="K36" s="286" t="inlineStr">
        <is>
          <t>2112100300</t>
        </is>
      </c>
      <c r="L36" s="286" t="inlineStr">
        <is>
          <t>2112100900</t>
        </is>
      </c>
      <c r="M36" s="286" t="n"/>
      <c r="N36" s="286" t="n"/>
      <c r="O36" s="286" t="n"/>
      <c r="P36" s="286" t="n"/>
      <c r="Q36" s="286" t="n"/>
      <c r="R36" s="286" t="n"/>
      <c r="S36" s="286" t="n"/>
      <c r="T36" s="286" t="n"/>
      <c r="U36" s="286" t="n"/>
      <c r="V36" s="286" t="n"/>
      <c r="W36" s="290" t="inlineStr">
        <is>
          <t>1:変更</t>
        </is>
      </c>
    </row>
    <row r="37" ht="14.4" customFormat="1" customHeight="1" s="289">
      <c r="A37" s="283" t="inlineStr">
        <is>
          <t>-</t>
        </is>
      </c>
      <c r="B37" s="284" t="inlineStr">
        <is>
          <t>1234</t>
        </is>
      </c>
      <c r="C37" s="285" t="inlineStr">
        <is>
          <t>2112100400</t>
        </is>
      </c>
      <c r="D37" s="286" t="inlineStr">
        <is>
          <t>AAAAAA</t>
        </is>
      </c>
      <c r="E37" s="291" t="inlineStr">
        <is>
          <t>N</t>
        </is>
      </c>
      <c r="F37" s="286" t="inlineStr">
        <is>
          <t>20230126</t>
        </is>
      </c>
      <c r="G37" s="286" t="n"/>
      <c r="H37" s="286" t="inlineStr">
        <is>
          <t>Y</t>
        </is>
      </c>
      <c r="I37" s="286" t="inlineStr">
        <is>
          <t>7</t>
        </is>
      </c>
      <c r="J37" s="286" t="inlineStr">
        <is>
          <t>C</t>
        </is>
      </c>
      <c r="K37" s="286" t="inlineStr">
        <is>
          <t>2112100400</t>
        </is>
      </c>
      <c r="L37" s="286" t="inlineStr">
        <is>
          <t>2112100900</t>
        </is>
      </c>
      <c r="M37" s="286" t="n"/>
      <c r="N37" s="286" t="n"/>
      <c r="O37" s="286" t="n"/>
      <c r="P37" s="286" t="n"/>
      <c r="Q37" s="286" t="n"/>
      <c r="R37" s="286" t="n"/>
      <c r="S37" s="286" t="n"/>
      <c r="T37" s="286" t="n"/>
      <c r="U37" s="286" t="n"/>
      <c r="V37" s="286" t="n"/>
      <c r="W37" s="290" t="inlineStr">
        <is>
          <t>1:変更</t>
        </is>
      </c>
    </row>
    <row r="38" ht="14.4" customFormat="1" customHeight="1" s="289">
      <c r="A38" s="283" t="inlineStr">
        <is>
          <t>-</t>
        </is>
      </c>
      <c r="B38" s="284" t="inlineStr">
        <is>
          <t>1234</t>
        </is>
      </c>
      <c r="C38" s="285" t="inlineStr">
        <is>
          <t>2112100500</t>
        </is>
      </c>
      <c r="D38" s="286" t="inlineStr">
        <is>
          <t>AAAAAA</t>
        </is>
      </c>
      <c r="E38" s="291" t="inlineStr">
        <is>
          <t>N</t>
        </is>
      </c>
      <c r="F38" s="286" t="inlineStr">
        <is>
          <t>20230126</t>
        </is>
      </c>
      <c r="G38" s="286" t="n"/>
      <c r="H38" s="286" t="inlineStr">
        <is>
          <t>Y</t>
        </is>
      </c>
      <c r="I38" s="286" t="inlineStr">
        <is>
          <t>8</t>
        </is>
      </c>
      <c r="J38" s="286" t="inlineStr">
        <is>
          <t>C</t>
        </is>
      </c>
      <c r="K38" s="286" t="inlineStr">
        <is>
          <t>2112100500</t>
        </is>
      </c>
      <c r="L38" s="286" t="inlineStr">
        <is>
          <t>2112100900</t>
        </is>
      </c>
      <c r="M38" s="286" t="n"/>
      <c r="N38" s="286" t="n"/>
      <c r="O38" s="286" t="n"/>
      <c r="P38" s="286" t="n"/>
      <c r="Q38" s="286" t="n"/>
      <c r="R38" s="286" t="n"/>
      <c r="S38" s="286" t="n"/>
      <c r="T38" s="286" t="n"/>
      <c r="U38" s="286" t="n"/>
      <c r="V38" s="286" t="n"/>
      <c r="W38" s="290" t="inlineStr">
        <is>
          <t>1:変更</t>
        </is>
      </c>
    </row>
    <row r="39" ht="14.4" customFormat="1" customHeight="1" s="289">
      <c r="A39" s="283" t="n"/>
      <c r="B39" s="284" t="n"/>
      <c r="C39" s="285" t="n"/>
      <c r="D39" s="286" t="n"/>
      <c r="E39" s="291" t="n"/>
      <c r="F39" s="286" t="n"/>
      <c r="G39" s="286" t="n"/>
      <c r="H39" s="286" t="n"/>
      <c r="I39" s="286" t="n"/>
      <c r="J39" s="286" t="n"/>
      <c r="K39" s="286" t="n"/>
      <c r="L39" s="286" t="n"/>
      <c r="M39" s="286" t="n"/>
      <c r="N39" s="286" t="n"/>
      <c r="O39" s="286" t="n"/>
      <c r="P39" s="286" t="n"/>
      <c r="Q39" s="286" t="n"/>
      <c r="R39" s="286" t="n"/>
      <c r="S39" s="286" t="n"/>
      <c r="T39" s="286" t="n"/>
      <c r="U39" s="286" t="n"/>
      <c r="V39" s="286" t="n"/>
      <c r="W39" s="290" t="n"/>
    </row>
    <row r="40" customFormat="1" s="163">
      <c r="A40" s="282" t="n"/>
      <c r="B40" s="277" t="n"/>
      <c r="C40" s="278" t="n"/>
      <c r="D40" s="269" t="n"/>
      <c r="E40" s="269" t="n"/>
      <c r="F40" s="269" t="n"/>
      <c r="G40" s="269" t="n"/>
      <c r="H40" s="269" t="n"/>
      <c r="I40" s="269" t="n"/>
      <c r="J40" s="269" t="n"/>
      <c r="K40" s="269" t="n"/>
      <c r="L40" s="269" t="n"/>
      <c r="M40" s="269" t="n"/>
      <c r="N40" s="269" t="n"/>
      <c r="O40" s="269" t="n"/>
      <c r="P40" s="269" t="n"/>
      <c r="Q40" s="269" t="n"/>
      <c r="R40" s="269" t="n"/>
      <c r="S40" s="269" t="n"/>
      <c r="T40" s="269" t="n"/>
      <c r="U40" s="269" t="n"/>
      <c r="V40" s="269" t="n"/>
      <c r="W40" s="270" t="n"/>
    </row>
    <row r="41" customFormat="1" s="163">
      <c r="A41" s="282" t="n"/>
      <c r="B41" s="277" t="n"/>
      <c r="C41" s="278" t="n"/>
      <c r="D41" s="269" t="n"/>
      <c r="E41" s="269" t="n"/>
      <c r="F41" s="269" t="n"/>
      <c r="G41" s="269" t="n"/>
      <c r="H41" s="269" t="n"/>
      <c r="I41" s="269" t="n"/>
      <c r="J41" s="269" t="n"/>
      <c r="K41" s="269" t="n"/>
      <c r="L41" s="269" t="n"/>
      <c r="M41" s="269" t="n"/>
      <c r="N41" s="269" t="n"/>
      <c r="O41" s="269" t="n"/>
      <c r="P41" s="269" t="n"/>
      <c r="Q41" s="269" t="n"/>
      <c r="R41" s="269" t="n"/>
      <c r="S41" s="269" t="n"/>
      <c r="T41" s="269" t="n"/>
      <c r="U41" s="269" t="n"/>
      <c r="V41" s="269" t="n"/>
      <c r="W41" s="270" t="n"/>
    </row>
    <row r="42" customFormat="1" s="163">
      <c r="A42" s="282" t="n"/>
      <c r="B42" s="277" t="n"/>
      <c r="C42" s="278" t="n"/>
      <c r="D42" s="269" t="n"/>
      <c r="E42" s="269" t="n"/>
      <c r="F42" s="269" t="n"/>
      <c r="G42" s="269" t="n"/>
      <c r="H42" s="269" t="n"/>
      <c r="I42" s="269" t="n"/>
      <c r="J42" s="269" t="n"/>
      <c r="K42" s="269" t="n"/>
      <c r="L42" s="269" t="n"/>
      <c r="M42" s="269" t="n"/>
      <c r="N42" s="269" t="n"/>
      <c r="O42" s="269" t="n"/>
      <c r="P42" s="269" t="n"/>
      <c r="Q42" s="269" t="n"/>
      <c r="R42" s="269" t="n"/>
      <c r="S42" s="269" t="n"/>
      <c r="T42" s="269" t="n"/>
      <c r="U42" s="269" t="n"/>
      <c r="V42" s="269" t="n"/>
      <c r="W42" s="270" t="n"/>
    </row>
    <row r="43" customFormat="1" s="163">
      <c r="A43" s="282" t="n"/>
      <c r="B43" s="277" t="n"/>
      <c r="C43" s="278" t="n"/>
      <c r="D43" s="269" t="n"/>
      <c r="E43" s="269" t="n"/>
      <c r="F43" s="269" t="n"/>
      <c r="G43" s="269" t="n"/>
      <c r="H43" s="269" t="n"/>
      <c r="I43" s="269" t="n"/>
      <c r="J43" s="269" t="n"/>
      <c r="K43" s="269" t="n"/>
      <c r="L43" s="269" t="n"/>
      <c r="M43" s="269" t="n"/>
      <c r="N43" s="269" t="n"/>
      <c r="O43" s="269" t="n"/>
      <c r="P43" s="269" t="n"/>
      <c r="Q43" s="269" t="n"/>
      <c r="R43" s="269" t="n"/>
      <c r="S43" s="269" t="n"/>
      <c r="T43" s="269" t="n"/>
      <c r="U43" s="269" t="n"/>
      <c r="V43" s="269" t="n"/>
      <c r="W43" s="270" t="n"/>
    </row>
    <row r="44" customFormat="1" s="163">
      <c r="A44" s="282" t="n"/>
      <c r="B44" s="277" t="n"/>
      <c r="C44" s="278" t="n"/>
      <c r="D44" s="269" t="n"/>
      <c r="E44" s="269" t="n"/>
      <c r="F44" s="269" t="n"/>
      <c r="G44" s="269" t="n"/>
      <c r="H44" s="269" t="n"/>
      <c r="I44" s="269" t="n"/>
      <c r="J44" s="269" t="n"/>
      <c r="K44" s="269" t="n"/>
      <c r="L44" s="269" t="n"/>
      <c r="M44" s="269" t="n"/>
      <c r="N44" s="269" t="n"/>
      <c r="O44" s="269" t="n"/>
      <c r="P44" s="269" t="n"/>
      <c r="Q44" s="269" t="n"/>
      <c r="R44" s="269" t="n"/>
      <c r="S44" s="269" t="n"/>
      <c r="T44" s="269" t="n"/>
      <c r="U44" s="269" t="n"/>
      <c r="V44" s="269" t="n"/>
      <c r="W44" s="270" t="n"/>
    </row>
    <row r="45" customFormat="1" s="163">
      <c r="A45" s="282" t="n"/>
      <c r="B45" s="277" t="n"/>
      <c r="C45" s="278" t="n"/>
      <c r="D45" s="269" t="n"/>
      <c r="E45" s="269" t="n"/>
      <c r="F45" s="269" t="n"/>
      <c r="G45" s="269" t="n"/>
      <c r="H45" s="269" t="n"/>
      <c r="I45" s="269" t="n"/>
      <c r="J45" s="269" t="n"/>
      <c r="K45" s="269" t="n"/>
      <c r="L45" s="269" t="n"/>
      <c r="M45" s="269" t="n"/>
      <c r="N45" s="269" t="n"/>
      <c r="O45" s="269" t="n"/>
      <c r="P45" s="269" t="n"/>
      <c r="Q45" s="269" t="n"/>
      <c r="R45" s="269" t="n"/>
      <c r="S45" s="269" t="n"/>
      <c r="T45" s="269" t="n"/>
      <c r="U45" s="269" t="n"/>
      <c r="V45" s="269" t="n"/>
      <c r="W45" s="270" t="n"/>
    </row>
    <row r="46" customFormat="1" s="163">
      <c r="A46" s="282" t="n"/>
      <c r="B46" s="277" t="n"/>
      <c r="C46" s="278" t="n"/>
      <c r="D46" s="269" t="n"/>
      <c r="E46" s="269" t="n"/>
      <c r="F46" s="269" t="n"/>
      <c r="G46" s="269" t="n"/>
      <c r="H46" s="269" t="n"/>
      <c r="I46" s="269" t="n"/>
      <c r="J46" s="269" t="n"/>
      <c r="K46" s="269" t="n"/>
      <c r="L46" s="269" t="n"/>
      <c r="M46" s="269" t="n"/>
      <c r="N46" s="269" t="n"/>
      <c r="O46" s="269" t="n"/>
      <c r="P46" s="269" t="n"/>
      <c r="Q46" s="269" t="n"/>
      <c r="R46" s="269" t="n"/>
      <c r="S46" s="269" t="n"/>
      <c r="T46" s="269" t="n"/>
      <c r="U46" s="269" t="n"/>
      <c r="V46" s="269" t="n"/>
      <c r="W46" s="270" t="n"/>
    </row>
    <row r="47" customFormat="1" s="163">
      <c r="A47" s="282" t="n"/>
      <c r="B47" s="277" t="n"/>
      <c r="C47" s="278" t="n"/>
      <c r="D47" s="269" t="n"/>
      <c r="E47" s="269" t="n"/>
      <c r="F47" s="269" t="n"/>
      <c r="G47" s="269" t="n"/>
      <c r="H47" s="269" t="n"/>
      <c r="I47" s="269" t="n"/>
      <c r="J47" s="269" t="n"/>
      <c r="K47" s="269" t="n"/>
      <c r="L47" s="269" t="n"/>
      <c r="M47" s="269" t="n"/>
      <c r="N47" s="269" t="n"/>
      <c r="O47" s="269" t="n"/>
      <c r="P47" s="269" t="n"/>
      <c r="Q47" s="269" t="n"/>
      <c r="R47" s="269" t="n"/>
      <c r="S47" s="269" t="n"/>
      <c r="T47" s="269" t="n"/>
      <c r="U47" s="269" t="n"/>
      <c r="V47" s="269" t="n"/>
      <c r="W47" s="270" t="n"/>
    </row>
    <row r="48" customFormat="1" s="163">
      <c r="A48" s="282" t="n"/>
      <c r="B48" s="277" t="n"/>
      <c r="C48" s="278" t="n"/>
      <c r="D48" s="269" t="n"/>
      <c r="E48" s="269" t="n"/>
      <c r="F48" s="269" t="n"/>
      <c r="G48" s="269" t="n"/>
      <c r="H48" s="269" t="n"/>
      <c r="I48" s="269" t="n"/>
      <c r="J48" s="269" t="n"/>
      <c r="K48" s="269" t="n"/>
      <c r="L48" s="269" t="n"/>
      <c r="M48" s="269" t="n"/>
      <c r="N48" s="269" t="n"/>
      <c r="O48" s="269" t="n"/>
      <c r="P48" s="269" t="n"/>
      <c r="Q48" s="269" t="n"/>
      <c r="R48" s="269" t="n"/>
      <c r="S48" s="269" t="n"/>
      <c r="T48" s="269" t="n"/>
      <c r="U48" s="269" t="n"/>
      <c r="V48" s="269" t="n"/>
      <c r="W48" s="270" t="n"/>
    </row>
    <row r="49" customFormat="1" s="163">
      <c r="A49" s="282" t="n"/>
      <c r="B49" s="277" t="n"/>
      <c r="C49" s="278" t="n"/>
      <c r="D49" s="269" t="n"/>
      <c r="E49" s="269" t="n"/>
      <c r="F49" s="269" t="n"/>
      <c r="G49" s="269" t="n"/>
      <c r="H49" s="269" t="n"/>
      <c r="I49" s="269" t="n"/>
      <c r="J49" s="269" t="n"/>
      <c r="K49" s="269" t="n"/>
      <c r="L49" s="269" t="n"/>
      <c r="M49" s="269" t="n"/>
      <c r="N49" s="269" t="n"/>
      <c r="O49" s="269" t="n"/>
      <c r="P49" s="269" t="n"/>
      <c r="Q49" s="269" t="n"/>
      <c r="R49" s="269" t="n"/>
      <c r="S49" s="269" t="n"/>
      <c r="T49" s="269" t="n"/>
      <c r="U49" s="269" t="n"/>
      <c r="V49" s="269" t="n"/>
      <c r="W49" s="270" t="n"/>
    </row>
    <row r="50" customFormat="1" s="163">
      <c r="A50" s="282" t="n"/>
      <c r="B50" s="277" t="n"/>
      <c r="C50" s="278" t="n"/>
      <c r="D50" s="269" t="n"/>
      <c r="E50" s="269" t="n"/>
      <c r="F50" s="269" t="n"/>
      <c r="G50" s="269" t="n"/>
      <c r="H50" s="269" t="n"/>
      <c r="I50" s="269" t="n"/>
      <c r="J50" s="269" t="n"/>
      <c r="K50" s="269" t="n"/>
      <c r="L50" s="269" t="n"/>
      <c r="M50" s="269" t="n"/>
      <c r="N50" s="269" t="n"/>
      <c r="O50" s="269" t="n"/>
      <c r="P50" s="269" t="n"/>
      <c r="Q50" s="269" t="n"/>
      <c r="R50" s="269" t="n"/>
      <c r="S50" s="269" t="n"/>
      <c r="T50" s="269" t="n"/>
      <c r="U50" s="269" t="n"/>
      <c r="V50" s="269" t="n"/>
      <c r="W50" s="270" t="n"/>
    </row>
    <row r="51" customFormat="1" s="163">
      <c r="A51" s="282" t="n"/>
      <c r="B51" s="277" t="n"/>
      <c r="C51" s="278" t="n"/>
      <c r="D51" s="269" t="n"/>
      <c r="E51" s="269" t="n"/>
      <c r="F51" s="269" t="n"/>
      <c r="G51" s="269" t="n"/>
      <c r="H51" s="269" t="n"/>
      <c r="I51" s="269" t="n"/>
      <c r="J51" s="269" t="n"/>
      <c r="K51" s="269" t="n"/>
      <c r="L51" s="269" t="n"/>
      <c r="M51" s="269" t="n"/>
      <c r="N51" s="269" t="n"/>
      <c r="O51" s="269" t="n"/>
      <c r="P51" s="269" t="n"/>
      <c r="Q51" s="269" t="n"/>
      <c r="R51" s="269" t="n"/>
      <c r="S51" s="269" t="n"/>
      <c r="T51" s="269" t="n"/>
      <c r="U51" s="269" t="n"/>
      <c r="V51" s="269" t="n"/>
      <c r="W51" s="270" t="n"/>
    </row>
    <row r="52" customFormat="1" s="163">
      <c r="A52" s="282" t="n"/>
      <c r="B52" s="277" t="n"/>
      <c r="C52" s="278" t="n"/>
      <c r="D52" s="269" t="n"/>
      <c r="E52" s="269" t="n"/>
      <c r="F52" s="269" t="n"/>
      <c r="G52" s="269" t="n"/>
      <c r="H52" s="269" t="n"/>
      <c r="I52" s="269" t="n"/>
      <c r="J52" s="269" t="n"/>
      <c r="K52" s="269" t="n"/>
      <c r="L52" s="269" t="n"/>
      <c r="M52" s="269" t="n"/>
      <c r="N52" s="269" t="n"/>
      <c r="O52" s="269" t="n"/>
      <c r="P52" s="269" t="n"/>
      <c r="Q52" s="269" t="n"/>
      <c r="R52" s="269" t="n"/>
      <c r="S52" s="269" t="n"/>
      <c r="T52" s="269" t="n"/>
      <c r="U52" s="269" t="n"/>
      <c r="V52" s="269" t="n"/>
      <c r="W52" s="270" t="n"/>
    </row>
    <row r="53" customFormat="1" s="163">
      <c r="A53" s="282" t="n"/>
      <c r="B53" s="277" t="n"/>
      <c r="C53" s="278" t="n"/>
      <c r="D53" s="269" t="n"/>
      <c r="E53" s="269" t="n"/>
      <c r="F53" s="269" t="n"/>
      <c r="G53" s="269" t="n"/>
      <c r="H53" s="269" t="n"/>
      <c r="I53" s="269" t="n"/>
      <c r="J53" s="269" t="n"/>
      <c r="K53" s="269" t="n"/>
      <c r="L53" s="269" t="n"/>
      <c r="M53" s="269" t="n"/>
      <c r="N53" s="269" t="n"/>
      <c r="O53" s="269" t="n"/>
      <c r="P53" s="269" t="n"/>
      <c r="Q53" s="269" t="n"/>
      <c r="R53" s="269" t="n"/>
      <c r="S53" s="269" t="n"/>
      <c r="T53" s="269" t="n"/>
      <c r="U53" s="269" t="n"/>
      <c r="V53" s="269" t="n"/>
      <c r="W53" s="270" t="n"/>
    </row>
    <row r="54" customFormat="1" s="163">
      <c r="A54" s="282" t="n"/>
      <c r="B54" s="277" t="n"/>
      <c r="C54" s="278" t="n"/>
      <c r="D54" s="269" t="n"/>
      <c r="E54" s="269" t="n"/>
      <c r="F54" s="269" t="n"/>
      <c r="G54" s="269" t="n"/>
      <c r="H54" s="269" t="n"/>
      <c r="I54" s="269" t="n"/>
      <c r="J54" s="269" t="n"/>
      <c r="K54" s="269" t="n"/>
      <c r="L54" s="269" t="n"/>
      <c r="M54" s="269" t="n"/>
      <c r="N54" s="269" t="n"/>
      <c r="O54" s="269" t="n"/>
      <c r="P54" s="269" t="n"/>
      <c r="Q54" s="269" t="n"/>
      <c r="R54" s="269" t="n"/>
      <c r="S54" s="269" t="n"/>
      <c r="T54" s="269" t="n"/>
      <c r="U54" s="269" t="n"/>
      <c r="V54" s="269" t="n"/>
      <c r="W54" s="270" t="n"/>
    </row>
    <row r="55" customFormat="1" s="163">
      <c r="A55" s="282" t="n"/>
      <c r="B55" s="277" t="n"/>
      <c r="C55" s="278" t="n"/>
      <c r="D55" s="269" t="n"/>
      <c r="E55" s="269" t="n"/>
      <c r="F55" s="269" t="n"/>
      <c r="G55" s="269" t="n"/>
      <c r="H55" s="269" t="n"/>
      <c r="I55" s="269" t="n"/>
      <c r="J55" s="269" t="n"/>
      <c r="K55" s="269" t="n"/>
      <c r="L55" s="269" t="n"/>
      <c r="M55" s="269" t="n"/>
      <c r="N55" s="269" t="n"/>
      <c r="O55" s="269" t="n"/>
      <c r="P55" s="269" t="n"/>
      <c r="Q55" s="269" t="n"/>
      <c r="R55" s="269" t="n"/>
      <c r="S55" s="269" t="n"/>
      <c r="T55" s="269" t="n"/>
      <c r="U55" s="269" t="n"/>
      <c r="V55" s="269" t="n"/>
      <c r="W55" s="270" t="n"/>
    </row>
    <row r="56" customFormat="1" s="163">
      <c r="A56" s="282" t="n"/>
      <c r="B56" s="277" t="n"/>
      <c r="C56" s="278" t="n"/>
      <c r="D56" s="269" t="n"/>
      <c r="E56" s="269" t="n"/>
      <c r="F56" s="269" t="n"/>
      <c r="G56" s="269" t="n"/>
      <c r="H56" s="269" t="n"/>
      <c r="I56" s="269" t="n"/>
      <c r="J56" s="269" t="n"/>
      <c r="K56" s="269" t="n"/>
      <c r="L56" s="269" t="n"/>
      <c r="M56" s="269" t="n"/>
      <c r="N56" s="269" t="n"/>
      <c r="O56" s="269" t="n"/>
      <c r="P56" s="269" t="n"/>
      <c r="Q56" s="269" t="n"/>
      <c r="R56" s="269" t="n"/>
      <c r="S56" s="269" t="n"/>
      <c r="T56" s="269" t="n"/>
      <c r="U56" s="269" t="n"/>
      <c r="V56" s="269" t="n"/>
      <c r="W56" s="270" t="n"/>
    </row>
    <row r="57" customFormat="1" s="163">
      <c r="A57" s="282" t="n"/>
      <c r="B57" s="277" t="n"/>
      <c r="C57" s="278" t="n"/>
      <c r="D57" s="269" t="n"/>
      <c r="E57" s="269" t="n"/>
      <c r="F57" s="269" t="n"/>
      <c r="G57" s="269" t="n"/>
      <c r="H57" s="269" t="n"/>
      <c r="I57" s="269" t="n"/>
      <c r="J57" s="269" t="n"/>
      <c r="K57" s="269" t="n"/>
      <c r="L57" s="269" t="n"/>
      <c r="M57" s="269" t="n"/>
      <c r="N57" s="269" t="n"/>
      <c r="O57" s="269" t="n"/>
      <c r="P57" s="269" t="n"/>
      <c r="Q57" s="269" t="n"/>
      <c r="R57" s="269" t="n"/>
      <c r="S57" s="269" t="n"/>
      <c r="T57" s="269" t="n"/>
      <c r="U57" s="269" t="n"/>
      <c r="V57" s="269" t="n"/>
      <c r="W57" s="270" t="n"/>
    </row>
    <row r="58" customFormat="1" s="163">
      <c r="A58" s="282" t="n"/>
      <c r="B58" s="277" t="n"/>
      <c r="C58" s="278" t="n"/>
      <c r="D58" s="269" t="n"/>
      <c r="E58" s="269" t="n"/>
      <c r="F58" s="269" t="n"/>
      <c r="G58" s="269" t="n"/>
      <c r="H58" s="269" t="n"/>
      <c r="I58" s="269" t="n"/>
      <c r="J58" s="269" t="n"/>
      <c r="K58" s="269" t="n"/>
      <c r="L58" s="269" t="n"/>
      <c r="M58" s="269" t="n"/>
      <c r="N58" s="269" t="n"/>
      <c r="O58" s="269" t="n"/>
      <c r="P58" s="269" t="n"/>
      <c r="Q58" s="269" t="n"/>
      <c r="R58" s="269" t="n"/>
      <c r="S58" s="269" t="n"/>
      <c r="T58" s="269" t="n"/>
      <c r="U58" s="269" t="n"/>
      <c r="V58" s="269" t="n"/>
      <c r="W58" s="270" t="n"/>
    </row>
    <row r="59" customFormat="1" s="163">
      <c r="A59" s="282" t="n"/>
      <c r="B59" s="277" t="n"/>
      <c r="C59" s="278" t="n"/>
      <c r="D59" s="269" t="n"/>
      <c r="E59" s="269" t="n"/>
      <c r="F59" s="269" t="n"/>
      <c r="G59" s="269" t="n"/>
      <c r="H59" s="269" t="n"/>
      <c r="I59" s="269" t="n"/>
      <c r="J59" s="269" t="n"/>
      <c r="K59" s="269" t="n"/>
      <c r="L59" s="269" t="n"/>
      <c r="M59" s="269" t="n"/>
      <c r="N59" s="269" t="n"/>
      <c r="O59" s="269" t="n"/>
      <c r="P59" s="269" t="n"/>
      <c r="Q59" s="269" t="n"/>
      <c r="R59" s="269" t="n"/>
      <c r="S59" s="269" t="n"/>
      <c r="T59" s="269" t="n"/>
      <c r="U59" s="269" t="n"/>
      <c r="V59" s="269" t="n"/>
      <c r="W59" s="270" t="n"/>
    </row>
    <row r="60" customFormat="1" s="163">
      <c r="A60" s="282" t="n"/>
      <c r="B60" s="277" t="n"/>
      <c r="C60" s="278" t="n"/>
      <c r="D60" s="269" t="n"/>
      <c r="E60" s="269" t="n"/>
      <c r="F60" s="269" t="n"/>
      <c r="G60" s="269" t="n"/>
      <c r="H60" s="269" t="n"/>
      <c r="I60" s="269" t="n"/>
      <c r="J60" s="269" t="n"/>
      <c r="K60" s="269" t="n"/>
      <c r="L60" s="269" t="n"/>
      <c r="M60" s="269" t="n"/>
      <c r="N60" s="269" t="n"/>
      <c r="O60" s="269" t="n"/>
      <c r="P60" s="269" t="n"/>
      <c r="Q60" s="269" t="n"/>
      <c r="R60" s="269" t="n"/>
      <c r="S60" s="269" t="n"/>
      <c r="T60" s="269" t="n"/>
      <c r="U60" s="269" t="n"/>
      <c r="V60" s="269" t="n"/>
      <c r="W60" s="270" t="n"/>
    </row>
    <row r="61" customFormat="1" s="163">
      <c r="A61" s="282" t="n"/>
      <c r="B61" s="277" t="n"/>
      <c r="C61" s="278" t="n"/>
      <c r="D61" s="269" t="n"/>
      <c r="E61" s="269" t="n"/>
      <c r="F61" s="269" t="n"/>
      <c r="G61" s="269" t="n"/>
      <c r="H61" s="269" t="n"/>
      <c r="I61" s="269" t="n"/>
      <c r="J61" s="269" t="n"/>
      <c r="K61" s="269" t="n"/>
      <c r="L61" s="269" t="n"/>
      <c r="M61" s="269" t="n"/>
      <c r="N61" s="269" t="n"/>
      <c r="O61" s="269" t="n"/>
      <c r="P61" s="269" t="n"/>
      <c r="Q61" s="269" t="n"/>
      <c r="R61" s="269" t="n"/>
      <c r="S61" s="269" t="n"/>
      <c r="T61" s="269" t="n"/>
      <c r="U61" s="269" t="n"/>
      <c r="V61" s="269" t="n"/>
      <c r="W61" s="270" t="n"/>
    </row>
    <row r="62" customFormat="1" s="163">
      <c r="A62" s="282" t="n"/>
      <c r="B62" s="277" t="n"/>
      <c r="C62" s="278" t="n"/>
      <c r="D62" s="269" t="n"/>
      <c r="E62" s="269" t="n"/>
      <c r="F62" s="269" t="n"/>
      <c r="G62" s="269" t="n"/>
      <c r="H62" s="269" t="n"/>
      <c r="I62" s="269" t="n"/>
      <c r="J62" s="269" t="n"/>
      <c r="K62" s="269" t="n"/>
      <c r="L62" s="269" t="n"/>
      <c r="M62" s="269" t="n"/>
      <c r="N62" s="269" t="n"/>
      <c r="O62" s="269" t="n"/>
      <c r="P62" s="269" t="n"/>
      <c r="Q62" s="269" t="n"/>
      <c r="R62" s="269" t="n"/>
      <c r="S62" s="269" t="n"/>
      <c r="T62" s="269" t="n"/>
      <c r="U62" s="269" t="n"/>
      <c r="V62" s="269" t="n"/>
      <c r="W62" s="270" t="n"/>
    </row>
    <row r="63" customFormat="1" s="163">
      <c r="A63" s="282" t="n"/>
      <c r="B63" s="277" t="n"/>
      <c r="C63" s="278" t="n"/>
      <c r="D63" s="269" t="n"/>
      <c r="E63" s="269" t="n"/>
      <c r="F63" s="269" t="n"/>
      <c r="G63" s="269" t="n"/>
      <c r="H63" s="269" t="n"/>
      <c r="I63" s="269" t="n"/>
      <c r="J63" s="269" t="n"/>
      <c r="K63" s="269" t="n"/>
      <c r="L63" s="269" t="n"/>
      <c r="M63" s="269" t="n"/>
      <c r="N63" s="269" t="n"/>
      <c r="O63" s="269" t="n"/>
      <c r="P63" s="269" t="n"/>
      <c r="Q63" s="269" t="n"/>
      <c r="R63" s="269" t="n"/>
      <c r="S63" s="269" t="n"/>
      <c r="T63" s="269" t="n"/>
      <c r="U63" s="269" t="n"/>
      <c r="V63" s="269" t="n"/>
      <c r="W63" s="270" t="n"/>
    </row>
    <row r="64" customFormat="1" s="163">
      <c r="A64" s="282" t="n"/>
      <c r="B64" s="277" t="n"/>
      <c r="C64" s="278" t="n"/>
      <c r="D64" s="269" t="n"/>
      <c r="E64" s="269" t="n"/>
      <c r="F64" s="269" t="n"/>
      <c r="G64" s="269" t="n"/>
      <c r="H64" s="269" t="n"/>
      <c r="I64" s="269" t="n"/>
      <c r="J64" s="269" t="n"/>
      <c r="K64" s="269" t="n"/>
      <c r="L64" s="269" t="n"/>
      <c r="M64" s="269" t="n"/>
      <c r="N64" s="269" t="n"/>
      <c r="O64" s="269" t="n"/>
      <c r="P64" s="269" t="n"/>
      <c r="Q64" s="269" t="n"/>
      <c r="R64" s="269" t="n"/>
      <c r="S64" s="269" t="n"/>
      <c r="T64" s="269" t="n"/>
      <c r="U64" s="269" t="n"/>
      <c r="V64" s="269" t="n"/>
      <c r="W64" s="270" t="n"/>
    </row>
    <row r="65" customFormat="1" s="163">
      <c r="A65" s="282" t="n"/>
      <c r="B65" s="277" t="n"/>
      <c r="C65" s="278" t="n"/>
      <c r="D65" s="269" t="n"/>
      <c r="E65" s="269" t="n"/>
      <c r="F65" s="269" t="n"/>
      <c r="G65" s="269" t="n"/>
      <c r="H65" s="269" t="n"/>
      <c r="I65" s="269" t="n"/>
      <c r="J65" s="269" t="n"/>
      <c r="K65" s="269" t="n"/>
      <c r="L65" s="269" t="n"/>
      <c r="M65" s="269" t="n"/>
      <c r="N65" s="269" t="n"/>
      <c r="O65" s="269" t="n"/>
      <c r="P65" s="269" t="n"/>
      <c r="Q65" s="269" t="n"/>
      <c r="R65" s="269" t="n"/>
      <c r="S65" s="269" t="n"/>
      <c r="T65" s="269" t="n"/>
      <c r="U65" s="269" t="n"/>
      <c r="V65" s="269" t="n"/>
      <c r="W65" s="270" t="n"/>
    </row>
    <row r="66" customFormat="1" s="163">
      <c r="A66" s="282" t="n"/>
      <c r="B66" s="277" t="n"/>
      <c r="C66" s="278" t="n"/>
      <c r="D66" s="269" t="n"/>
      <c r="E66" s="269" t="n"/>
      <c r="F66" s="269" t="n"/>
      <c r="G66" s="269" t="n"/>
      <c r="H66" s="269" t="n"/>
      <c r="I66" s="269" t="n"/>
      <c r="J66" s="269" t="n"/>
      <c r="K66" s="269" t="n"/>
      <c r="L66" s="269" t="n"/>
      <c r="M66" s="269" t="n"/>
      <c r="N66" s="269" t="n"/>
      <c r="O66" s="269" t="n"/>
      <c r="P66" s="269" t="n"/>
      <c r="Q66" s="269" t="n"/>
      <c r="R66" s="269" t="n"/>
      <c r="S66" s="269" t="n"/>
      <c r="T66" s="269" t="n"/>
      <c r="U66" s="269" t="n"/>
      <c r="V66" s="269" t="n"/>
      <c r="W66" s="270" t="n"/>
    </row>
    <row r="67" customFormat="1" s="163">
      <c r="A67" s="282" t="n"/>
      <c r="B67" s="277" t="n"/>
      <c r="C67" s="278" t="n"/>
      <c r="D67" s="269" t="n"/>
      <c r="E67" s="269" t="n"/>
      <c r="F67" s="269" t="n"/>
      <c r="G67" s="269" t="n"/>
      <c r="H67" s="269" t="n"/>
      <c r="I67" s="269" t="n"/>
      <c r="J67" s="269" t="n"/>
      <c r="K67" s="269" t="n"/>
      <c r="L67" s="269" t="n"/>
      <c r="M67" s="269" t="n"/>
      <c r="N67" s="269" t="n"/>
      <c r="O67" s="269" t="n"/>
      <c r="P67" s="269" t="n"/>
      <c r="Q67" s="269" t="n"/>
      <c r="R67" s="269" t="n"/>
      <c r="S67" s="269" t="n"/>
      <c r="T67" s="269" t="n"/>
      <c r="U67" s="269" t="n"/>
      <c r="V67" s="269" t="n"/>
      <c r="W67" s="270" t="n"/>
    </row>
    <row r="68" customFormat="1" s="163">
      <c r="A68" s="282" t="n"/>
      <c r="B68" s="277" t="n"/>
      <c r="C68" s="278" t="n"/>
      <c r="D68" s="269" t="n"/>
      <c r="E68" s="269" t="n"/>
      <c r="F68" s="269" t="n"/>
      <c r="G68" s="269" t="n"/>
      <c r="H68" s="269" t="n"/>
      <c r="I68" s="269" t="n"/>
      <c r="J68" s="269" t="n"/>
      <c r="K68" s="269" t="n"/>
      <c r="L68" s="269" t="n"/>
      <c r="M68" s="269" t="n"/>
      <c r="N68" s="269" t="n"/>
      <c r="O68" s="269" t="n"/>
      <c r="P68" s="269" t="n"/>
      <c r="Q68" s="269" t="n"/>
      <c r="R68" s="269" t="n"/>
      <c r="S68" s="269" t="n"/>
      <c r="T68" s="269" t="n"/>
      <c r="U68" s="269" t="n"/>
      <c r="V68" s="269" t="n"/>
      <c r="W68" s="270" t="n"/>
    </row>
    <row r="69" customFormat="1" s="163">
      <c r="A69" s="282" t="n"/>
      <c r="B69" s="277" t="n"/>
      <c r="C69" s="278" t="n"/>
      <c r="D69" s="269" t="n"/>
      <c r="E69" s="269" t="n"/>
      <c r="F69" s="269" t="n"/>
      <c r="G69" s="269" t="n"/>
      <c r="H69" s="269" t="n"/>
      <c r="I69" s="269" t="n"/>
      <c r="J69" s="269" t="n"/>
      <c r="K69" s="269" t="n"/>
      <c r="L69" s="269" t="n"/>
      <c r="M69" s="269" t="n"/>
      <c r="N69" s="269" t="n"/>
      <c r="O69" s="269" t="n"/>
      <c r="P69" s="269" t="n"/>
      <c r="Q69" s="269" t="n"/>
      <c r="R69" s="269" t="n"/>
      <c r="S69" s="269" t="n"/>
      <c r="T69" s="269" t="n"/>
      <c r="U69" s="269" t="n"/>
      <c r="V69" s="269" t="n"/>
      <c r="W69" s="270" t="n"/>
    </row>
    <row r="70" customFormat="1" s="163">
      <c r="A70" s="282" t="n"/>
      <c r="B70" s="277" t="n"/>
      <c r="C70" s="278" t="n"/>
      <c r="D70" s="269" t="n"/>
      <c r="E70" s="269" t="n"/>
      <c r="F70" s="269" t="n"/>
      <c r="G70" s="269" t="n"/>
      <c r="H70" s="269" t="n"/>
      <c r="I70" s="269" t="n"/>
      <c r="J70" s="269" t="n"/>
      <c r="K70" s="269" t="n"/>
      <c r="L70" s="269" t="n"/>
      <c r="M70" s="269" t="n"/>
      <c r="N70" s="269" t="n"/>
      <c r="O70" s="269" t="n"/>
      <c r="P70" s="269" t="n"/>
      <c r="Q70" s="269" t="n"/>
      <c r="R70" s="269" t="n"/>
      <c r="S70" s="269" t="n"/>
      <c r="T70" s="269" t="n"/>
      <c r="U70" s="269" t="n"/>
      <c r="V70" s="269" t="n"/>
      <c r="W70" s="270" t="n"/>
    </row>
    <row r="71" customFormat="1" s="163">
      <c r="A71" s="282" t="n"/>
      <c r="B71" s="277" t="n"/>
      <c r="C71" s="278" t="n"/>
      <c r="D71" s="269" t="n"/>
      <c r="E71" s="269" t="n"/>
      <c r="F71" s="269" t="n"/>
      <c r="G71" s="269" t="n"/>
      <c r="H71" s="269" t="n"/>
      <c r="I71" s="269" t="n"/>
      <c r="J71" s="269" t="n"/>
      <c r="K71" s="269" t="n"/>
      <c r="L71" s="269" t="n"/>
      <c r="M71" s="269" t="n"/>
      <c r="N71" s="269" t="n"/>
      <c r="O71" s="269" t="n"/>
      <c r="P71" s="269" t="n"/>
      <c r="Q71" s="269" t="n"/>
      <c r="R71" s="269" t="n"/>
      <c r="S71" s="269" t="n"/>
      <c r="T71" s="269" t="n"/>
      <c r="U71" s="269" t="n"/>
      <c r="V71" s="269" t="n"/>
      <c r="W71" s="270" t="n"/>
    </row>
    <row r="72" customFormat="1" s="163">
      <c r="A72" s="282" t="n"/>
      <c r="B72" s="277" t="n"/>
      <c r="C72" s="278" t="n"/>
      <c r="D72" s="269" t="n"/>
      <c r="E72" s="269" t="n"/>
      <c r="F72" s="269" t="n"/>
      <c r="G72" s="269" t="n"/>
      <c r="H72" s="269" t="n"/>
      <c r="I72" s="269" t="n"/>
      <c r="J72" s="269" t="n"/>
      <c r="K72" s="269" t="n"/>
      <c r="L72" s="269" t="n"/>
      <c r="M72" s="269" t="n"/>
      <c r="N72" s="269" t="n"/>
      <c r="O72" s="269" t="n"/>
      <c r="P72" s="269" t="n"/>
      <c r="Q72" s="269" t="n"/>
      <c r="R72" s="269" t="n"/>
      <c r="S72" s="269" t="n"/>
      <c r="T72" s="269" t="n"/>
      <c r="U72" s="269" t="n"/>
      <c r="V72" s="269" t="n"/>
      <c r="W72" s="270" t="n"/>
    </row>
    <row r="73" customFormat="1" s="163">
      <c r="A73" s="282" t="n"/>
      <c r="B73" s="277" t="n"/>
      <c r="C73" s="278" t="n"/>
      <c r="D73" s="269" t="n"/>
      <c r="E73" s="269" t="n"/>
      <c r="F73" s="269" t="n"/>
      <c r="G73" s="269" t="n"/>
      <c r="H73" s="269" t="n"/>
      <c r="I73" s="269" t="n"/>
      <c r="J73" s="269" t="n"/>
      <c r="K73" s="269" t="n"/>
      <c r="L73" s="269" t="n"/>
      <c r="M73" s="269" t="n"/>
      <c r="N73" s="269" t="n"/>
      <c r="O73" s="269" t="n"/>
      <c r="P73" s="269" t="n"/>
      <c r="Q73" s="269" t="n"/>
      <c r="R73" s="269" t="n"/>
      <c r="S73" s="269" t="n"/>
      <c r="T73" s="269" t="n"/>
      <c r="U73" s="269" t="n"/>
      <c r="V73" s="269" t="n"/>
      <c r="W73" s="270" t="n"/>
    </row>
    <row r="74" customFormat="1" s="163">
      <c r="A74" s="282" t="n"/>
      <c r="B74" s="277" t="n"/>
      <c r="C74" s="278" t="n"/>
      <c r="D74" s="269" t="n"/>
      <c r="E74" s="269" t="n"/>
      <c r="F74" s="269" t="n"/>
      <c r="G74" s="269" t="n"/>
      <c r="H74" s="269" t="n"/>
      <c r="I74" s="269" t="n"/>
      <c r="J74" s="269" t="n"/>
      <c r="K74" s="269" t="n"/>
      <c r="L74" s="269" t="n"/>
      <c r="M74" s="269" t="n"/>
      <c r="N74" s="269" t="n"/>
      <c r="O74" s="269" t="n"/>
      <c r="P74" s="269" t="n"/>
      <c r="Q74" s="269" t="n"/>
      <c r="R74" s="269" t="n"/>
      <c r="S74" s="269" t="n"/>
      <c r="T74" s="269" t="n"/>
      <c r="U74" s="269" t="n"/>
      <c r="V74" s="269" t="n"/>
      <c r="W74" s="270" t="n"/>
    </row>
    <row r="75" customFormat="1" s="163">
      <c r="A75" s="282" t="n"/>
      <c r="B75" s="277" t="n"/>
      <c r="C75" s="278" t="n"/>
      <c r="D75" s="269" t="n"/>
      <c r="E75" s="269" t="n"/>
      <c r="F75" s="269" t="n"/>
      <c r="G75" s="269" t="n"/>
      <c r="H75" s="269" t="n"/>
      <c r="I75" s="269" t="n"/>
      <c r="J75" s="269" t="n"/>
      <c r="K75" s="269" t="n"/>
      <c r="L75" s="269" t="n"/>
      <c r="M75" s="269" t="n"/>
      <c r="N75" s="269" t="n"/>
      <c r="O75" s="269" t="n"/>
      <c r="P75" s="269" t="n"/>
      <c r="Q75" s="269" t="n"/>
      <c r="R75" s="269" t="n"/>
      <c r="S75" s="269" t="n"/>
      <c r="T75" s="269" t="n"/>
      <c r="U75" s="269" t="n"/>
      <c r="V75" s="269" t="n"/>
      <c r="W75" s="270" t="n"/>
    </row>
    <row r="76" customFormat="1" s="163">
      <c r="A76" s="282" t="n"/>
      <c r="B76" s="277" t="n"/>
      <c r="C76" s="278" t="n"/>
      <c r="D76" s="269" t="n"/>
      <c r="E76" s="269" t="n"/>
      <c r="F76" s="269" t="n"/>
      <c r="G76" s="269" t="n"/>
      <c r="H76" s="269" t="n"/>
      <c r="I76" s="269" t="n"/>
      <c r="J76" s="269" t="n"/>
      <c r="K76" s="269" t="n"/>
      <c r="L76" s="269" t="n"/>
      <c r="M76" s="269" t="n"/>
      <c r="N76" s="269" t="n"/>
      <c r="O76" s="269" t="n"/>
      <c r="P76" s="269" t="n"/>
      <c r="Q76" s="269" t="n"/>
      <c r="R76" s="269" t="n"/>
      <c r="S76" s="269" t="n"/>
      <c r="T76" s="269" t="n"/>
      <c r="U76" s="269" t="n"/>
      <c r="V76" s="269" t="n"/>
      <c r="W76" s="270" t="n"/>
    </row>
    <row r="77" customFormat="1" s="163">
      <c r="A77" s="282" t="n"/>
      <c r="B77" s="277" t="n"/>
      <c r="C77" s="278" t="n"/>
      <c r="D77" s="269" t="n"/>
      <c r="E77" s="269" t="n"/>
      <c r="F77" s="269" t="n"/>
      <c r="G77" s="269" t="n"/>
      <c r="H77" s="269" t="n"/>
      <c r="I77" s="269" t="n"/>
      <c r="J77" s="269" t="n"/>
      <c r="K77" s="269" t="n"/>
      <c r="L77" s="269" t="n"/>
      <c r="M77" s="269" t="n"/>
      <c r="N77" s="269" t="n"/>
      <c r="O77" s="269" t="n"/>
      <c r="P77" s="269" t="n"/>
      <c r="Q77" s="269" t="n"/>
      <c r="R77" s="269" t="n"/>
      <c r="S77" s="269" t="n"/>
      <c r="T77" s="269" t="n"/>
      <c r="U77" s="269" t="n"/>
      <c r="V77" s="269" t="n"/>
      <c r="W77" s="270" t="n"/>
    </row>
    <row r="78" customFormat="1" s="163">
      <c r="A78" s="282" t="n"/>
      <c r="B78" s="277" t="n"/>
      <c r="C78" s="278" t="n"/>
      <c r="D78" s="269" t="n"/>
      <c r="E78" s="269" t="n"/>
      <c r="F78" s="269" t="n"/>
      <c r="G78" s="269" t="n"/>
      <c r="H78" s="269" t="n"/>
      <c r="I78" s="269" t="n"/>
      <c r="J78" s="269" t="n"/>
      <c r="K78" s="269" t="n"/>
      <c r="L78" s="269" t="n"/>
      <c r="M78" s="269" t="n"/>
      <c r="N78" s="269" t="n"/>
      <c r="O78" s="269" t="n"/>
      <c r="P78" s="269" t="n"/>
      <c r="Q78" s="269" t="n"/>
      <c r="R78" s="269" t="n"/>
      <c r="S78" s="269" t="n"/>
      <c r="T78" s="269" t="n"/>
      <c r="U78" s="269" t="n"/>
      <c r="V78" s="269" t="n"/>
      <c r="W78" s="270" t="n"/>
    </row>
    <row r="79" customFormat="1" s="163">
      <c r="A79" s="282" t="n"/>
      <c r="B79" s="277" t="n"/>
      <c r="C79" s="278" t="n"/>
      <c r="D79" s="269" t="n"/>
      <c r="E79" s="269" t="n"/>
      <c r="F79" s="269" t="n"/>
      <c r="G79" s="269" t="n"/>
      <c r="H79" s="269" t="n"/>
      <c r="I79" s="269" t="n"/>
      <c r="J79" s="269" t="n"/>
      <c r="K79" s="269" t="n"/>
      <c r="L79" s="269" t="n"/>
      <c r="M79" s="269" t="n"/>
      <c r="N79" s="269" t="n"/>
      <c r="O79" s="269" t="n"/>
      <c r="P79" s="269" t="n"/>
      <c r="Q79" s="269" t="n"/>
      <c r="R79" s="269" t="n"/>
      <c r="S79" s="269" t="n"/>
      <c r="T79" s="269" t="n"/>
      <c r="U79" s="269" t="n"/>
      <c r="V79" s="269" t="n"/>
      <c r="W79" s="270" t="n"/>
    </row>
    <row r="80" customFormat="1" s="163">
      <c r="A80" s="282" t="n"/>
      <c r="B80" s="277" t="n"/>
      <c r="C80" s="278" t="n"/>
      <c r="D80" s="269" t="n"/>
      <c r="E80" s="269" t="n"/>
      <c r="F80" s="269" t="n"/>
      <c r="G80" s="269" t="n"/>
      <c r="H80" s="269" t="n"/>
      <c r="I80" s="269" t="n"/>
      <c r="J80" s="269" t="n"/>
      <c r="K80" s="269" t="n"/>
      <c r="L80" s="269" t="n"/>
      <c r="M80" s="269" t="n"/>
      <c r="N80" s="269" t="n"/>
      <c r="O80" s="269" t="n"/>
      <c r="P80" s="269" t="n"/>
      <c r="Q80" s="269" t="n"/>
      <c r="R80" s="269" t="n"/>
      <c r="S80" s="269" t="n"/>
      <c r="T80" s="269" t="n"/>
      <c r="U80" s="269" t="n"/>
      <c r="V80" s="269" t="n"/>
      <c r="W80" s="270" t="n"/>
    </row>
    <row r="81" customFormat="1" s="163">
      <c r="A81" s="282" t="n"/>
      <c r="B81" s="277" t="n"/>
      <c r="C81" s="278" t="n"/>
      <c r="D81" s="269" t="n"/>
      <c r="E81" s="269" t="n"/>
      <c r="F81" s="269" t="n"/>
      <c r="G81" s="269" t="n"/>
      <c r="H81" s="269" t="n"/>
      <c r="I81" s="269" t="n"/>
      <c r="J81" s="269" t="n"/>
      <c r="K81" s="269" t="n"/>
      <c r="L81" s="269" t="n"/>
      <c r="M81" s="269" t="n"/>
      <c r="N81" s="269" t="n"/>
      <c r="O81" s="269" t="n"/>
      <c r="P81" s="269" t="n"/>
      <c r="Q81" s="269" t="n"/>
      <c r="R81" s="269" t="n"/>
      <c r="S81" s="269" t="n"/>
      <c r="T81" s="269" t="n"/>
      <c r="U81" s="269" t="n"/>
      <c r="V81" s="269" t="n"/>
      <c r="W81" s="270" t="n"/>
    </row>
    <row r="82" customFormat="1" s="163">
      <c r="A82" s="282" t="n"/>
      <c r="B82" s="277" t="n"/>
      <c r="C82" s="278" t="n"/>
      <c r="D82" s="269" t="n"/>
      <c r="E82" s="269" t="n"/>
      <c r="F82" s="269" t="n"/>
      <c r="G82" s="269" t="n"/>
      <c r="H82" s="269" t="n"/>
      <c r="I82" s="269" t="n"/>
      <c r="J82" s="269" t="n"/>
      <c r="K82" s="269" t="n"/>
      <c r="L82" s="269" t="n"/>
      <c r="M82" s="269" t="n"/>
      <c r="N82" s="269" t="n"/>
      <c r="O82" s="269" t="n"/>
      <c r="P82" s="269" t="n"/>
      <c r="Q82" s="269" t="n"/>
      <c r="R82" s="269" t="n"/>
      <c r="S82" s="269" t="n"/>
      <c r="T82" s="269" t="n"/>
      <c r="U82" s="269" t="n"/>
      <c r="V82" s="269" t="n"/>
      <c r="W82" s="270" t="n"/>
    </row>
    <row r="83" customFormat="1" s="163">
      <c r="A83" s="282" t="n"/>
      <c r="B83" s="277" t="n"/>
      <c r="C83" s="278" t="n"/>
      <c r="D83" s="269" t="n"/>
      <c r="E83" s="269" t="n"/>
      <c r="F83" s="269" t="n"/>
      <c r="G83" s="269" t="n"/>
      <c r="H83" s="269" t="n"/>
      <c r="I83" s="269" t="n"/>
      <c r="J83" s="269" t="n"/>
      <c r="K83" s="269" t="n"/>
      <c r="L83" s="269" t="n"/>
      <c r="M83" s="269" t="n"/>
      <c r="N83" s="269" t="n"/>
      <c r="O83" s="269" t="n"/>
      <c r="P83" s="269" t="n"/>
      <c r="Q83" s="269" t="n"/>
      <c r="R83" s="269" t="n"/>
      <c r="S83" s="269" t="n"/>
      <c r="T83" s="269" t="n"/>
      <c r="U83" s="269" t="n"/>
      <c r="V83" s="269" t="n"/>
      <c r="W83" s="270" t="n"/>
    </row>
    <row r="84" customFormat="1" s="163">
      <c r="A84" s="282" t="n"/>
      <c r="B84" s="277" t="n"/>
      <c r="C84" s="278" t="n"/>
      <c r="D84" s="269" t="n"/>
      <c r="E84" s="269" t="n"/>
      <c r="F84" s="269" t="n"/>
      <c r="G84" s="269" t="n"/>
      <c r="H84" s="269" t="n"/>
      <c r="I84" s="269" t="n"/>
      <c r="J84" s="269" t="n"/>
      <c r="K84" s="269" t="n"/>
      <c r="L84" s="269" t="n"/>
      <c r="M84" s="269" t="n"/>
      <c r="N84" s="269" t="n"/>
      <c r="O84" s="269" t="n"/>
      <c r="P84" s="269" t="n"/>
      <c r="Q84" s="269" t="n"/>
      <c r="R84" s="269" t="n"/>
      <c r="S84" s="269" t="n"/>
      <c r="T84" s="269" t="n"/>
      <c r="U84" s="269" t="n"/>
      <c r="V84" s="269" t="n"/>
      <c r="W84" s="270" t="n"/>
    </row>
    <row r="85" customFormat="1" s="163">
      <c r="A85" s="282" t="n"/>
      <c r="B85" s="277" t="n"/>
      <c r="C85" s="278" t="n"/>
      <c r="D85" s="269" t="n"/>
      <c r="E85" s="269" t="n"/>
      <c r="F85" s="269" t="n"/>
      <c r="G85" s="269" t="n"/>
      <c r="H85" s="269" t="n"/>
      <c r="I85" s="269" t="n"/>
      <c r="J85" s="269" t="n"/>
      <c r="K85" s="269" t="n"/>
      <c r="L85" s="269" t="n"/>
      <c r="M85" s="269" t="n"/>
      <c r="N85" s="269" t="n"/>
      <c r="O85" s="269" t="n"/>
      <c r="P85" s="269" t="n"/>
      <c r="Q85" s="269" t="n"/>
      <c r="R85" s="269" t="n"/>
      <c r="S85" s="269" t="n"/>
      <c r="T85" s="269" t="n"/>
      <c r="U85" s="269" t="n"/>
      <c r="V85" s="269" t="n"/>
      <c r="W85" s="270" t="n"/>
    </row>
    <row r="86" customFormat="1" s="163">
      <c r="A86" s="282" t="n"/>
      <c r="B86" s="277" t="n"/>
      <c r="C86" s="278" t="n"/>
      <c r="D86" s="269" t="n"/>
      <c r="E86" s="269" t="n"/>
      <c r="F86" s="269" t="n"/>
      <c r="G86" s="269" t="n"/>
      <c r="H86" s="269" t="n"/>
      <c r="I86" s="269" t="n"/>
      <c r="J86" s="269" t="n"/>
      <c r="K86" s="269" t="n"/>
      <c r="L86" s="269" t="n"/>
      <c r="M86" s="269" t="n"/>
      <c r="N86" s="269" t="n"/>
      <c r="O86" s="269" t="n"/>
      <c r="P86" s="269" t="n"/>
      <c r="Q86" s="269" t="n"/>
      <c r="R86" s="269" t="n"/>
      <c r="S86" s="269" t="n"/>
      <c r="T86" s="269" t="n"/>
      <c r="U86" s="269" t="n"/>
      <c r="V86" s="269" t="n"/>
      <c r="W86" s="270" t="n"/>
    </row>
    <row r="87" customFormat="1" s="163">
      <c r="A87" s="282" t="n"/>
      <c r="B87" s="277" t="n"/>
      <c r="C87" s="278" t="n"/>
      <c r="D87" s="269" t="n"/>
      <c r="E87" s="269" t="n"/>
      <c r="F87" s="269" t="n"/>
      <c r="G87" s="269" t="n"/>
      <c r="H87" s="269" t="n"/>
      <c r="I87" s="269" t="n"/>
      <c r="J87" s="269" t="n"/>
      <c r="K87" s="269" t="n"/>
      <c r="L87" s="269" t="n"/>
      <c r="M87" s="269" t="n"/>
      <c r="N87" s="269" t="n"/>
      <c r="O87" s="269" t="n"/>
      <c r="P87" s="269" t="n"/>
      <c r="Q87" s="269" t="n"/>
      <c r="R87" s="269" t="n"/>
      <c r="S87" s="269" t="n"/>
      <c r="T87" s="269" t="n"/>
      <c r="U87" s="269" t="n"/>
      <c r="V87" s="269" t="n"/>
      <c r="W87" s="270" t="n"/>
    </row>
    <row r="88" customFormat="1" s="163">
      <c r="A88" s="282" t="n"/>
      <c r="B88" s="277" t="n"/>
      <c r="C88" s="278" t="n"/>
      <c r="D88" s="269" t="n"/>
      <c r="E88" s="269" t="n"/>
      <c r="F88" s="269" t="n"/>
      <c r="G88" s="269" t="n"/>
      <c r="H88" s="269" t="n"/>
      <c r="I88" s="269" t="n"/>
      <c r="J88" s="269" t="n"/>
      <c r="K88" s="269" t="n"/>
      <c r="L88" s="269" t="n"/>
      <c r="M88" s="269" t="n"/>
      <c r="N88" s="269" t="n"/>
      <c r="O88" s="269" t="n"/>
      <c r="P88" s="269" t="n"/>
      <c r="Q88" s="269" t="n"/>
      <c r="R88" s="269" t="n"/>
      <c r="S88" s="269" t="n"/>
      <c r="T88" s="269" t="n"/>
      <c r="U88" s="269" t="n"/>
      <c r="V88" s="269" t="n"/>
      <c r="W88" s="270" t="n"/>
    </row>
    <row r="89" customFormat="1" s="163">
      <c r="A89" s="282" t="n"/>
      <c r="B89" s="277" t="n"/>
      <c r="C89" s="278" t="n"/>
      <c r="D89" s="269" t="n"/>
      <c r="E89" s="269" t="n"/>
      <c r="F89" s="269" t="n"/>
      <c r="G89" s="269" t="n"/>
      <c r="H89" s="269" t="n"/>
      <c r="I89" s="269" t="n"/>
      <c r="J89" s="269" t="n"/>
      <c r="K89" s="269" t="n"/>
      <c r="L89" s="269" t="n"/>
      <c r="M89" s="269" t="n"/>
      <c r="N89" s="269" t="n"/>
      <c r="O89" s="269" t="n"/>
      <c r="P89" s="269" t="n"/>
      <c r="Q89" s="269" t="n"/>
      <c r="R89" s="269" t="n"/>
      <c r="S89" s="269" t="n"/>
      <c r="T89" s="269" t="n"/>
      <c r="U89" s="269" t="n"/>
      <c r="V89" s="269" t="n"/>
      <c r="W89" s="270" t="n"/>
    </row>
    <row r="90" customFormat="1" s="163">
      <c r="A90" s="282" t="n"/>
      <c r="B90" s="277" t="n"/>
      <c r="C90" s="278" t="n"/>
      <c r="D90" s="269" t="n"/>
      <c r="E90" s="269" t="n"/>
      <c r="F90" s="269" t="n"/>
      <c r="G90" s="269" t="n"/>
      <c r="H90" s="269" t="n"/>
      <c r="I90" s="269" t="n"/>
      <c r="J90" s="269" t="n"/>
      <c r="K90" s="269" t="n"/>
      <c r="L90" s="269" t="n"/>
      <c r="M90" s="269" t="n"/>
      <c r="N90" s="269" t="n"/>
      <c r="O90" s="269" t="n"/>
      <c r="P90" s="269" t="n"/>
      <c r="Q90" s="269" t="n"/>
      <c r="R90" s="269" t="n"/>
      <c r="S90" s="269" t="n"/>
      <c r="T90" s="269" t="n"/>
      <c r="U90" s="269" t="n"/>
      <c r="V90" s="269" t="n"/>
      <c r="W90" s="270" t="n"/>
    </row>
    <row r="91" customFormat="1" s="163">
      <c r="A91" s="282" t="n"/>
      <c r="B91" s="277" t="n"/>
      <c r="C91" s="278" t="n"/>
      <c r="D91" s="269" t="n"/>
      <c r="E91" s="269" t="n"/>
      <c r="F91" s="269" t="n"/>
      <c r="G91" s="269" t="n"/>
      <c r="H91" s="269" t="n"/>
      <c r="I91" s="269" t="n"/>
      <c r="J91" s="269" t="n"/>
      <c r="K91" s="269" t="n"/>
      <c r="L91" s="269" t="n"/>
      <c r="M91" s="269" t="n"/>
      <c r="N91" s="269" t="n"/>
      <c r="O91" s="269" t="n"/>
      <c r="P91" s="269" t="n"/>
      <c r="Q91" s="269" t="n"/>
      <c r="R91" s="269" t="n"/>
      <c r="S91" s="269" t="n"/>
      <c r="T91" s="269" t="n"/>
      <c r="U91" s="269" t="n"/>
      <c r="V91" s="269" t="n"/>
      <c r="W91" s="270" t="n"/>
    </row>
    <row r="92" customFormat="1" s="163">
      <c r="A92" s="282" t="n"/>
      <c r="B92" s="277" t="n"/>
      <c r="C92" s="278" t="n"/>
      <c r="D92" s="269" t="n"/>
      <c r="E92" s="269" t="n"/>
      <c r="F92" s="269" t="n"/>
      <c r="G92" s="269" t="n"/>
      <c r="H92" s="269" t="n"/>
      <c r="I92" s="269" t="n"/>
      <c r="J92" s="269" t="n"/>
      <c r="K92" s="269" t="n"/>
      <c r="L92" s="269" t="n"/>
      <c r="M92" s="269" t="n"/>
      <c r="N92" s="269" t="n"/>
      <c r="O92" s="269" t="n"/>
      <c r="P92" s="269" t="n"/>
      <c r="Q92" s="269" t="n"/>
      <c r="R92" s="269" t="n"/>
      <c r="S92" s="269" t="n"/>
      <c r="T92" s="269" t="n"/>
      <c r="U92" s="269" t="n"/>
      <c r="V92" s="269" t="n"/>
      <c r="W92" s="270" t="n"/>
    </row>
    <row r="93" customFormat="1" s="163">
      <c r="A93" s="282" t="n"/>
      <c r="B93" s="277" t="n"/>
      <c r="C93" s="278" t="n"/>
      <c r="D93" s="269" t="n"/>
      <c r="E93" s="269" t="n"/>
      <c r="F93" s="269" t="n"/>
      <c r="G93" s="269" t="n"/>
      <c r="H93" s="269" t="n"/>
      <c r="I93" s="269" t="n"/>
      <c r="J93" s="269" t="n"/>
      <c r="K93" s="269" t="n"/>
      <c r="L93" s="269" t="n"/>
      <c r="M93" s="269" t="n"/>
      <c r="N93" s="269" t="n"/>
      <c r="O93" s="269" t="n"/>
      <c r="P93" s="269" t="n"/>
      <c r="Q93" s="269" t="n"/>
      <c r="R93" s="269" t="n"/>
      <c r="S93" s="269" t="n"/>
      <c r="T93" s="269" t="n"/>
      <c r="U93" s="269" t="n"/>
      <c r="V93" s="269" t="n"/>
      <c r="W93" s="270" t="n"/>
    </row>
    <row r="94" customFormat="1" s="163">
      <c r="A94" s="282" t="n"/>
      <c r="B94" s="277" t="n"/>
      <c r="C94" s="278" t="n"/>
      <c r="D94" s="269" t="n"/>
      <c r="E94" s="269" t="n"/>
      <c r="F94" s="269" t="n"/>
      <c r="G94" s="269" t="n"/>
      <c r="H94" s="269" t="n"/>
      <c r="I94" s="269" t="n"/>
      <c r="J94" s="269" t="n"/>
      <c r="K94" s="269" t="n"/>
      <c r="L94" s="269" t="n"/>
      <c r="M94" s="269" t="n"/>
      <c r="N94" s="269" t="n"/>
      <c r="O94" s="269" t="n"/>
      <c r="P94" s="269" t="n"/>
      <c r="Q94" s="269" t="n"/>
      <c r="R94" s="269" t="n"/>
      <c r="S94" s="269" t="n"/>
      <c r="T94" s="269" t="n"/>
      <c r="U94" s="269" t="n"/>
      <c r="V94" s="269" t="n"/>
      <c r="W94" s="270" t="n"/>
    </row>
    <row r="95" customFormat="1" s="163">
      <c r="A95" s="282" t="n"/>
      <c r="B95" s="277" t="n"/>
      <c r="C95" s="278" t="n"/>
      <c r="D95" s="269" t="n"/>
      <c r="E95" s="269" t="n"/>
      <c r="F95" s="269" t="n"/>
      <c r="G95" s="269" t="n"/>
      <c r="H95" s="269" t="n"/>
      <c r="I95" s="269" t="n"/>
      <c r="J95" s="269" t="n"/>
      <c r="K95" s="269" t="n"/>
      <c r="L95" s="269" t="n"/>
      <c r="M95" s="269" t="n"/>
      <c r="N95" s="269" t="n"/>
      <c r="O95" s="269" t="n"/>
      <c r="P95" s="269" t="n"/>
      <c r="Q95" s="269" t="n"/>
      <c r="R95" s="269" t="n"/>
      <c r="S95" s="269" t="n"/>
      <c r="T95" s="269" t="n"/>
      <c r="U95" s="269" t="n"/>
      <c r="V95" s="269" t="n"/>
      <c r="W95" s="270" t="n"/>
    </row>
    <row r="96" customFormat="1" s="163">
      <c r="A96" s="282" t="n"/>
      <c r="B96" s="277" t="n"/>
      <c r="C96" s="278" t="n"/>
      <c r="D96" s="269" t="n"/>
      <c r="E96" s="269" t="n"/>
      <c r="F96" s="269" t="n"/>
      <c r="G96" s="269" t="n"/>
      <c r="H96" s="269" t="n"/>
      <c r="I96" s="269" t="n"/>
      <c r="J96" s="269" t="n"/>
      <c r="K96" s="269" t="n"/>
      <c r="L96" s="269" t="n"/>
      <c r="M96" s="269" t="n"/>
      <c r="N96" s="269" t="n"/>
      <c r="O96" s="269" t="n"/>
      <c r="P96" s="269" t="n"/>
      <c r="Q96" s="269" t="n"/>
      <c r="R96" s="269" t="n"/>
      <c r="S96" s="269" t="n"/>
      <c r="T96" s="269" t="n"/>
      <c r="U96" s="269" t="n"/>
      <c r="V96" s="269" t="n"/>
      <c r="W96" s="270" t="n"/>
    </row>
    <row r="97" customFormat="1" s="163">
      <c r="A97" s="282" t="n"/>
      <c r="B97" s="277" t="n"/>
      <c r="C97" s="278" t="n"/>
      <c r="D97" s="269" t="n"/>
      <c r="E97" s="269" t="n"/>
      <c r="F97" s="269" t="n"/>
      <c r="G97" s="269" t="n"/>
      <c r="H97" s="269" t="n"/>
      <c r="I97" s="269" t="n"/>
      <c r="J97" s="269" t="n"/>
      <c r="K97" s="269" t="n"/>
      <c r="L97" s="269" t="n"/>
      <c r="M97" s="269" t="n"/>
      <c r="N97" s="269" t="n"/>
      <c r="O97" s="269" t="n"/>
      <c r="P97" s="269" t="n"/>
      <c r="Q97" s="269" t="n"/>
      <c r="R97" s="269" t="n"/>
      <c r="S97" s="269" t="n"/>
      <c r="T97" s="269" t="n"/>
      <c r="U97" s="269" t="n"/>
      <c r="V97" s="269" t="n"/>
      <c r="W97" s="270" t="n"/>
    </row>
    <row r="98" customFormat="1" s="163">
      <c r="A98" s="282" t="n"/>
      <c r="B98" s="277" t="n"/>
      <c r="C98" s="278" t="n"/>
      <c r="D98" s="269" t="n"/>
      <c r="E98" s="269" t="n"/>
      <c r="F98" s="269" t="n"/>
      <c r="G98" s="269" t="n"/>
      <c r="H98" s="269" t="n"/>
      <c r="I98" s="269" t="n"/>
      <c r="J98" s="269" t="n"/>
      <c r="K98" s="269" t="n"/>
      <c r="L98" s="269" t="n"/>
      <c r="M98" s="269" t="n"/>
      <c r="N98" s="269" t="n"/>
      <c r="O98" s="269" t="n"/>
      <c r="P98" s="269" t="n"/>
      <c r="Q98" s="269" t="n"/>
      <c r="R98" s="269" t="n"/>
      <c r="S98" s="269" t="n"/>
      <c r="T98" s="269" t="n"/>
      <c r="U98" s="269" t="n"/>
      <c r="V98" s="269" t="n"/>
      <c r="W98" s="270" t="n"/>
    </row>
    <row r="99" customFormat="1" s="163">
      <c r="A99" s="282" t="n"/>
      <c r="B99" s="277" t="n"/>
      <c r="C99" s="278" t="n"/>
      <c r="D99" s="269" t="n"/>
      <c r="E99" s="269" t="n"/>
      <c r="F99" s="269" t="n"/>
      <c r="G99" s="269" t="n"/>
      <c r="H99" s="269" t="n"/>
      <c r="I99" s="269" t="n"/>
      <c r="J99" s="269" t="n"/>
      <c r="K99" s="269" t="n"/>
      <c r="L99" s="269" t="n"/>
      <c r="M99" s="269" t="n"/>
      <c r="N99" s="269" t="n"/>
      <c r="O99" s="269" t="n"/>
      <c r="P99" s="269" t="n"/>
      <c r="Q99" s="269" t="n"/>
      <c r="R99" s="269" t="n"/>
      <c r="S99" s="269" t="n"/>
      <c r="T99" s="269" t="n"/>
      <c r="U99" s="269" t="n"/>
      <c r="V99" s="269" t="n"/>
      <c r="W99" s="270" t="n"/>
    </row>
    <row r="100" customFormat="1" s="163">
      <c r="A100" s="282" t="n"/>
      <c r="B100" s="277" t="n"/>
      <c r="C100" s="278" t="n"/>
      <c r="D100" s="269" t="n"/>
      <c r="E100" s="269" t="n"/>
      <c r="F100" s="269" t="n"/>
      <c r="G100" s="269" t="n"/>
      <c r="H100" s="269" t="n"/>
      <c r="I100" s="269" t="n"/>
      <c r="J100" s="269" t="n"/>
      <c r="K100" s="269" t="n"/>
      <c r="L100" s="269" t="n"/>
      <c r="M100" s="269" t="n"/>
      <c r="N100" s="269" t="n"/>
      <c r="O100" s="269" t="n"/>
      <c r="P100" s="269" t="n"/>
      <c r="Q100" s="269" t="n"/>
      <c r="R100" s="269" t="n"/>
      <c r="S100" s="269" t="n"/>
      <c r="T100" s="269" t="n"/>
      <c r="U100" s="269" t="n"/>
      <c r="V100" s="269" t="n"/>
      <c r="W100" s="270" t="n"/>
    </row>
    <row r="101" customFormat="1" s="163">
      <c r="A101" s="282" t="n"/>
      <c r="B101" s="277" t="n"/>
      <c r="C101" s="278" t="n"/>
      <c r="D101" s="269" t="n"/>
      <c r="E101" s="269" t="n"/>
      <c r="F101" s="269" t="n"/>
      <c r="G101" s="269" t="n"/>
      <c r="H101" s="269" t="n"/>
      <c r="I101" s="269" t="n"/>
      <c r="J101" s="269" t="n"/>
      <c r="K101" s="269" t="n"/>
      <c r="L101" s="269" t="n"/>
      <c r="M101" s="269" t="n"/>
      <c r="N101" s="269" t="n"/>
      <c r="O101" s="269" t="n"/>
      <c r="P101" s="269" t="n"/>
      <c r="Q101" s="269" t="n"/>
      <c r="R101" s="269" t="n"/>
      <c r="S101" s="269" t="n"/>
      <c r="T101" s="269" t="n"/>
      <c r="U101" s="269" t="n"/>
      <c r="V101" s="269" t="n"/>
      <c r="W101" s="270" t="n"/>
    </row>
    <row r="102" customFormat="1" s="163">
      <c r="A102" s="282" t="n"/>
      <c r="B102" s="277" t="n"/>
      <c r="C102" s="278" t="n"/>
      <c r="D102" s="269" t="n"/>
      <c r="E102" s="269" t="n"/>
      <c r="F102" s="269" t="n"/>
      <c r="G102" s="269" t="n"/>
      <c r="H102" s="269" t="n"/>
      <c r="I102" s="269" t="n"/>
      <c r="J102" s="269" t="n"/>
      <c r="K102" s="269" t="n"/>
      <c r="L102" s="269" t="n"/>
      <c r="M102" s="269" t="n"/>
      <c r="N102" s="269" t="n"/>
      <c r="O102" s="269" t="n"/>
      <c r="P102" s="269" t="n"/>
      <c r="Q102" s="269" t="n"/>
      <c r="R102" s="269" t="n"/>
      <c r="S102" s="269" t="n"/>
      <c r="T102" s="269" t="n"/>
      <c r="U102" s="269" t="n"/>
      <c r="V102" s="269" t="n"/>
      <c r="W102" s="270" t="n"/>
    </row>
    <row r="103" customFormat="1" s="163">
      <c r="A103" s="282" t="n"/>
      <c r="B103" s="277" t="n"/>
      <c r="C103" s="278" t="n"/>
      <c r="D103" s="269" t="n"/>
      <c r="E103" s="269" t="n"/>
      <c r="F103" s="269" t="n"/>
      <c r="G103" s="269" t="n"/>
      <c r="H103" s="269" t="n"/>
      <c r="I103" s="269" t="n"/>
      <c r="J103" s="269" t="n"/>
      <c r="K103" s="269" t="n"/>
      <c r="L103" s="269" t="n"/>
      <c r="M103" s="269" t="n"/>
      <c r="N103" s="269" t="n"/>
      <c r="O103" s="269" t="n"/>
      <c r="P103" s="269" t="n"/>
      <c r="Q103" s="269" t="n"/>
      <c r="R103" s="269" t="n"/>
      <c r="S103" s="269" t="n"/>
      <c r="T103" s="269" t="n"/>
      <c r="U103" s="269" t="n"/>
      <c r="V103" s="269" t="n"/>
      <c r="W103" s="270" t="n"/>
    </row>
    <row r="104" customFormat="1" s="163">
      <c r="A104" s="282" t="n"/>
      <c r="B104" s="277" t="n"/>
      <c r="C104" s="278" t="n"/>
      <c r="D104" s="269" t="n"/>
      <c r="E104" s="269" t="n"/>
      <c r="F104" s="269" t="n"/>
      <c r="G104" s="269" t="n"/>
      <c r="H104" s="269" t="n"/>
      <c r="I104" s="269" t="n"/>
      <c r="J104" s="269" t="n"/>
      <c r="K104" s="269" t="n"/>
      <c r="L104" s="269" t="n"/>
      <c r="M104" s="269" t="n"/>
      <c r="N104" s="269" t="n"/>
      <c r="O104" s="269" t="n"/>
      <c r="P104" s="269" t="n"/>
      <c r="Q104" s="269" t="n"/>
      <c r="R104" s="269" t="n"/>
      <c r="S104" s="269" t="n"/>
      <c r="T104" s="269" t="n"/>
      <c r="U104" s="269" t="n"/>
      <c r="V104" s="269" t="n"/>
      <c r="W104" s="270" t="n"/>
    </row>
    <row r="105" customFormat="1" s="163">
      <c r="A105" s="282" t="n"/>
      <c r="B105" s="277" t="n"/>
      <c r="C105" s="278" t="n"/>
      <c r="D105" s="269" t="n"/>
      <c r="E105" s="269" t="n"/>
      <c r="F105" s="269" t="n"/>
      <c r="G105" s="269" t="n"/>
      <c r="H105" s="269" t="n"/>
      <c r="I105" s="269" t="n"/>
      <c r="J105" s="269" t="n"/>
      <c r="K105" s="269" t="n"/>
      <c r="L105" s="269" t="n"/>
      <c r="M105" s="269" t="n"/>
      <c r="N105" s="269" t="n"/>
      <c r="O105" s="269" t="n"/>
      <c r="P105" s="269" t="n"/>
      <c r="Q105" s="269" t="n"/>
      <c r="R105" s="269" t="n"/>
      <c r="S105" s="269" t="n"/>
      <c r="T105" s="269" t="n"/>
      <c r="U105" s="269" t="n"/>
      <c r="V105" s="269" t="n"/>
      <c r="W105" s="270" t="n"/>
    </row>
    <row r="106" customFormat="1" s="163">
      <c r="A106" s="282" t="n"/>
      <c r="B106" s="277" t="n"/>
      <c r="C106" s="278" t="n"/>
      <c r="D106" s="269" t="n"/>
      <c r="E106" s="269" t="n"/>
      <c r="F106" s="269" t="n"/>
      <c r="G106" s="269" t="n"/>
      <c r="H106" s="269" t="n"/>
      <c r="I106" s="269" t="n"/>
      <c r="J106" s="269" t="n"/>
      <c r="K106" s="269" t="n"/>
      <c r="L106" s="269" t="n"/>
      <c r="M106" s="269" t="n"/>
      <c r="N106" s="269" t="n"/>
      <c r="O106" s="269" t="n"/>
      <c r="P106" s="269" t="n"/>
      <c r="Q106" s="269" t="n"/>
      <c r="R106" s="269" t="n"/>
      <c r="S106" s="269" t="n"/>
      <c r="T106" s="269" t="n"/>
      <c r="U106" s="269" t="n"/>
      <c r="V106" s="269" t="n"/>
      <c r="W106" s="270" t="n"/>
    </row>
    <row r="107" customFormat="1" s="163">
      <c r="A107" s="282" t="n"/>
      <c r="B107" s="277" t="n"/>
      <c r="C107" s="278" t="n"/>
      <c r="D107" s="269" t="n"/>
      <c r="E107" s="269" t="n"/>
      <c r="F107" s="269" t="n"/>
      <c r="G107" s="269" t="n"/>
      <c r="H107" s="269" t="n"/>
      <c r="I107" s="269" t="n"/>
      <c r="J107" s="269" t="n"/>
      <c r="K107" s="269" t="n"/>
      <c r="L107" s="269" t="n"/>
      <c r="M107" s="269" t="n"/>
      <c r="N107" s="269" t="n"/>
      <c r="O107" s="269" t="n"/>
      <c r="P107" s="269" t="n"/>
      <c r="Q107" s="269" t="n"/>
      <c r="R107" s="269" t="n"/>
      <c r="S107" s="269" t="n"/>
      <c r="T107" s="269" t="n"/>
      <c r="U107" s="269" t="n"/>
      <c r="V107" s="269" t="n"/>
      <c r="W107" s="270" t="n"/>
    </row>
    <row r="108" customFormat="1" s="163">
      <c r="A108" s="282" t="n"/>
      <c r="B108" s="277" t="n"/>
      <c r="C108" s="278" t="n"/>
      <c r="D108" s="269" t="n"/>
      <c r="E108" s="269" t="n"/>
      <c r="F108" s="269" t="n"/>
      <c r="G108" s="269" t="n"/>
      <c r="H108" s="269" t="n"/>
      <c r="I108" s="269" t="n"/>
      <c r="J108" s="269" t="n"/>
      <c r="K108" s="269" t="n"/>
      <c r="L108" s="269" t="n"/>
      <c r="M108" s="269" t="n"/>
      <c r="N108" s="269" t="n"/>
      <c r="O108" s="269" t="n"/>
      <c r="P108" s="269" t="n"/>
      <c r="Q108" s="269" t="n"/>
      <c r="R108" s="269" t="n"/>
      <c r="S108" s="269" t="n"/>
      <c r="T108" s="269" t="n"/>
      <c r="U108" s="269" t="n"/>
      <c r="V108" s="269" t="n"/>
      <c r="W108" s="270" t="n"/>
    </row>
    <row r="109" customFormat="1" s="163">
      <c r="A109" s="282" t="n"/>
      <c r="B109" s="277" t="n"/>
      <c r="C109" s="278" t="n"/>
      <c r="D109" s="269" t="n"/>
      <c r="E109" s="269" t="n"/>
      <c r="F109" s="269" t="n"/>
      <c r="G109" s="269" t="n"/>
      <c r="H109" s="269" t="n"/>
      <c r="I109" s="269" t="n"/>
      <c r="J109" s="269" t="n"/>
      <c r="K109" s="269" t="n"/>
      <c r="L109" s="269" t="n"/>
      <c r="M109" s="269" t="n"/>
      <c r="N109" s="269" t="n"/>
      <c r="O109" s="269" t="n"/>
      <c r="P109" s="269" t="n"/>
      <c r="Q109" s="269" t="n"/>
      <c r="R109" s="269" t="n"/>
      <c r="S109" s="269" t="n"/>
      <c r="T109" s="269" t="n"/>
      <c r="U109" s="269" t="n"/>
      <c r="V109" s="269" t="n"/>
      <c r="W109" s="270" t="n"/>
    </row>
    <row r="110" customFormat="1" s="163">
      <c r="A110" s="282" t="n"/>
      <c r="B110" s="277" t="n"/>
      <c r="C110" s="278" t="n"/>
      <c r="D110" s="269" t="n"/>
      <c r="E110" s="269" t="n"/>
      <c r="F110" s="269" t="n"/>
      <c r="G110" s="269" t="n"/>
      <c r="H110" s="269" t="n"/>
      <c r="I110" s="269" t="n"/>
      <c r="J110" s="269" t="n"/>
      <c r="K110" s="269" t="n"/>
      <c r="L110" s="269" t="n"/>
      <c r="M110" s="269" t="n"/>
      <c r="N110" s="269" t="n"/>
      <c r="O110" s="269" t="n"/>
      <c r="P110" s="269" t="n"/>
      <c r="Q110" s="269" t="n"/>
      <c r="R110" s="269" t="n"/>
      <c r="S110" s="269" t="n"/>
      <c r="T110" s="269" t="n"/>
      <c r="U110" s="269" t="n"/>
      <c r="V110" s="269" t="n"/>
      <c r="W110" s="270" t="n"/>
    </row>
    <row r="111" customFormat="1" s="163">
      <c r="A111" s="282" t="n"/>
      <c r="B111" s="277" t="n"/>
      <c r="C111" s="278" t="n"/>
      <c r="D111" s="269" t="n"/>
      <c r="E111" s="269" t="n"/>
      <c r="F111" s="269" t="n"/>
      <c r="G111" s="269" t="n"/>
      <c r="H111" s="269" t="n"/>
      <c r="I111" s="269" t="n"/>
      <c r="J111" s="269" t="n"/>
      <c r="K111" s="269" t="n"/>
      <c r="L111" s="269" t="n"/>
      <c r="M111" s="269" t="n"/>
      <c r="N111" s="269" t="n"/>
      <c r="O111" s="269" t="n"/>
      <c r="P111" s="269" t="n"/>
      <c r="Q111" s="269" t="n"/>
      <c r="R111" s="269" t="n"/>
      <c r="S111" s="269" t="n"/>
      <c r="T111" s="269" t="n"/>
      <c r="U111" s="269" t="n"/>
      <c r="V111" s="269" t="n"/>
      <c r="W111" s="270" t="n"/>
    </row>
    <row r="112" customFormat="1" s="163">
      <c r="A112" s="282" t="n"/>
      <c r="B112" s="277" t="n"/>
      <c r="C112" s="278" t="n"/>
      <c r="D112" s="269" t="n"/>
      <c r="E112" s="269" t="n"/>
      <c r="F112" s="269" t="n"/>
      <c r="G112" s="269" t="n"/>
      <c r="H112" s="269" t="n"/>
      <c r="I112" s="269" t="n"/>
      <c r="J112" s="269" t="n"/>
      <c r="K112" s="269" t="n"/>
      <c r="L112" s="269" t="n"/>
      <c r="M112" s="269" t="n"/>
      <c r="N112" s="269" t="n"/>
      <c r="O112" s="269" t="n"/>
      <c r="P112" s="269" t="n"/>
      <c r="Q112" s="269" t="n"/>
      <c r="R112" s="269" t="n"/>
      <c r="S112" s="269" t="n"/>
      <c r="T112" s="269" t="n"/>
      <c r="U112" s="269" t="n"/>
      <c r="V112" s="269" t="n"/>
      <c r="W112" s="270" t="n"/>
    </row>
    <row r="113" customFormat="1" s="163">
      <c r="A113" s="282" t="n"/>
      <c r="B113" s="277" t="n"/>
      <c r="C113" s="278" t="n"/>
      <c r="D113" s="269" t="n"/>
      <c r="E113" s="269" t="n"/>
      <c r="F113" s="269" t="n"/>
      <c r="G113" s="269" t="n"/>
      <c r="H113" s="269" t="n"/>
      <c r="I113" s="269" t="n"/>
      <c r="J113" s="269" t="n"/>
      <c r="K113" s="269" t="n"/>
      <c r="L113" s="269" t="n"/>
      <c r="M113" s="269" t="n"/>
      <c r="N113" s="269" t="n"/>
      <c r="O113" s="269" t="n"/>
      <c r="P113" s="269" t="n"/>
      <c r="Q113" s="269" t="n"/>
      <c r="R113" s="269" t="n"/>
      <c r="S113" s="269" t="n"/>
      <c r="T113" s="269" t="n"/>
      <c r="U113" s="269" t="n"/>
      <c r="V113" s="269" t="n"/>
      <c r="W113" s="270" t="n"/>
    </row>
    <row r="114" customFormat="1" s="163">
      <c r="A114" s="282" t="n"/>
      <c r="B114" s="277" t="n"/>
      <c r="C114" s="278" t="n"/>
      <c r="D114" s="269" t="n"/>
      <c r="E114" s="269" t="n"/>
      <c r="F114" s="269" t="n"/>
      <c r="G114" s="269" t="n"/>
      <c r="H114" s="269" t="n"/>
      <c r="I114" s="269" t="n"/>
      <c r="J114" s="269" t="n"/>
      <c r="K114" s="269" t="n"/>
      <c r="L114" s="269" t="n"/>
      <c r="M114" s="269" t="n"/>
      <c r="N114" s="269" t="n"/>
      <c r="O114" s="269" t="n"/>
      <c r="P114" s="269" t="n"/>
      <c r="Q114" s="269" t="n"/>
      <c r="R114" s="269" t="n"/>
      <c r="S114" s="269" t="n"/>
      <c r="T114" s="269" t="n"/>
      <c r="U114" s="269" t="n"/>
      <c r="V114" s="269" t="n"/>
      <c r="W114" s="270" t="n"/>
    </row>
    <row r="115" customFormat="1" s="163">
      <c r="A115" s="282" t="n"/>
      <c r="B115" s="277" t="n"/>
      <c r="C115" s="278" t="n"/>
      <c r="D115" s="269" t="n"/>
      <c r="E115" s="269" t="n"/>
      <c r="F115" s="269" t="n"/>
      <c r="G115" s="269" t="n"/>
      <c r="H115" s="269" t="n"/>
      <c r="I115" s="269" t="n"/>
      <c r="J115" s="269" t="n"/>
      <c r="K115" s="269" t="n"/>
      <c r="L115" s="269" t="n"/>
      <c r="M115" s="269" t="n"/>
      <c r="N115" s="269" t="n"/>
      <c r="O115" s="269" t="n"/>
      <c r="P115" s="269" t="n"/>
      <c r="Q115" s="269" t="n"/>
      <c r="R115" s="269" t="n"/>
      <c r="S115" s="269" t="n"/>
      <c r="T115" s="269" t="n"/>
      <c r="U115" s="269" t="n"/>
      <c r="V115" s="269" t="n"/>
      <c r="W115" s="270" t="n"/>
    </row>
    <row r="116" customFormat="1" s="163">
      <c r="A116" s="282" t="n"/>
      <c r="B116" s="277" t="n"/>
      <c r="C116" s="278" t="n"/>
      <c r="D116" s="269" t="n"/>
      <c r="E116" s="269" t="n"/>
      <c r="F116" s="269" t="n"/>
      <c r="G116" s="269" t="n"/>
      <c r="H116" s="269" t="n"/>
      <c r="I116" s="269" t="n"/>
      <c r="J116" s="269" t="n"/>
      <c r="K116" s="269" t="n"/>
      <c r="L116" s="269" t="n"/>
      <c r="M116" s="269" t="n"/>
      <c r="N116" s="269" t="n"/>
      <c r="O116" s="269" t="n"/>
      <c r="P116" s="269" t="n"/>
      <c r="Q116" s="269" t="n"/>
      <c r="R116" s="269" t="n"/>
      <c r="S116" s="269" t="n"/>
      <c r="T116" s="269" t="n"/>
      <c r="U116" s="269" t="n"/>
      <c r="V116" s="269" t="n"/>
      <c r="W116" s="270" t="n"/>
    </row>
    <row r="117" customFormat="1" s="163">
      <c r="A117" s="282" t="n"/>
      <c r="B117" s="277" t="n"/>
      <c r="C117" s="278" t="n"/>
      <c r="D117" s="269" t="n"/>
      <c r="E117" s="269" t="n"/>
      <c r="F117" s="269" t="n"/>
      <c r="G117" s="269" t="n"/>
      <c r="H117" s="269" t="n"/>
      <c r="I117" s="269" t="n"/>
      <c r="J117" s="269" t="n"/>
      <c r="K117" s="269" t="n"/>
      <c r="L117" s="269" t="n"/>
      <c r="M117" s="269" t="n"/>
      <c r="N117" s="269" t="n"/>
      <c r="O117" s="269" t="n"/>
      <c r="P117" s="269" t="n"/>
      <c r="Q117" s="269" t="n"/>
      <c r="R117" s="269" t="n"/>
      <c r="S117" s="269" t="n"/>
      <c r="T117" s="269" t="n"/>
      <c r="U117" s="269" t="n"/>
      <c r="V117" s="269" t="n"/>
      <c r="W117" s="270" t="n"/>
    </row>
    <row r="118" customFormat="1" s="163">
      <c r="A118" s="282" t="n"/>
      <c r="B118" s="277" t="n"/>
      <c r="C118" s="278" t="n"/>
      <c r="D118" s="269" t="n"/>
      <c r="E118" s="269" t="n"/>
      <c r="F118" s="269" t="n"/>
      <c r="G118" s="269" t="n"/>
      <c r="H118" s="269" t="n"/>
      <c r="I118" s="269" t="n"/>
      <c r="J118" s="269" t="n"/>
      <c r="K118" s="269" t="n"/>
      <c r="L118" s="269" t="n"/>
      <c r="M118" s="269" t="n"/>
      <c r="N118" s="269" t="n"/>
      <c r="O118" s="269" t="n"/>
      <c r="P118" s="269" t="n"/>
      <c r="Q118" s="269" t="n"/>
      <c r="R118" s="269" t="n"/>
      <c r="S118" s="269" t="n"/>
      <c r="T118" s="269" t="n"/>
      <c r="U118" s="269" t="n"/>
      <c r="V118" s="269" t="n"/>
      <c r="W118" s="270" t="n"/>
    </row>
    <row r="119" customFormat="1" s="163">
      <c r="A119" s="282" t="n"/>
      <c r="B119" s="277" t="n"/>
      <c r="C119" s="278" t="n"/>
      <c r="D119" s="269" t="n"/>
      <c r="E119" s="269" t="n"/>
      <c r="F119" s="269" t="n"/>
      <c r="G119" s="269" t="n"/>
      <c r="H119" s="269" t="n"/>
      <c r="I119" s="269" t="n"/>
      <c r="J119" s="269" t="n"/>
      <c r="K119" s="269" t="n"/>
      <c r="L119" s="269" t="n"/>
      <c r="M119" s="269" t="n"/>
      <c r="N119" s="269" t="n"/>
      <c r="O119" s="269" t="n"/>
      <c r="P119" s="269" t="n"/>
      <c r="Q119" s="269" t="n"/>
      <c r="R119" s="269" t="n"/>
      <c r="S119" s="269" t="n"/>
      <c r="T119" s="269" t="n"/>
      <c r="U119" s="269" t="n"/>
      <c r="V119" s="269" t="n"/>
      <c r="W119" s="270" t="n"/>
    </row>
    <row r="120" customFormat="1" s="163">
      <c r="A120" s="282" t="n"/>
      <c r="B120" s="277" t="n"/>
      <c r="C120" s="278" t="n"/>
      <c r="D120" s="269" t="n"/>
      <c r="E120" s="269" t="n"/>
      <c r="F120" s="269" t="n"/>
      <c r="G120" s="269" t="n"/>
      <c r="H120" s="269" t="n"/>
      <c r="I120" s="269" t="n"/>
      <c r="J120" s="269" t="n"/>
      <c r="K120" s="269" t="n"/>
      <c r="L120" s="269" t="n"/>
      <c r="M120" s="269" t="n"/>
      <c r="N120" s="269" t="n"/>
      <c r="O120" s="269" t="n"/>
      <c r="P120" s="269" t="n"/>
      <c r="Q120" s="269" t="n"/>
      <c r="R120" s="269" t="n"/>
      <c r="S120" s="269" t="n"/>
      <c r="T120" s="269" t="n"/>
      <c r="U120" s="269" t="n"/>
      <c r="V120" s="269" t="n"/>
      <c r="W120" s="270" t="n"/>
    </row>
    <row r="121" customFormat="1" s="163">
      <c r="A121" s="282" t="n"/>
      <c r="B121" s="277" t="n"/>
      <c r="C121" s="278" t="n"/>
      <c r="D121" s="269" t="n"/>
      <c r="E121" s="269" t="n"/>
      <c r="F121" s="269" t="n"/>
      <c r="G121" s="269" t="n"/>
      <c r="H121" s="269" t="n"/>
      <c r="I121" s="269" t="n"/>
      <c r="J121" s="269" t="n"/>
      <c r="K121" s="269" t="n"/>
      <c r="L121" s="269" t="n"/>
      <c r="M121" s="269" t="n"/>
      <c r="N121" s="269" t="n"/>
      <c r="O121" s="269" t="n"/>
      <c r="P121" s="269" t="n"/>
      <c r="Q121" s="269" t="n"/>
      <c r="R121" s="269" t="n"/>
      <c r="S121" s="269" t="n"/>
      <c r="T121" s="269" t="n"/>
      <c r="U121" s="269" t="n"/>
      <c r="V121" s="269" t="n"/>
      <c r="W121" s="270" t="n"/>
    </row>
    <row r="122" customFormat="1" s="163">
      <c r="A122" s="282" t="n"/>
      <c r="B122" s="277" t="n"/>
      <c r="C122" s="278" t="n"/>
      <c r="D122" s="269" t="n"/>
      <c r="E122" s="269" t="n"/>
      <c r="F122" s="269" t="n"/>
      <c r="G122" s="269" t="n"/>
      <c r="H122" s="269" t="n"/>
      <c r="I122" s="269" t="n"/>
      <c r="J122" s="269" t="n"/>
      <c r="K122" s="269" t="n"/>
      <c r="L122" s="269" t="n"/>
      <c r="M122" s="269" t="n"/>
      <c r="N122" s="269" t="n"/>
      <c r="O122" s="269" t="n"/>
      <c r="P122" s="269" t="n"/>
      <c r="Q122" s="269" t="n"/>
      <c r="R122" s="269" t="n"/>
      <c r="S122" s="269" t="n"/>
      <c r="T122" s="269" t="n"/>
      <c r="U122" s="269" t="n"/>
      <c r="V122" s="269" t="n"/>
      <c r="W122" s="270" t="n"/>
    </row>
    <row r="123" customFormat="1" s="163">
      <c r="A123" s="282" t="n"/>
      <c r="B123" s="277" t="n"/>
      <c r="C123" s="278" t="n"/>
      <c r="D123" s="269" t="n"/>
      <c r="E123" s="269" t="n"/>
      <c r="F123" s="269" t="n"/>
      <c r="G123" s="269" t="n"/>
      <c r="H123" s="269" t="n"/>
      <c r="I123" s="269" t="n"/>
      <c r="J123" s="269" t="n"/>
      <c r="K123" s="269" t="n"/>
      <c r="L123" s="269" t="n"/>
      <c r="M123" s="269" t="n"/>
      <c r="N123" s="269" t="n"/>
      <c r="O123" s="269" t="n"/>
      <c r="P123" s="269" t="n"/>
      <c r="Q123" s="269" t="n"/>
      <c r="R123" s="269" t="n"/>
      <c r="S123" s="269" t="n"/>
      <c r="T123" s="269" t="n"/>
      <c r="U123" s="269" t="n"/>
      <c r="V123" s="269" t="n"/>
      <c r="W123" s="270" t="n"/>
    </row>
    <row r="124" customFormat="1" s="163">
      <c r="A124" s="282" t="n"/>
      <c r="B124" s="277" t="n"/>
      <c r="C124" s="278" t="n"/>
      <c r="D124" s="269" t="n"/>
      <c r="E124" s="269" t="n"/>
      <c r="F124" s="269" t="n"/>
      <c r="G124" s="269" t="n"/>
      <c r="H124" s="269" t="n"/>
      <c r="I124" s="269" t="n"/>
      <c r="J124" s="269" t="n"/>
      <c r="K124" s="269" t="n"/>
      <c r="L124" s="269" t="n"/>
      <c r="M124" s="269" t="n"/>
      <c r="N124" s="269" t="n"/>
      <c r="O124" s="269" t="n"/>
      <c r="P124" s="269" t="n"/>
      <c r="Q124" s="269" t="n"/>
      <c r="R124" s="269" t="n"/>
      <c r="S124" s="269" t="n"/>
      <c r="T124" s="269" t="n"/>
      <c r="U124" s="269" t="n"/>
      <c r="V124" s="269" t="n"/>
      <c r="W124" s="270" t="n"/>
    </row>
    <row r="125" customFormat="1" s="163">
      <c r="A125" s="282" t="n"/>
      <c r="B125" s="277" t="n"/>
      <c r="C125" s="278" t="n"/>
      <c r="D125" s="269" t="n"/>
      <c r="E125" s="269" t="n"/>
      <c r="F125" s="269" t="n"/>
      <c r="G125" s="269" t="n"/>
      <c r="H125" s="269" t="n"/>
      <c r="I125" s="269" t="n"/>
      <c r="J125" s="269" t="n"/>
      <c r="K125" s="269" t="n"/>
      <c r="L125" s="269" t="n"/>
      <c r="M125" s="269" t="n"/>
      <c r="N125" s="269" t="n"/>
      <c r="O125" s="269" t="n"/>
      <c r="P125" s="269" t="n"/>
      <c r="Q125" s="269" t="n"/>
      <c r="R125" s="269" t="n"/>
      <c r="S125" s="269" t="n"/>
      <c r="T125" s="269" t="n"/>
      <c r="U125" s="269" t="n"/>
      <c r="V125" s="269" t="n"/>
      <c r="W125" s="270" t="n"/>
    </row>
    <row r="126" customFormat="1" s="163">
      <c r="A126" s="282" t="n"/>
      <c r="B126" s="277" t="n"/>
      <c r="C126" s="278" t="n"/>
      <c r="D126" s="269" t="n"/>
      <c r="E126" s="269" t="n"/>
      <c r="F126" s="269" t="n"/>
      <c r="G126" s="269" t="n"/>
      <c r="H126" s="269" t="n"/>
      <c r="I126" s="269" t="n"/>
      <c r="J126" s="269" t="n"/>
      <c r="K126" s="269" t="n"/>
      <c r="L126" s="269" t="n"/>
      <c r="M126" s="269" t="n"/>
      <c r="N126" s="269" t="n"/>
      <c r="O126" s="269" t="n"/>
      <c r="P126" s="269" t="n"/>
      <c r="Q126" s="269" t="n"/>
      <c r="R126" s="269" t="n"/>
      <c r="S126" s="269" t="n"/>
      <c r="T126" s="269" t="n"/>
      <c r="U126" s="269" t="n"/>
      <c r="V126" s="269" t="n"/>
      <c r="W126" s="270" t="n"/>
    </row>
    <row r="127" customFormat="1" s="163">
      <c r="A127" s="282" t="n"/>
      <c r="B127" s="277" t="n"/>
      <c r="C127" s="278" t="n"/>
      <c r="D127" s="269" t="n"/>
      <c r="E127" s="269" t="n"/>
      <c r="F127" s="269" t="n"/>
      <c r="G127" s="269" t="n"/>
      <c r="H127" s="269" t="n"/>
      <c r="I127" s="269" t="n"/>
      <c r="J127" s="269" t="n"/>
      <c r="K127" s="269" t="n"/>
      <c r="L127" s="269" t="n"/>
      <c r="M127" s="269" t="n"/>
      <c r="N127" s="269" t="n"/>
      <c r="O127" s="269" t="n"/>
      <c r="P127" s="269" t="n"/>
      <c r="Q127" s="269" t="n"/>
      <c r="R127" s="269" t="n"/>
      <c r="S127" s="269" t="n"/>
      <c r="T127" s="269" t="n"/>
      <c r="U127" s="269" t="n"/>
      <c r="V127" s="269" t="n"/>
      <c r="W127" s="270" t="n"/>
    </row>
    <row r="128" customFormat="1" s="163">
      <c r="A128" s="282" t="n"/>
      <c r="B128" s="277" t="n"/>
      <c r="C128" s="278" t="n"/>
      <c r="D128" s="269" t="n"/>
      <c r="E128" s="269" t="n"/>
      <c r="F128" s="269" t="n"/>
      <c r="G128" s="269" t="n"/>
      <c r="H128" s="269" t="n"/>
      <c r="I128" s="269" t="n"/>
      <c r="J128" s="269" t="n"/>
      <c r="K128" s="269" t="n"/>
      <c r="L128" s="269" t="n"/>
      <c r="M128" s="269" t="n"/>
      <c r="N128" s="269" t="n"/>
      <c r="O128" s="269" t="n"/>
      <c r="P128" s="269" t="n"/>
      <c r="Q128" s="269" t="n"/>
      <c r="R128" s="269" t="n"/>
      <c r="S128" s="269" t="n"/>
      <c r="T128" s="269" t="n"/>
      <c r="U128" s="269" t="n"/>
      <c r="V128" s="269" t="n"/>
      <c r="W128" s="270" t="n"/>
    </row>
    <row r="129" customFormat="1" s="163">
      <c r="A129" s="282" t="n"/>
      <c r="B129" s="277" t="n"/>
      <c r="C129" s="278" t="n"/>
      <c r="D129" s="269" t="n"/>
      <c r="E129" s="269" t="n"/>
      <c r="F129" s="269" t="n"/>
      <c r="G129" s="269" t="n"/>
      <c r="H129" s="269" t="n"/>
      <c r="I129" s="269" t="n"/>
      <c r="J129" s="269" t="n"/>
      <c r="K129" s="269" t="n"/>
      <c r="L129" s="269" t="n"/>
      <c r="M129" s="269" t="n"/>
      <c r="N129" s="269" t="n"/>
      <c r="O129" s="269" t="n"/>
      <c r="P129" s="269" t="n"/>
      <c r="Q129" s="269" t="n"/>
      <c r="R129" s="269" t="n"/>
      <c r="S129" s="269" t="n"/>
      <c r="T129" s="269" t="n"/>
      <c r="U129" s="269" t="n"/>
      <c r="V129" s="269" t="n"/>
      <c r="W129" s="270" t="n"/>
    </row>
    <row r="130" customFormat="1" s="163">
      <c r="A130" s="282" t="n"/>
      <c r="B130" s="277" t="n"/>
      <c r="C130" s="278" t="n"/>
      <c r="D130" s="269" t="n"/>
      <c r="E130" s="269" t="n"/>
      <c r="F130" s="269" t="n"/>
      <c r="G130" s="269" t="n"/>
      <c r="H130" s="269" t="n"/>
      <c r="I130" s="269" t="n"/>
      <c r="J130" s="269" t="n"/>
      <c r="K130" s="269" t="n"/>
      <c r="L130" s="269" t="n"/>
      <c r="M130" s="269" t="n"/>
      <c r="N130" s="269" t="n"/>
      <c r="O130" s="269" t="n"/>
      <c r="P130" s="269" t="n"/>
      <c r="Q130" s="269" t="n"/>
      <c r="R130" s="269" t="n"/>
      <c r="S130" s="269" t="n"/>
      <c r="T130" s="269" t="n"/>
      <c r="U130" s="269" t="n"/>
      <c r="V130" s="269" t="n"/>
      <c r="W130" s="270" t="n"/>
    </row>
    <row r="131" customFormat="1" s="163">
      <c r="A131" s="282" t="n"/>
      <c r="B131" s="277" t="n"/>
      <c r="C131" s="278" t="n"/>
      <c r="D131" s="269" t="n"/>
      <c r="E131" s="269" t="n"/>
      <c r="F131" s="269" t="n"/>
      <c r="G131" s="269" t="n"/>
      <c r="H131" s="269" t="n"/>
      <c r="I131" s="269" t="n"/>
      <c r="J131" s="269" t="n"/>
      <c r="K131" s="269" t="n"/>
      <c r="L131" s="269" t="n"/>
      <c r="M131" s="269" t="n"/>
      <c r="N131" s="269" t="n"/>
      <c r="O131" s="269" t="n"/>
      <c r="P131" s="269" t="n"/>
      <c r="Q131" s="269" t="n"/>
      <c r="R131" s="269" t="n"/>
      <c r="S131" s="269" t="n"/>
      <c r="T131" s="269" t="n"/>
      <c r="U131" s="269" t="n"/>
      <c r="V131" s="269" t="n"/>
      <c r="W131" s="270" t="n"/>
    </row>
    <row r="132" customFormat="1" s="163">
      <c r="A132" s="282" t="n"/>
      <c r="B132" s="277" t="n"/>
      <c r="C132" s="278" t="n"/>
      <c r="D132" s="269" t="n"/>
      <c r="E132" s="269" t="n"/>
      <c r="F132" s="269" t="n"/>
      <c r="G132" s="269" t="n"/>
      <c r="H132" s="269" t="n"/>
      <c r="I132" s="269" t="n"/>
      <c r="J132" s="269" t="n"/>
      <c r="K132" s="269" t="n"/>
      <c r="L132" s="269" t="n"/>
      <c r="M132" s="269" t="n"/>
      <c r="N132" s="269" t="n"/>
      <c r="O132" s="269" t="n"/>
      <c r="P132" s="269" t="n"/>
      <c r="Q132" s="269" t="n"/>
      <c r="R132" s="269" t="n"/>
      <c r="S132" s="269" t="n"/>
      <c r="T132" s="269" t="n"/>
      <c r="U132" s="269" t="n"/>
      <c r="V132" s="269" t="n"/>
      <c r="W132" s="270" t="n"/>
    </row>
    <row r="133" customFormat="1" s="163">
      <c r="A133" s="282" t="n"/>
      <c r="B133" s="277" t="n"/>
      <c r="C133" s="278" t="n"/>
      <c r="D133" s="269" t="n"/>
      <c r="E133" s="269" t="n"/>
      <c r="F133" s="269" t="n"/>
      <c r="G133" s="269" t="n"/>
      <c r="H133" s="269" t="n"/>
      <c r="I133" s="269" t="n"/>
      <c r="J133" s="269" t="n"/>
      <c r="K133" s="269" t="n"/>
      <c r="L133" s="269" t="n"/>
      <c r="M133" s="269" t="n"/>
      <c r="N133" s="269" t="n"/>
      <c r="O133" s="269" t="n"/>
      <c r="P133" s="269" t="n"/>
      <c r="Q133" s="269" t="n"/>
      <c r="R133" s="269" t="n"/>
      <c r="S133" s="269" t="n"/>
      <c r="T133" s="269" t="n"/>
      <c r="U133" s="269" t="n"/>
      <c r="V133" s="269" t="n"/>
      <c r="W133" s="270" t="n"/>
    </row>
    <row r="134" customFormat="1" s="163">
      <c r="A134" s="282" t="n"/>
      <c r="B134" s="277" t="n"/>
      <c r="C134" s="278" t="n"/>
      <c r="D134" s="269" t="n"/>
      <c r="E134" s="269" t="n"/>
      <c r="F134" s="269" t="n"/>
      <c r="G134" s="269" t="n"/>
      <c r="H134" s="269" t="n"/>
      <c r="I134" s="269" t="n"/>
      <c r="J134" s="269" t="n"/>
      <c r="K134" s="269" t="n"/>
      <c r="L134" s="269" t="n"/>
      <c r="M134" s="269" t="n"/>
      <c r="N134" s="269" t="n"/>
      <c r="O134" s="269" t="n"/>
      <c r="P134" s="269" t="n"/>
      <c r="Q134" s="269" t="n"/>
      <c r="R134" s="269" t="n"/>
      <c r="S134" s="269" t="n"/>
      <c r="T134" s="269" t="n"/>
      <c r="U134" s="269" t="n"/>
      <c r="V134" s="269" t="n"/>
      <c r="W134" s="270" t="n"/>
    </row>
    <row r="135" customFormat="1" s="163">
      <c r="A135" s="282" t="n"/>
      <c r="B135" s="277" t="n"/>
      <c r="C135" s="278" t="n"/>
      <c r="D135" s="269" t="n"/>
      <c r="E135" s="269" t="n"/>
      <c r="F135" s="269" t="n"/>
      <c r="G135" s="269" t="n"/>
      <c r="H135" s="269" t="n"/>
      <c r="I135" s="269" t="n"/>
      <c r="J135" s="269" t="n"/>
      <c r="K135" s="269" t="n"/>
      <c r="L135" s="269" t="n"/>
      <c r="M135" s="269" t="n"/>
      <c r="N135" s="269" t="n"/>
      <c r="O135" s="269" t="n"/>
      <c r="P135" s="269" t="n"/>
      <c r="Q135" s="269" t="n"/>
      <c r="R135" s="269" t="n"/>
      <c r="S135" s="269" t="n"/>
      <c r="T135" s="269" t="n"/>
      <c r="U135" s="269" t="n"/>
      <c r="V135" s="269" t="n"/>
      <c r="W135" s="270" t="n"/>
    </row>
    <row r="136" customFormat="1" s="163">
      <c r="A136" s="282" t="n"/>
      <c r="B136" s="277" t="n"/>
      <c r="C136" s="278" t="n"/>
      <c r="D136" s="269" t="n"/>
      <c r="E136" s="269" t="n"/>
      <c r="F136" s="269" t="n"/>
      <c r="G136" s="269" t="n"/>
      <c r="H136" s="269" t="n"/>
      <c r="I136" s="269" t="n"/>
      <c r="J136" s="269" t="n"/>
      <c r="K136" s="269" t="n"/>
      <c r="L136" s="269" t="n"/>
      <c r="M136" s="269" t="n"/>
      <c r="N136" s="269" t="n"/>
      <c r="O136" s="269" t="n"/>
      <c r="P136" s="269" t="n"/>
      <c r="Q136" s="269" t="n"/>
      <c r="R136" s="269" t="n"/>
      <c r="S136" s="269" t="n"/>
      <c r="T136" s="269" t="n"/>
      <c r="U136" s="269" t="n"/>
      <c r="V136" s="269" t="n"/>
      <c r="W136" s="270" t="n"/>
    </row>
    <row r="137" customFormat="1" s="163">
      <c r="A137" s="282" t="n"/>
      <c r="B137" s="277" t="n"/>
      <c r="C137" s="278" t="n"/>
      <c r="D137" s="269" t="n"/>
      <c r="E137" s="269" t="n"/>
      <c r="F137" s="269" t="n"/>
      <c r="G137" s="269" t="n"/>
      <c r="H137" s="269" t="n"/>
      <c r="I137" s="269" t="n"/>
      <c r="J137" s="269" t="n"/>
      <c r="K137" s="269" t="n"/>
      <c r="L137" s="269" t="n"/>
      <c r="M137" s="269" t="n"/>
      <c r="N137" s="269" t="n"/>
      <c r="O137" s="269" t="n"/>
      <c r="P137" s="269" t="n"/>
      <c r="Q137" s="269" t="n"/>
      <c r="R137" s="269" t="n"/>
      <c r="S137" s="269" t="n"/>
      <c r="T137" s="269" t="n"/>
      <c r="U137" s="269" t="n"/>
      <c r="V137" s="269" t="n"/>
      <c r="W137" s="270" t="n"/>
    </row>
    <row r="138" customFormat="1" s="163">
      <c r="A138" s="282" t="n"/>
      <c r="B138" s="277" t="n"/>
      <c r="C138" s="278" t="n"/>
      <c r="D138" s="269" t="n"/>
      <c r="E138" s="269" t="n"/>
      <c r="F138" s="269" t="n"/>
      <c r="G138" s="269" t="n"/>
      <c r="H138" s="269" t="n"/>
      <c r="I138" s="269" t="n"/>
      <c r="J138" s="269" t="n"/>
      <c r="K138" s="269" t="n"/>
      <c r="L138" s="269" t="n"/>
      <c r="M138" s="269" t="n"/>
      <c r="N138" s="269" t="n"/>
      <c r="O138" s="269" t="n"/>
      <c r="P138" s="269" t="n"/>
      <c r="Q138" s="269" t="n"/>
      <c r="R138" s="269" t="n"/>
      <c r="S138" s="269" t="n"/>
      <c r="T138" s="269" t="n"/>
      <c r="U138" s="269" t="n"/>
      <c r="V138" s="269" t="n"/>
      <c r="W138" s="270" t="n"/>
    </row>
    <row r="139" customFormat="1" s="163">
      <c r="A139" s="282" t="n"/>
      <c r="B139" s="277" t="n"/>
      <c r="C139" s="278" t="n"/>
      <c r="D139" s="269" t="n"/>
      <c r="E139" s="269" t="n"/>
      <c r="F139" s="269" t="n"/>
      <c r="G139" s="269" t="n"/>
      <c r="H139" s="269" t="n"/>
      <c r="I139" s="269" t="n"/>
      <c r="J139" s="269" t="n"/>
      <c r="K139" s="269" t="n"/>
      <c r="L139" s="269" t="n"/>
      <c r="M139" s="269" t="n"/>
      <c r="N139" s="269" t="n"/>
      <c r="O139" s="269" t="n"/>
      <c r="P139" s="269" t="n"/>
      <c r="Q139" s="269" t="n"/>
      <c r="R139" s="269" t="n"/>
      <c r="S139" s="269" t="n"/>
      <c r="T139" s="269" t="n"/>
      <c r="U139" s="269" t="n"/>
      <c r="V139" s="269" t="n"/>
      <c r="W139" s="270" t="n"/>
    </row>
    <row r="140" customFormat="1" s="163">
      <c r="A140" s="282" t="n"/>
      <c r="B140" s="277" t="n"/>
      <c r="C140" s="278" t="n"/>
      <c r="D140" s="269" t="n"/>
      <c r="E140" s="269" t="n"/>
      <c r="F140" s="269" t="n"/>
      <c r="G140" s="269" t="n"/>
      <c r="H140" s="269" t="n"/>
      <c r="I140" s="269" t="n"/>
      <c r="J140" s="269" t="n"/>
      <c r="K140" s="269" t="n"/>
      <c r="L140" s="269" t="n"/>
      <c r="M140" s="269" t="n"/>
      <c r="N140" s="269" t="n"/>
      <c r="O140" s="269" t="n"/>
      <c r="P140" s="269" t="n"/>
      <c r="Q140" s="269" t="n"/>
      <c r="R140" s="269" t="n"/>
      <c r="S140" s="269" t="n"/>
      <c r="T140" s="269" t="n"/>
      <c r="U140" s="269" t="n"/>
      <c r="V140" s="269" t="n"/>
      <c r="W140" s="270" t="n"/>
    </row>
    <row r="141" customFormat="1" s="163">
      <c r="A141" s="282" t="n"/>
      <c r="B141" s="277" t="n"/>
      <c r="C141" s="278" t="n"/>
      <c r="D141" s="269" t="n"/>
      <c r="E141" s="269" t="n"/>
      <c r="F141" s="269" t="n"/>
      <c r="G141" s="269" t="n"/>
      <c r="H141" s="269" t="n"/>
      <c r="I141" s="269" t="n"/>
      <c r="J141" s="269" t="n"/>
      <c r="K141" s="269" t="n"/>
      <c r="L141" s="269" t="n"/>
      <c r="M141" s="269" t="n"/>
      <c r="N141" s="269" t="n"/>
      <c r="O141" s="269" t="n"/>
      <c r="P141" s="269" t="n"/>
      <c r="Q141" s="269" t="n"/>
      <c r="R141" s="269" t="n"/>
      <c r="S141" s="269" t="n"/>
      <c r="T141" s="269" t="n"/>
      <c r="U141" s="269" t="n"/>
      <c r="V141" s="269" t="n"/>
      <c r="W141" s="270" t="n"/>
    </row>
    <row r="142" customFormat="1" s="163">
      <c r="A142" s="282" t="n"/>
      <c r="B142" s="277" t="n"/>
      <c r="C142" s="278" t="n"/>
      <c r="D142" s="269" t="n"/>
      <c r="E142" s="269" t="n"/>
      <c r="F142" s="269" t="n"/>
      <c r="G142" s="269" t="n"/>
      <c r="H142" s="269" t="n"/>
      <c r="I142" s="269" t="n"/>
      <c r="J142" s="269" t="n"/>
      <c r="K142" s="269" t="n"/>
      <c r="L142" s="269" t="n"/>
      <c r="M142" s="269" t="n"/>
      <c r="N142" s="269" t="n"/>
      <c r="O142" s="269" t="n"/>
      <c r="P142" s="269" t="n"/>
      <c r="Q142" s="269" t="n"/>
      <c r="R142" s="269" t="n"/>
      <c r="S142" s="269" t="n"/>
      <c r="T142" s="269" t="n"/>
      <c r="U142" s="269" t="n"/>
      <c r="V142" s="269" t="n"/>
      <c r="W142" s="270" t="n"/>
    </row>
    <row r="143" customFormat="1" s="163">
      <c r="A143" s="282" t="n"/>
      <c r="B143" s="277" t="n"/>
      <c r="C143" s="278" t="n"/>
      <c r="D143" s="269" t="n"/>
      <c r="E143" s="269" t="n"/>
      <c r="F143" s="269" t="n"/>
      <c r="G143" s="269" t="n"/>
      <c r="H143" s="269" t="n"/>
      <c r="I143" s="269" t="n"/>
      <c r="J143" s="269" t="n"/>
      <c r="K143" s="269" t="n"/>
      <c r="L143" s="269" t="n"/>
      <c r="M143" s="269" t="n"/>
      <c r="N143" s="269" t="n"/>
      <c r="O143" s="269" t="n"/>
      <c r="P143" s="269" t="n"/>
      <c r="Q143" s="269" t="n"/>
      <c r="R143" s="269" t="n"/>
      <c r="S143" s="269" t="n"/>
      <c r="T143" s="269" t="n"/>
      <c r="U143" s="269" t="n"/>
      <c r="V143" s="269" t="n"/>
      <c r="W143" s="270" t="n"/>
    </row>
    <row r="144" customFormat="1" s="163">
      <c r="A144" s="282" t="n"/>
      <c r="B144" s="277" t="n"/>
      <c r="C144" s="278" t="n"/>
      <c r="D144" s="269" t="n"/>
      <c r="E144" s="269" t="n"/>
      <c r="F144" s="269" t="n"/>
      <c r="G144" s="269" t="n"/>
      <c r="H144" s="269" t="n"/>
      <c r="I144" s="269" t="n"/>
      <c r="J144" s="269" t="n"/>
      <c r="K144" s="269" t="n"/>
      <c r="L144" s="269" t="n"/>
      <c r="M144" s="269" t="n"/>
      <c r="N144" s="269" t="n"/>
      <c r="O144" s="269" t="n"/>
      <c r="P144" s="269" t="n"/>
      <c r="Q144" s="269" t="n"/>
      <c r="R144" s="269" t="n"/>
      <c r="S144" s="269" t="n"/>
      <c r="T144" s="269" t="n"/>
      <c r="U144" s="269" t="n"/>
      <c r="V144" s="269" t="n"/>
      <c r="W144" s="270" t="n"/>
    </row>
    <row r="145" customFormat="1" s="163">
      <c r="A145" s="282" t="n"/>
      <c r="B145" s="277" t="n"/>
      <c r="C145" s="278" t="n"/>
      <c r="D145" s="269" t="n"/>
      <c r="E145" s="269" t="n"/>
      <c r="F145" s="269" t="n"/>
      <c r="G145" s="269" t="n"/>
      <c r="H145" s="269" t="n"/>
      <c r="I145" s="269" t="n"/>
      <c r="J145" s="269" t="n"/>
      <c r="K145" s="269" t="n"/>
      <c r="L145" s="269" t="n"/>
      <c r="M145" s="269" t="n"/>
      <c r="N145" s="269" t="n"/>
      <c r="O145" s="269" t="n"/>
      <c r="P145" s="269" t="n"/>
      <c r="Q145" s="269" t="n"/>
      <c r="R145" s="269" t="n"/>
      <c r="S145" s="269" t="n"/>
      <c r="T145" s="269" t="n"/>
      <c r="U145" s="269" t="n"/>
      <c r="V145" s="269" t="n"/>
      <c r="W145" s="270" t="n"/>
    </row>
    <row r="146" customFormat="1" s="163">
      <c r="A146" s="282" t="n"/>
      <c r="B146" s="277" t="n"/>
      <c r="C146" s="278" t="n"/>
      <c r="D146" s="269" t="n"/>
      <c r="E146" s="269" t="n"/>
      <c r="F146" s="269" t="n"/>
      <c r="G146" s="269" t="n"/>
      <c r="H146" s="269" t="n"/>
      <c r="I146" s="269" t="n"/>
      <c r="J146" s="269" t="n"/>
      <c r="K146" s="269" t="n"/>
      <c r="L146" s="269" t="n"/>
      <c r="M146" s="269" t="n"/>
      <c r="N146" s="269" t="n"/>
      <c r="O146" s="269" t="n"/>
      <c r="P146" s="269" t="n"/>
      <c r="Q146" s="269" t="n"/>
      <c r="R146" s="269" t="n"/>
      <c r="S146" s="269" t="n"/>
      <c r="T146" s="269" t="n"/>
      <c r="U146" s="269" t="n"/>
      <c r="V146" s="269" t="n"/>
      <c r="W146" s="270" t="n"/>
    </row>
    <row r="147" customFormat="1" s="163">
      <c r="A147" s="282" t="n"/>
      <c r="B147" s="277" t="n"/>
      <c r="C147" s="278" t="n"/>
      <c r="D147" s="269" t="n"/>
      <c r="E147" s="269" t="n"/>
      <c r="F147" s="269" t="n"/>
      <c r="G147" s="269" t="n"/>
      <c r="H147" s="269" t="n"/>
      <c r="I147" s="269" t="n"/>
      <c r="J147" s="269" t="n"/>
      <c r="K147" s="269" t="n"/>
      <c r="L147" s="269" t="n"/>
      <c r="M147" s="269" t="n"/>
      <c r="N147" s="269" t="n"/>
      <c r="O147" s="269" t="n"/>
      <c r="P147" s="269" t="n"/>
      <c r="Q147" s="269" t="n"/>
      <c r="R147" s="269" t="n"/>
      <c r="S147" s="269" t="n"/>
      <c r="T147" s="269" t="n"/>
      <c r="U147" s="269" t="n"/>
      <c r="V147" s="269" t="n"/>
      <c r="W147" s="270" t="n"/>
    </row>
    <row r="148" customFormat="1" s="163">
      <c r="A148" s="282" t="n"/>
      <c r="B148" s="277" t="n"/>
      <c r="C148" s="278" t="n"/>
      <c r="D148" s="269" t="n"/>
      <c r="E148" s="269" t="n"/>
      <c r="F148" s="269" t="n"/>
      <c r="G148" s="269" t="n"/>
      <c r="H148" s="269" t="n"/>
      <c r="I148" s="269" t="n"/>
      <c r="J148" s="269" t="n"/>
      <c r="K148" s="269" t="n"/>
      <c r="L148" s="269" t="n"/>
      <c r="M148" s="269" t="n"/>
      <c r="N148" s="269" t="n"/>
      <c r="O148" s="269" t="n"/>
      <c r="P148" s="269" t="n"/>
      <c r="Q148" s="269" t="n"/>
      <c r="R148" s="269" t="n"/>
      <c r="S148" s="269" t="n"/>
      <c r="T148" s="269" t="n"/>
      <c r="U148" s="269" t="n"/>
      <c r="V148" s="269" t="n"/>
      <c r="W148" s="270" t="n"/>
    </row>
    <row r="149" customFormat="1" s="163">
      <c r="A149" s="282" t="n"/>
      <c r="B149" s="277" t="n"/>
      <c r="C149" s="278" t="n"/>
      <c r="D149" s="269" t="n"/>
      <c r="E149" s="269" t="n"/>
      <c r="F149" s="269" t="n"/>
      <c r="G149" s="269" t="n"/>
      <c r="H149" s="269" t="n"/>
      <c r="I149" s="269" t="n"/>
      <c r="J149" s="269" t="n"/>
      <c r="K149" s="269" t="n"/>
      <c r="L149" s="269" t="n"/>
      <c r="M149" s="269" t="n"/>
      <c r="N149" s="269" t="n"/>
      <c r="O149" s="269" t="n"/>
      <c r="P149" s="269" t="n"/>
      <c r="Q149" s="269" t="n"/>
      <c r="R149" s="269" t="n"/>
      <c r="S149" s="269" t="n"/>
      <c r="T149" s="269" t="n"/>
      <c r="U149" s="269" t="n"/>
      <c r="V149" s="269" t="n"/>
      <c r="W149" s="270" t="n"/>
    </row>
    <row r="150" customFormat="1" s="163">
      <c r="A150" s="282" t="n"/>
      <c r="B150" s="277" t="n"/>
      <c r="C150" s="278" t="n"/>
      <c r="D150" s="269" t="n"/>
      <c r="E150" s="269" t="n"/>
      <c r="F150" s="269" t="n"/>
      <c r="G150" s="269" t="n"/>
      <c r="H150" s="269" t="n"/>
      <c r="I150" s="269" t="n"/>
      <c r="J150" s="269" t="n"/>
      <c r="K150" s="269" t="n"/>
      <c r="L150" s="269" t="n"/>
      <c r="M150" s="269" t="n"/>
      <c r="N150" s="269" t="n"/>
      <c r="O150" s="269" t="n"/>
      <c r="P150" s="269" t="n"/>
      <c r="Q150" s="269" t="n"/>
      <c r="R150" s="269" t="n"/>
      <c r="S150" s="269" t="n"/>
      <c r="T150" s="269" t="n"/>
      <c r="U150" s="269" t="n"/>
      <c r="V150" s="269" t="n"/>
      <c r="W150" s="270" t="n"/>
    </row>
    <row r="151" customFormat="1" s="163">
      <c r="A151" s="282" t="n"/>
      <c r="B151" s="277" t="n"/>
      <c r="C151" s="278" t="n"/>
      <c r="D151" s="269" t="n"/>
      <c r="E151" s="269" t="n"/>
      <c r="F151" s="269" t="n"/>
      <c r="G151" s="269" t="n"/>
      <c r="H151" s="269" t="n"/>
      <c r="I151" s="269" t="n"/>
      <c r="J151" s="269" t="n"/>
      <c r="K151" s="269" t="n"/>
      <c r="L151" s="269" t="n"/>
      <c r="M151" s="269" t="n"/>
      <c r="N151" s="269" t="n"/>
      <c r="O151" s="269" t="n"/>
      <c r="P151" s="269" t="n"/>
      <c r="Q151" s="269" t="n"/>
      <c r="R151" s="269" t="n"/>
      <c r="S151" s="269" t="n"/>
      <c r="T151" s="269" t="n"/>
      <c r="U151" s="269" t="n"/>
      <c r="V151" s="269" t="n"/>
      <c r="W151" s="270" t="n"/>
    </row>
    <row r="152" customFormat="1" s="163">
      <c r="A152" s="282" t="n"/>
      <c r="B152" s="277" t="n"/>
      <c r="C152" s="278" t="n"/>
      <c r="D152" s="269" t="n"/>
      <c r="E152" s="269" t="n"/>
      <c r="F152" s="269" t="n"/>
      <c r="G152" s="269" t="n"/>
      <c r="H152" s="269" t="n"/>
      <c r="I152" s="269" t="n"/>
      <c r="J152" s="269" t="n"/>
      <c r="K152" s="269" t="n"/>
      <c r="L152" s="269" t="n"/>
      <c r="M152" s="269" t="n"/>
      <c r="N152" s="269" t="n"/>
      <c r="O152" s="269" t="n"/>
      <c r="P152" s="269" t="n"/>
      <c r="Q152" s="269" t="n"/>
      <c r="R152" s="269" t="n"/>
      <c r="S152" s="269" t="n"/>
      <c r="T152" s="269" t="n"/>
      <c r="U152" s="269" t="n"/>
      <c r="V152" s="269" t="n"/>
      <c r="W152" s="270" t="n"/>
    </row>
    <row r="153" customFormat="1" s="163">
      <c r="A153" s="282" t="n"/>
      <c r="B153" s="277" t="n"/>
      <c r="C153" s="278" t="n"/>
      <c r="D153" s="269" t="n"/>
      <c r="E153" s="269" t="n"/>
      <c r="F153" s="269" t="n"/>
      <c r="G153" s="269" t="n"/>
      <c r="H153" s="269" t="n"/>
      <c r="I153" s="269" t="n"/>
      <c r="J153" s="269" t="n"/>
      <c r="K153" s="269" t="n"/>
      <c r="L153" s="269" t="n"/>
      <c r="M153" s="269" t="n"/>
      <c r="N153" s="269" t="n"/>
      <c r="O153" s="269" t="n"/>
      <c r="P153" s="269" t="n"/>
      <c r="Q153" s="269" t="n"/>
      <c r="R153" s="269" t="n"/>
      <c r="S153" s="269" t="n"/>
      <c r="T153" s="269" t="n"/>
      <c r="U153" s="269" t="n"/>
      <c r="V153" s="269" t="n"/>
      <c r="W153" s="270" t="n"/>
    </row>
    <row r="154" customFormat="1" s="163">
      <c r="A154" s="282" t="n"/>
      <c r="B154" s="277" t="n"/>
      <c r="C154" s="278" t="n"/>
      <c r="D154" s="269" t="n"/>
      <c r="E154" s="269" t="n"/>
      <c r="F154" s="269" t="n"/>
      <c r="G154" s="269" t="n"/>
      <c r="H154" s="269" t="n"/>
      <c r="I154" s="269" t="n"/>
      <c r="J154" s="269" t="n"/>
      <c r="K154" s="269" t="n"/>
      <c r="L154" s="269" t="n"/>
      <c r="M154" s="269" t="n"/>
      <c r="N154" s="269" t="n"/>
      <c r="O154" s="269" t="n"/>
      <c r="P154" s="269" t="n"/>
      <c r="Q154" s="269" t="n"/>
      <c r="R154" s="269" t="n"/>
      <c r="S154" s="269" t="n"/>
      <c r="T154" s="269" t="n"/>
      <c r="U154" s="269" t="n"/>
      <c r="V154" s="269" t="n"/>
      <c r="W154" s="270" t="n"/>
    </row>
    <row r="155" customFormat="1" s="163">
      <c r="A155" s="282" t="n"/>
      <c r="B155" s="277" t="n"/>
      <c r="C155" s="278" t="n"/>
      <c r="D155" s="269" t="n"/>
      <c r="E155" s="269" t="n"/>
      <c r="F155" s="269" t="n"/>
      <c r="G155" s="269" t="n"/>
      <c r="H155" s="269" t="n"/>
      <c r="I155" s="269" t="n"/>
      <c r="J155" s="269" t="n"/>
      <c r="K155" s="269" t="n"/>
      <c r="L155" s="269" t="n"/>
      <c r="M155" s="269" t="n"/>
      <c r="N155" s="269" t="n"/>
      <c r="O155" s="269" t="n"/>
      <c r="P155" s="269" t="n"/>
      <c r="Q155" s="269" t="n"/>
      <c r="R155" s="269" t="n"/>
      <c r="S155" s="269" t="n"/>
      <c r="T155" s="269" t="n"/>
      <c r="U155" s="269" t="n"/>
      <c r="V155" s="269" t="n"/>
      <c r="W155" s="270" t="n"/>
    </row>
    <row r="156" customFormat="1" s="163">
      <c r="A156" s="282" t="n"/>
      <c r="B156" s="277" t="n"/>
      <c r="C156" s="278" t="n"/>
      <c r="D156" s="269" t="n"/>
      <c r="E156" s="269" t="n"/>
      <c r="F156" s="269" t="n"/>
      <c r="G156" s="269" t="n"/>
      <c r="H156" s="269" t="n"/>
      <c r="I156" s="269" t="n"/>
      <c r="J156" s="269" t="n"/>
      <c r="K156" s="269" t="n"/>
      <c r="L156" s="269" t="n"/>
      <c r="M156" s="269" t="n"/>
      <c r="N156" s="269" t="n"/>
      <c r="O156" s="269" t="n"/>
      <c r="P156" s="269" t="n"/>
      <c r="Q156" s="269" t="n"/>
      <c r="R156" s="269" t="n"/>
      <c r="S156" s="269" t="n"/>
      <c r="T156" s="269" t="n"/>
      <c r="U156" s="269" t="n"/>
      <c r="V156" s="269" t="n"/>
      <c r="W156" s="270" t="n"/>
    </row>
    <row r="157" customFormat="1" s="163">
      <c r="A157" s="282" t="n"/>
      <c r="B157" s="277" t="n"/>
      <c r="C157" s="278" t="n"/>
      <c r="D157" s="269" t="n"/>
      <c r="E157" s="269" t="n"/>
      <c r="F157" s="269" t="n"/>
      <c r="G157" s="269" t="n"/>
      <c r="H157" s="269" t="n"/>
      <c r="I157" s="269" t="n"/>
      <c r="J157" s="269" t="n"/>
      <c r="K157" s="269" t="n"/>
      <c r="L157" s="269" t="n"/>
      <c r="M157" s="269" t="n"/>
      <c r="N157" s="269" t="n"/>
      <c r="O157" s="269" t="n"/>
      <c r="P157" s="269" t="n"/>
      <c r="Q157" s="269" t="n"/>
      <c r="R157" s="269" t="n"/>
      <c r="S157" s="269" t="n"/>
      <c r="T157" s="269" t="n"/>
      <c r="U157" s="269" t="n"/>
      <c r="V157" s="269" t="n"/>
      <c r="W157" s="270" t="n"/>
    </row>
    <row r="158" customFormat="1" s="163">
      <c r="A158" s="282" t="n"/>
      <c r="B158" s="277" t="n"/>
      <c r="C158" s="278" t="n"/>
      <c r="D158" s="269" t="n"/>
      <c r="E158" s="269" t="n"/>
      <c r="F158" s="269" t="n"/>
      <c r="G158" s="269" t="n"/>
      <c r="H158" s="269" t="n"/>
      <c r="I158" s="269" t="n"/>
      <c r="J158" s="269" t="n"/>
      <c r="K158" s="269" t="n"/>
      <c r="L158" s="269" t="n"/>
      <c r="M158" s="269" t="n"/>
      <c r="N158" s="269" t="n"/>
      <c r="O158" s="269" t="n"/>
      <c r="P158" s="269" t="n"/>
      <c r="Q158" s="269" t="n"/>
      <c r="R158" s="269" t="n"/>
      <c r="S158" s="269" t="n"/>
      <c r="T158" s="269" t="n"/>
      <c r="U158" s="269" t="n"/>
      <c r="V158" s="269" t="n"/>
      <c r="W158" s="270" t="n"/>
    </row>
    <row r="159" customFormat="1" s="163">
      <c r="A159" s="282" t="n"/>
      <c r="B159" s="277" t="n"/>
      <c r="C159" s="278" t="n"/>
      <c r="D159" s="269" t="n"/>
      <c r="E159" s="269" t="n"/>
      <c r="F159" s="269" t="n"/>
      <c r="G159" s="269" t="n"/>
      <c r="H159" s="269" t="n"/>
      <c r="I159" s="269" t="n"/>
      <c r="J159" s="269" t="n"/>
      <c r="K159" s="269" t="n"/>
      <c r="L159" s="269" t="n"/>
      <c r="M159" s="269" t="n"/>
      <c r="N159" s="269" t="n"/>
      <c r="O159" s="269" t="n"/>
      <c r="P159" s="269" t="n"/>
      <c r="Q159" s="269" t="n"/>
      <c r="R159" s="269" t="n"/>
      <c r="S159" s="269" t="n"/>
      <c r="T159" s="269" t="n"/>
      <c r="U159" s="269" t="n"/>
      <c r="V159" s="269" t="n"/>
      <c r="W159" s="270" t="n"/>
    </row>
    <row r="160" customFormat="1" s="163">
      <c r="A160" s="282" t="n"/>
      <c r="B160" s="277" t="n"/>
      <c r="C160" s="278" t="n"/>
      <c r="D160" s="269" t="n"/>
      <c r="E160" s="269" t="n"/>
      <c r="F160" s="269" t="n"/>
      <c r="G160" s="269" t="n"/>
      <c r="H160" s="269" t="n"/>
      <c r="I160" s="269" t="n"/>
      <c r="J160" s="269" t="n"/>
      <c r="K160" s="269" t="n"/>
      <c r="L160" s="269" t="n"/>
      <c r="M160" s="269" t="n"/>
      <c r="N160" s="269" t="n"/>
      <c r="O160" s="269" t="n"/>
      <c r="P160" s="269" t="n"/>
      <c r="Q160" s="269" t="n"/>
      <c r="R160" s="269" t="n"/>
      <c r="S160" s="269" t="n"/>
      <c r="T160" s="269" t="n"/>
      <c r="U160" s="269" t="n"/>
      <c r="V160" s="269" t="n"/>
      <c r="W160" s="270" t="n"/>
    </row>
    <row r="161" customFormat="1" s="163">
      <c r="A161" s="282" t="n"/>
      <c r="B161" s="277" t="n"/>
      <c r="C161" s="278" t="n"/>
      <c r="D161" s="269" t="n"/>
      <c r="E161" s="269" t="n"/>
      <c r="F161" s="269" t="n"/>
      <c r="G161" s="269" t="n"/>
      <c r="H161" s="269" t="n"/>
      <c r="I161" s="269" t="n"/>
      <c r="J161" s="269" t="n"/>
      <c r="K161" s="269" t="n"/>
      <c r="L161" s="269" t="n"/>
      <c r="M161" s="269" t="n"/>
      <c r="N161" s="269" t="n"/>
      <c r="O161" s="269" t="n"/>
      <c r="P161" s="269" t="n"/>
      <c r="Q161" s="269" t="n"/>
      <c r="R161" s="269" t="n"/>
      <c r="S161" s="269" t="n"/>
      <c r="T161" s="269" t="n"/>
      <c r="U161" s="269" t="n"/>
      <c r="V161" s="269" t="n"/>
      <c r="W161" s="270" t="n"/>
    </row>
    <row r="162" customFormat="1" s="163">
      <c r="A162" s="282" t="n"/>
      <c r="B162" s="277" t="n"/>
      <c r="C162" s="278" t="n"/>
      <c r="D162" s="269" t="n"/>
      <c r="E162" s="269" t="n"/>
      <c r="F162" s="269" t="n"/>
      <c r="G162" s="269" t="n"/>
      <c r="H162" s="269" t="n"/>
      <c r="I162" s="269" t="n"/>
      <c r="J162" s="269" t="n"/>
      <c r="K162" s="269" t="n"/>
      <c r="L162" s="269" t="n"/>
      <c r="M162" s="269" t="n"/>
      <c r="N162" s="269" t="n"/>
      <c r="O162" s="269" t="n"/>
      <c r="P162" s="269" t="n"/>
      <c r="Q162" s="269" t="n"/>
      <c r="R162" s="269" t="n"/>
      <c r="S162" s="269" t="n"/>
      <c r="T162" s="269" t="n"/>
      <c r="U162" s="269" t="n"/>
      <c r="V162" s="269" t="n"/>
      <c r="W162" s="270" t="n"/>
    </row>
    <row r="163" customFormat="1" s="163">
      <c r="A163" s="282" t="n"/>
      <c r="B163" s="277" t="n"/>
      <c r="C163" s="278" t="n"/>
      <c r="D163" s="269" t="n"/>
      <c r="E163" s="269" t="n"/>
      <c r="F163" s="269" t="n"/>
      <c r="G163" s="269" t="n"/>
      <c r="H163" s="269" t="n"/>
      <c r="I163" s="269" t="n"/>
      <c r="J163" s="269" t="n"/>
      <c r="K163" s="269" t="n"/>
      <c r="L163" s="269" t="n"/>
      <c r="M163" s="269" t="n"/>
      <c r="N163" s="269" t="n"/>
      <c r="O163" s="269" t="n"/>
      <c r="P163" s="269" t="n"/>
      <c r="Q163" s="269" t="n"/>
      <c r="R163" s="269" t="n"/>
      <c r="S163" s="269" t="n"/>
      <c r="T163" s="269" t="n"/>
      <c r="U163" s="269" t="n"/>
      <c r="V163" s="269" t="n"/>
      <c r="W163" s="270" t="n"/>
    </row>
    <row r="164" customFormat="1" s="163">
      <c r="A164" s="282" t="n"/>
      <c r="B164" s="277" t="n"/>
      <c r="C164" s="278" t="n"/>
      <c r="D164" s="269" t="n"/>
      <c r="E164" s="269" t="n"/>
      <c r="F164" s="269" t="n"/>
      <c r="G164" s="269" t="n"/>
      <c r="H164" s="269" t="n"/>
      <c r="I164" s="269" t="n"/>
      <c r="J164" s="269" t="n"/>
      <c r="K164" s="269" t="n"/>
      <c r="L164" s="269" t="n"/>
      <c r="M164" s="269" t="n"/>
      <c r="N164" s="269" t="n"/>
      <c r="O164" s="269" t="n"/>
      <c r="P164" s="269" t="n"/>
      <c r="Q164" s="269" t="n"/>
      <c r="R164" s="269" t="n"/>
      <c r="S164" s="269" t="n"/>
      <c r="T164" s="269" t="n"/>
      <c r="U164" s="269" t="n"/>
      <c r="V164" s="269" t="n"/>
      <c r="W164" s="270" t="n"/>
    </row>
    <row r="165" customFormat="1" s="163">
      <c r="A165" s="282" t="n"/>
      <c r="B165" s="277" t="n"/>
      <c r="C165" s="278" t="n"/>
      <c r="D165" s="269" t="n"/>
      <c r="E165" s="269" t="n"/>
      <c r="F165" s="269" t="n"/>
      <c r="G165" s="269" t="n"/>
      <c r="H165" s="269" t="n"/>
      <c r="I165" s="269" t="n"/>
      <c r="J165" s="269" t="n"/>
      <c r="K165" s="269" t="n"/>
      <c r="L165" s="269" t="n"/>
      <c r="M165" s="269" t="n"/>
      <c r="N165" s="269" t="n"/>
      <c r="O165" s="269" t="n"/>
      <c r="P165" s="269" t="n"/>
      <c r="Q165" s="269" t="n"/>
      <c r="R165" s="269" t="n"/>
      <c r="S165" s="269" t="n"/>
      <c r="T165" s="269" t="n"/>
      <c r="U165" s="269" t="n"/>
      <c r="V165" s="269" t="n"/>
      <c r="W165" s="270" t="n"/>
    </row>
    <row r="166" customFormat="1" s="163">
      <c r="A166" s="282" t="n"/>
      <c r="B166" s="277" t="n"/>
      <c r="C166" s="278" t="n"/>
      <c r="D166" s="269" t="n"/>
      <c r="E166" s="269" t="n"/>
      <c r="F166" s="269" t="n"/>
      <c r="G166" s="269" t="n"/>
      <c r="H166" s="269" t="n"/>
      <c r="I166" s="269" t="n"/>
      <c r="J166" s="269" t="n"/>
      <c r="K166" s="269" t="n"/>
      <c r="L166" s="269" t="n"/>
      <c r="M166" s="269" t="n"/>
      <c r="N166" s="269" t="n"/>
      <c r="O166" s="269" t="n"/>
      <c r="P166" s="269" t="n"/>
      <c r="Q166" s="269" t="n"/>
      <c r="R166" s="269" t="n"/>
      <c r="S166" s="269" t="n"/>
      <c r="T166" s="269" t="n"/>
      <c r="U166" s="269" t="n"/>
      <c r="V166" s="269" t="n"/>
      <c r="W166" s="270" t="n"/>
    </row>
    <row r="167" customFormat="1" s="163">
      <c r="A167" s="282" t="n"/>
      <c r="B167" s="277" t="n"/>
      <c r="C167" s="278" t="n"/>
      <c r="D167" s="269" t="n"/>
      <c r="E167" s="269" t="n"/>
      <c r="F167" s="269" t="n"/>
      <c r="G167" s="269" t="n"/>
      <c r="H167" s="269" t="n"/>
      <c r="I167" s="269" t="n"/>
      <c r="J167" s="269" t="n"/>
      <c r="K167" s="269" t="n"/>
      <c r="L167" s="269" t="n"/>
      <c r="M167" s="269" t="n"/>
      <c r="N167" s="269" t="n"/>
      <c r="O167" s="269" t="n"/>
      <c r="P167" s="269" t="n"/>
      <c r="Q167" s="269" t="n"/>
      <c r="R167" s="269" t="n"/>
      <c r="S167" s="269" t="n"/>
      <c r="T167" s="269" t="n"/>
      <c r="U167" s="269" t="n"/>
      <c r="V167" s="269" t="n"/>
      <c r="W167" s="270" t="n"/>
    </row>
    <row r="168" customFormat="1" s="163">
      <c r="A168" s="282" t="n"/>
      <c r="B168" s="277" t="n"/>
      <c r="C168" s="278" t="n"/>
      <c r="D168" s="269" t="n"/>
      <c r="E168" s="269" t="n"/>
      <c r="F168" s="269" t="n"/>
      <c r="G168" s="269" t="n"/>
      <c r="H168" s="269" t="n"/>
      <c r="I168" s="269" t="n"/>
      <c r="J168" s="269" t="n"/>
      <c r="K168" s="269" t="n"/>
      <c r="L168" s="269" t="n"/>
      <c r="M168" s="269" t="n"/>
      <c r="N168" s="269" t="n"/>
      <c r="O168" s="269" t="n"/>
      <c r="P168" s="269" t="n"/>
      <c r="Q168" s="269" t="n"/>
      <c r="R168" s="269" t="n"/>
      <c r="S168" s="269" t="n"/>
      <c r="T168" s="269" t="n"/>
      <c r="U168" s="269" t="n"/>
      <c r="V168" s="269" t="n"/>
      <c r="W168" s="270" t="n"/>
    </row>
    <row r="169" customFormat="1" s="163">
      <c r="A169" s="282" t="n"/>
      <c r="B169" s="277" t="n"/>
      <c r="C169" s="278" t="n"/>
      <c r="D169" s="269" t="n"/>
      <c r="E169" s="269" t="n"/>
      <c r="F169" s="269" t="n"/>
      <c r="G169" s="269" t="n"/>
      <c r="H169" s="269" t="n"/>
      <c r="I169" s="269" t="n"/>
      <c r="J169" s="269" t="n"/>
      <c r="K169" s="269" t="n"/>
      <c r="L169" s="269" t="n"/>
      <c r="M169" s="269" t="n"/>
      <c r="N169" s="269" t="n"/>
      <c r="O169" s="269" t="n"/>
      <c r="P169" s="269" t="n"/>
      <c r="Q169" s="269" t="n"/>
      <c r="R169" s="269" t="n"/>
      <c r="S169" s="269" t="n"/>
      <c r="T169" s="269" t="n"/>
      <c r="U169" s="269" t="n"/>
      <c r="V169" s="269" t="n"/>
      <c r="W169" s="270" t="n"/>
    </row>
    <row r="170" customFormat="1" s="163">
      <c r="A170" s="282" t="n"/>
      <c r="B170" s="277" t="n"/>
      <c r="C170" s="278" t="n"/>
      <c r="D170" s="269" t="n"/>
      <c r="E170" s="269" t="n"/>
      <c r="F170" s="269" t="n"/>
      <c r="G170" s="269" t="n"/>
      <c r="H170" s="269" t="n"/>
      <c r="I170" s="269" t="n"/>
      <c r="J170" s="269" t="n"/>
      <c r="K170" s="269" t="n"/>
      <c r="L170" s="269" t="n"/>
      <c r="M170" s="269" t="n"/>
      <c r="N170" s="269" t="n"/>
      <c r="O170" s="269" t="n"/>
      <c r="P170" s="269" t="n"/>
      <c r="Q170" s="269" t="n"/>
      <c r="R170" s="269" t="n"/>
      <c r="S170" s="269" t="n"/>
      <c r="T170" s="269" t="n"/>
      <c r="U170" s="269" t="n"/>
      <c r="V170" s="269" t="n"/>
      <c r="W170" s="270" t="n"/>
    </row>
    <row r="171" customFormat="1" s="163">
      <c r="A171" s="282" t="n"/>
      <c r="B171" s="277" t="n"/>
      <c r="C171" s="278" t="n"/>
      <c r="D171" s="269" t="n"/>
      <c r="E171" s="269" t="n"/>
      <c r="F171" s="269" t="n"/>
      <c r="G171" s="269" t="n"/>
      <c r="H171" s="269" t="n"/>
      <c r="I171" s="269" t="n"/>
      <c r="J171" s="269" t="n"/>
      <c r="K171" s="269" t="n"/>
      <c r="L171" s="269" t="n"/>
      <c r="M171" s="269" t="n"/>
      <c r="N171" s="269" t="n"/>
      <c r="O171" s="269" t="n"/>
      <c r="P171" s="269" t="n"/>
      <c r="Q171" s="269" t="n"/>
      <c r="R171" s="269" t="n"/>
      <c r="S171" s="269" t="n"/>
      <c r="T171" s="269" t="n"/>
      <c r="U171" s="269" t="n"/>
      <c r="V171" s="269" t="n"/>
      <c r="W171" s="270" t="n"/>
    </row>
    <row r="172" customFormat="1" s="163">
      <c r="A172" s="282" t="n"/>
      <c r="B172" s="277" t="n"/>
      <c r="C172" s="278" t="n"/>
      <c r="D172" s="269" t="n"/>
      <c r="E172" s="269" t="n"/>
      <c r="F172" s="269" t="n"/>
      <c r="G172" s="269" t="n"/>
      <c r="H172" s="269" t="n"/>
      <c r="I172" s="269" t="n"/>
      <c r="J172" s="269" t="n"/>
      <c r="K172" s="269" t="n"/>
      <c r="L172" s="269" t="n"/>
      <c r="M172" s="269" t="n"/>
      <c r="N172" s="269" t="n"/>
      <c r="O172" s="269" t="n"/>
      <c r="P172" s="269" t="n"/>
      <c r="Q172" s="269" t="n"/>
      <c r="R172" s="269" t="n"/>
      <c r="S172" s="269" t="n"/>
      <c r="T172" s="269" t="n"/>
      <c r="U172" s="269" t="n"/>
      <c r="V172" s="269" t="n"/>
      <c r="W172" s="270" t="n"/>
    </row>
    <row r="173" customFormat="1" s="163">
      <c r="A173" s="282" t="n"/>
      <c r="B173" s="277" t="n"/>
      <c r="C173" s="278" t="n"/>
      <c r="D173" s="269" t="n"/>
      <c r="E173" s="269" t="n"/>
      <c r="F173" s="269" t="n"/>
      <c r="G173" s="269" t="n"/>
      <c r="H173" s="269" t="n"/>
      <c r="I173" s="269" t="n"/>
      <c r="J173" s="269" t="n"/>
      <c r="K173" s="269" t="n"/>
      <c r="L173" s="269" t="n"/>
      <c r="M173" s="269" t="n"/>
      <c r="N173" s="269" t="n"/>
      <c r="O173" s="269" t="n"/>
      <c r="P173" s="269" t="n"/>
      <c r="Q173" s="269" t="n"/>
      <c r="R173" s="269" t="n"/>
      <c r="S173" s="269" t="n"/>
      <c r="T173" s="269" t="n"/>
      <c r="U173" s="269" t="n"/>
      <c r="V173" s="269" t="n"/>
      <c r="W173" s="270" t="n"/>
    </row>
    <row r="174" customFormat="1" s="163">
      <c r="A174" s="282" t="n"/>
      <c r="B174" s="277" t="n"/>
      <c r="C174" s="278" t="n"/>
      <c r="D174" s="269" t="n"/>
      <c r="E174" s="269" t="n"/>
      <c r="F174" s="269" t="n"/>
      <c r="G174" s="269" t="n"/>
      <c r="H174" s="269" t="n"/>
      <c r="I174" s="269" t="n"/>
      <c r="J174" s="269" t="n"/>
      <c r="K174" s="269" t="n"/>
      <c r="L174" s="269" t="n"/>
      <c r="M174" s="269" t="n"/>
      <c r="N174" s="269" t="n"/>
      <c r="O174" s="269" t="n"/>
      <c r="P174" s="269" t="n"/>
      <c r="Q174" s="269" t="n"/>
      <c r="R174" s="269" t="n"/>
      <c r="S174" s="269" t="n"/>
      <c r="T174" s="269" t="n"/>
      <c r="U174" s="269" t="n"/>
      <c r="V174" s="269" t="n"/>
      <c r="W174" s="270" t="n"/>
    </row>
    <row r="175" customFormat="1" s="163">
      <c r="A175" s="282" t="n"/>
      <c r="B175" s="277" t="n"/>
      <c r="C175" s="278" t="n"/>
      <c r="D175" s="269" t="n"/>
      <c r="E175" s="269" t="n"/>
      <c r="F175" s="269" t="n"/>
      <c r="G175" s="269" t="n"/>
      <c r="H175" s="269" t="n"/>
      <c r="I175" s="269" t="n"/>
      <c r="J175" s="269" t="n"/>
      <c r="K175" s="269" t="n"/>
      <c r="L175" s="269" t="n"/>
      <c r="M175" s="269" t="n"/>
      <c r="N175" s="269" t="n"/>
      <c r="O175" s="269" t="n"/>
      <c r="P175" s="269" t="n"/>
      <c r="Q175" s="269" t="n"/>
      <c r="R175" s="269" t="n"/>
      <c r="S175" s="269" t="n"/>
      <c r="T175" s="269" t="n"/>
      <c r="U175" s="269" t="n"/>
      <c r="V175" s="269" t="n"/>
      <c r="W175" s="270" t="n"/>
    </row>
    <row r="176" customFormat="1" s="163">
      <c r="A176" s="282" t="n"/>
      <c r="B176" s="277" t="n"/>
      <c r="C176" s="278" t="n"/>
      <c r="D176" s="269" t="n"/>
      <c r="E176" s="269" t="n"/>
      <c r="F176" s="269" t="n"/>
      <c r="G176" s="269" t="n"/>
      <c r="H176" s="269" t="n"/>
      <c r="I176" s="269" t="n"/>
      <c r="J176" s="269" t="n"/>
      <c r="K176" s="269" t="n"/>
      <c r="L176" s="269" t="n"/>
      <c r="M176" s="269" t="n"/>
      <c r="N176" s="269" t="n"/>
      <c r="O176" s="269" t="n"/>
      <c r="P176" s="269" t="n"/>
      <c r="Q176" s="269" t="n"/>
      <c r="R176" s="269" t="n"/>
      <c r="S176" s="269" t="n"/>
      <c r="T176" s="269" t="n"/>
      <c r="U176" s="269" t="n"/>
      <c r="V176" s="269" t="n"/>
      <c r="W176" s="270" t="n"/>
    </row>
    <row r="177" customFormat="1" s="163">
      <c r="A177" s="282" t="n"/>
      <c r="B177" s="277" t="n"/>
      <c r="C177" s="278" t="n"/>
      <c r="D177" s="269" t="n"/>
      <c r="E177" s="269" t="n"/>
      <c r="F177" s="269" t="n"/>
      <c r="G177" s="269" t="n"/>
      <c r="H177" s="269" t="n"/>
      <c r="I177" s="269" t="n"/>
      <c r="J177" s="269" t="n"/>
      <c r="K177" s="269" t="n"/>
      <c r="L177" s="269" t="n"/>
      <c r="M177" s="269" t="n"/>
      <c r="N177" s="269" t="n"/>
      <c r="O177" s="269" t="n"/>
      <c r="P177" s="269" t="n"/>
      <c r="Q177" s="269" t="n"/>
      <c r="R177" s="269" t="n"/>
      <c r="S177" s="269" t="n"/>
      <c r="T177" s="269" t="n"/>
      <c r="U177" s="269" t="n"/>
      <c r="V177" s="269" t="n"/>
      <c r="W177" s="270" t="n"/>
    </row>
    <row r="178" customFormat="1" s="163">
      <c r="A178" s="282" t="n"/>
      <c r="B178" s="277" t="n"/>
      <c r="C178" s="278" t="n"/>
      <c r="D178" s="269" t="n"/>
      <c r="E178" s="269" t="n"/>
      <c r="F178" s="269" t="n"/>
      <c r="G178" s="269" t="n"/>
      <c r="H178" s="269" t="n"/>
      <c r="I178" s="269" t="n"/>
      <c r="J178" s="269" t="n"/>
      <c r="K178" s="269" t="n"/>
      <c r="L178" s="269" t="n"/>
      <c r="M178" s="269" t="n"/>
      <c r="N178" s="269" t="n"/>
      <c r="O178" s="269" t="n"/>
      <c r="P178" s="269" t="n"/>
      <c r="Q178" s="269" t="n"/>
      <c r="R178" s="269" t="n"/>
      <c r="S178" s="269" t="n"/>
      <c r="T178" s="269" t="n"/>
      <c r="U178" s="269" t="n"/>
      <c r="V178" s="269" t="n"/>
      <c r="W178" s="270" t="n"/>
    </row>
    <row r="179" customFormat="1" s="163">
      <c r="A179" s="282" t="n"/>
      <c r="B179" s="277" t="n"/>
      <c r="C179" s="278" t="n"/>
      <c r="D179" s="269" t="n"/>
      <c r="E179" s="269" t="n"/>
      <c r="F179" s="269" t="n"/>
      <c r="G179" s="269" t="n"/>
      <c r="H179" s="269" t="n"/>
      <c r="I179" s="269" t="n"/>
      <c r="J179" s="269" t="n"/>
      <c r="K179" s="269" t="n"/>
      <c r="L179" s="269" t="n"/>
      <c r="M179" s="269" t="n"/>
      <c r="N179" s="269" t="n"/>
      <c r="O179" s="269" t="n"/>
      <c r="P179" s="269" t="n"/>
      <c r="Q179" s="269" t="n"/>
      <c r="R179" s="269" t="n"/>
      <c r="S179" s="269" t="n"/>
      <c r="T179" s="269" t="n"/>
      <c r="U179" s="269" t="n"/>
      <c r="V179" s="269" t="n"/>
      <c r="W179" s="270" t="n"/>
    </row>
    <row r="180" customFormat="1" s="163">
      <c r="A180" s="282" t="n"/>
      <c r="B180" s="277" t="n"/>
      <c r="C180" s="278" t="n"/>
      <c r="D180" s="269" t="n"/>
      <c r="E180" s="269" t="n"/>
      <c r="F180" s="269" t="n"/>
      <c r="G180" s="269" t="n"/>
      <c r="H180" s="269" t="n"/>
      <c r="I180" s="269" t="n"/>
      <c r="J180" s="269" t="n"/>
      <c r="K180" s="269" t="n"/>
      <c r="L180" s="269" t="n"/>
      <c r="M180" s="269" t="n"/>
      <c r="N180" s="269" t="n"/>
      <c r="O180" s="269" t="n"/>
      <c r="P180" s="269" t="n"/>
      <c r="Q180" s="269" t="n"/>
      <c r="R180" s="269" t="n"/>
      <c r="S180" s="269" t="n"/>
      <c r="T180" s="269" t="n"/>
      <c r="U180" s="269" t="n"/>
      <c r="V180" s="269" t="n"/>
      <c r="W180" s="270" t="n"/>
    </row>
    <row r="181" customFormat="1" s="163">
      <c r="A181" s="282" t="n"/>
      <c r="B181" s="277" t="n"/>
      <c r="C181" s="278" t="n"/>
      <c r="D181" s="269" t="n"/>
      <c r="E181" s="269" t="n"/>
      <c r="F181" s="269" t="n"/>
      <c r="G181" s="269" t="n"/>
      <c r="H181" s="269" t="n"/>
      <c r="I181" s="269" t="n"/>
      <c r="J181" s="269" t="n"/>
      <c r="K181" s="269" t="n"/>
      <c r="L181" s="269" t="n"/>
      <c r="M181" s="269" t="n"/>
      <c r="N181" s="269" t="n"/>
      <c r="O181" s="269" t="n"/>
      <c r="P181" s="269" t="n"/>
      <c r="Q181" s="269" t="n"/>
      <c r="R181" s="269" t="n"/>
      <c r="S181" s="269" t="n"/>
      <c r="T181" s="269" t="n"/>
      <c r="U181" s="269" t="n"/>
      <c r="V181" s="269" t="n"/>
      <c r="W181" s="270" t="n"/>
    </row>
    <row r="182" customFormat="1" s="163">
      <c r="A182" s="282" t="n"/>
      <c r="B182" s="277" t="n"/>
      <c r="C182" s="278" t="n"/>
      <c r="D182" s="269" t="n"/>
      <c r="E182" s="269" t="n"/>
      <c r="F182" s="269" t="n"/>
      <c r="G182" s="269" t="n"/>
      <c r="H182" s="269" t="n"/>
      <c r="I182" s="269" t="n"/>
      <c r="J182" s="269" t="n"/>
      <c r="K182" s="269" t="n"/>
      <c r="L182" s="269" t="n"/>
      <c r="M182" s="269" t="n"/>
      <c r="N182" s="269" t="n"/>
      <c r="O182" s="269" t="n"/>
      <c r="P182" s="269" t="n"/>
      <c r="Q182" s="269" t="n"/>
      <c r="R182" s="269" t="n"/>
      <c r="S182" s="269" t="n"/>
      <c r="T182" s="269" t="n"/>
      <c r="U182" s="269" t="n"/>
      <c r="V182" s="269" t="n"/>
      <c r="W182" s="270" t="n"/>
    </row>
    <row r="183" customFormat="1" s="163">
      <c r="A183" s="282" t="n"/>
      <c r="B183" s="277" t="n"/>
      <c r="C183" s="278" t="n"/>
      <c r="D183" s="269" t="n"/>
      <c r="E183" s="269" t="n"/>
      <c r="F183" s="269" t="n"/>
      <c r="G183" s="269" t="n"/>
      <c r="H183" s="269" t="n"/>
      <c r="I183" s="269" t="n"/>
      <c r="J183" s="269" t="n"/>
      <c r="K183" s="269" t="n"/>
      <c r="L183" s="269" t="n"/>
      <c r="M183" s="269" t="n"/>
      <c r="N183" s="269" t="n"/>
      <c r="O183" s="269" t="n"/>
      <c r="P183" s="269" t="n"/>
      <c r="Q183" s="269" t="n"/>
      <c r="R183" s="269" t="n"/>
      <c r="S183" s="269" t="n"/>
      <c r="T183" s="269" t="n"/>
      <c r="U183" s="269" t="n"/>
      <c r="V183" s="269" t="n"/>
      <c r="W183" s="270" t="n"/>
    </row>
    <row r="184" customFormat="1" s="163">
      <c r="A184" s="282" t="n"/>
      <c r="B184" s="277" t="n"/>
      <c r="C184" s="278" t="n"/>
      <c r="D184" s="269" t="n"/>
      <c r="E184" s="269" t="n"/>
      <c r="F184" s="269" t="n"/>
      <c r="G184" s="269" t="n"/>
      <c r="H184" s="269" t="n"/>
      <c r="I184" s="269" t="n"/>
      <c r="J184" s="269" t="n"/>
      <c r="K184" s="269" t="n"/>
      <c r="L184" s="269" t="n"/>
      <c r="M184" s="269" t="n"/>
      <c r="N184" s="269" t="n"/>
      <c r="O184" s="269" t="n"/>
      <c r="P184" s="269" t="n"/>
      <c r="Q184" s="269" t="n"/>
      <c r="R184" s="269" t="n"/>
      <c r="S184" s="269" t="n"/>
      <c r="T184" s="269" t="n"/>
      <c r="U184" s="269" t="n"/>
      <c r="V184" s="269" t="n"/>
      <c r="W184" s="270" t="n"/>
    </row>
    <row r="185" customFormat="1" s="163">
      <c r="A185" s="282" t="n"/>
      <c r="B185" s="277" t="n"/>
      <c r="C185" s="278" t="n"/>
      <c r="D185" s="269" t="n"/>
      <c r="E185" s="269" t="n"/>
      <c r="F185" s="269" t="n"/>
      <c r="G185" s="269" t="n"/>
      <c r="H185" s="269" t="n"/>
      <c r="I185" s="269" t="n"/>
      <c r="J185" s="269" t="n"/>
      <c r="K185" s="269" t="n"/>
      <c r="L185" s="269" t="n"/>
      <c r="M185" s="269" t="n"/>
      <c r="N185" s="269" t="n"/>
      <c r="O185" s="269" t="n"/>
      <c r="P185" s="269" t="n"/>
      <c r="Q185" s="269" t="n"/>
      <c r="R185" s="269" t="n"/>
      <c r="S185" s="269" t="n"/>
      <c r="T185" s="269" t="n"/>
      <c r="U185" s="269" t="n"/>
      <c r="V185" s="269" t="n"/>
      <c r="W185" s="270" t="n"/>
    </row>
    <row r="186" customFormat="1" s="163">
      <c r="A186" s="282" t="n"/>
      <c r="B186" s="277" t="n"/>
      <c r="C186" s="278" t="n"/>
      <c r="D186" s="269" t="n"/>
      <c r="E186" s="269" t="n"/>
      <c r="F186" s="269" t="n"/>
      <c r="G186" s="269" t="n"/>
      <c r="H186" s="269" t="n"/>
      <c r="I186" s="269" t="n"/>
      <c r="J186" s="269" t="n"/>
      <c r="K186" s="269" t="n"/>
      <c r="L186" s="269" t="n"/>
      <c r="M186" s="269" t="n"/>
      <c r="N186" s="269" t="n"/>
      <c r="O186" s="269" t="n"/>
      <c r="P186" s="269" t="n"/>
      <c r="Q186" s="269" t="n"/>
      <c r="R186" s="269" t="n"/>
      <c r="S186" s="269" t="n"/>
      <c r="T186" s="269" t="n"/>
      <c r="U186" s="269" t="n"/>
      <c r="V186" s="269" t="n"/>
      <c r="W186" s="270" t="n"/>
    </row>
    <row r="187" customFormat="1" s="163">
      <c r="A187" s="282" t="n"/>
      <c r="B187" s="277" t="n"/>
      <c r="C187" s="278" t="n"/>
      <c r="D187" s="269" t="n"/>
      <c r="E187" s="269" t="n"/>
      <c r="F187" s="269" t="n"/>
      <c r="G187" s="269" t="n"/>
      <c r="H187" s="269" t="n"/>
      <c r="I187" s="269" t="n"/>
      <c r="J187" s="269" t="n"/>
      <c r="K187" s="269" t="n"/>
      <c r="L187" s="269" t="n"/>
      <c r="M187" s="269" t="n"/>
      <c r="N187" s="269" t="n"/>
      <c r="O187" s="269" t="n"/>
      <c r="P187" s="269" t="n"/>
      <c r="Q187" s="269" t="n"/>
      <c r="R187" s="269" t="n"/>
      <c r="S187" s="269" t="n"/>
      <c r="T187" s="269" t="n"/>
      <c r="U187" s="269" t="n"/>
      <c r="V187" s="269" t="n"/>
      <c r="W187" s="270" t="n"/>
    </row>
    <row r="188" customFormat="1" s="163">
      <c r="A188" s="282" t="n"/>
      <c r="B188" s="277" t="n"/>
      <c r="C188" s="278" t="n"/>
      <c r="D188" s="269" t="n"/>
      <c r="E188" s="269" t="n"/>
      <c r="F188" s="269" t="n"/>
      <c r="G188" s="269" t="n"/>
      <c r="H188" s="269" t="n"/>
      <c r="I188" s="269" t="n"/>
      <c r="J188" s="269" t="n"/>
      <c r="K188" s="269" t="n"/>
      <c r="L188" s="269" t="n"/>
      <c r="M188" s="269" t="n"/>
      <c r="N188" s="269" t="n"/>
      <c r="O188" s="269" t="n"/>
      <c r="P188" s="269" t="n"/>
      <c r="Q188" s="269" t="n"/>
      <c r="R188" s="269" t="n"/>
      <c r="S188" s="269" t="n"/>
      <c r="T188" s="269" t="n"/>
      <c r="U188" s="269" t="n"/>
      <c r="V188" s="269" t="n"/>
      <c r="W188" s="270" t="n"/>
    </row>
    <row r="189" customFormat="1" s="163">
      <c r="A189" s="282" t="n"/>
      <c r="B189" s="277" t="n"/>
      <c r="C189" s="278" t="n"/>
      <c r="D189" s="269" t="n"/>
      <c r="E189" s="269" t="n"/>
      <c r="F189" s="269" t="n"/>
      <c r="G189" s="269" t="n"/>
      <c r="H189" s="269" t="n"/>
      <c r="I189" s="269" t="n"/>
      <c r="J189" s="269" t="n"/>
      <c r="K189" s="269" t="n"/>
      <c r="L189" s="269" t="n"/>
      <c r="M189" s="269" t="n"/>
      <c r="N189" s="269" t="n"/>
      <c r="O189" s="269" t="n"/>
      <c r="P189" s="269" t="n"/>
      <c r="Q189" s="269" t="n"/>
      <c r="R189" s="269" t="n"/>
      <c r="S189" s="269" t="n"/>
      <c r="T189" s="269" t="n"/>
      <c r="U189" s="269" t="n"/>
      <c r="V189" s="269" t="n"/>
      <c r="W189" s="270" t="n"/>
    </row>
    <row r="190" customFormat="1" s="163">
      <c r="A190" s="282" t="n"/>
      <c r="B190" s="277" t="n"/>
      <c r="C190" s="278" t="n"/>
      <c r="D190" s="269" t="n"/>
      <c r="E190" s="269" t="n"/>
      <c r="F190" s="269" t="n"/>
      <c r="G190" s="269" t="n"/>
      <c r="H190" s="269" t="n"/>
      <c r="I190" s="269" t="n"/>
      <c r="J190" s="269" t="n"/>
      <c r="K190" s="269" t="n"/>
      <c r="L190" s="269" t="n"/>
      <c r="M190" s="269" t="n"/>
      <c r="N190" s="269" t="n"/>
      <c r="O190" s="269" t="n"/>
      <c r="P190" s="269" t="n"/>
      <c r="Q190" s="269" t="n"/>
      <c r="R190" s="269" t="n"/>
      <c r="S190" s="269" t="n"/>
      <c r="T190" s="269" t="n"/>
      <c r="U190" s="269" t="n"/>
      <c r="V190" s="269" t="n"/>
      <c r="W190" s="270" t="n"/>
    </row>
    <row r="191" customFormat="1" s="163">
      <c r="A191" s="282" t="n"/>
      <c r="B191" s="277" t="n"/>
      <c r="C191" s="278" t="n"/>
      <c r="D191" s="269" t="n"/>
      <c r="E191" s="269" t="n"/>
      <c r="F191" s="269" t="n"/>
      <c r="G191" s="269" t="n"/>
      <c r="H191" s="269" t="n"/>
      <c r="I191" s="269" t="n"/>
      <c r="J191" s="269" t="n"/>
      <c r="K191" s="269" t="n"/>
      <c r="L191" s="269" t="n"/>
      <c r="M191" s="269" t="n"/>
      <c r="N191" s="269" t="n"/>
      <c r="O191" s="269" t="n"/>
      <c r="P191" s="269" t="n"/>
      <c r="Q191" s="269" t="n"/>
      <c r="R191" s="269" t="n"/>
      <c r="S191" s="269" t="n"/>
      <c r="T191" s="269" t="n"/>
      <c r="U191" s="269" t="n"/>
      <c r="V191" s="269" t="n"/>
      <c r="W191" s="270" t="n"/>
    </row>
    <row r="192" customFormat="1" s="163">
      <c r="A192" s="282" t="n"/>
      <c r="B192" s="277" t="n"/>
      <c r="C192" s="278" t="n"/>
      <c r="D192" s="269" t="n"/>
      <c r="E192" s="269" t="n"/>
      <c r="F192" s="269" t="n"/>
      <c r="G192" s="269" t="n"/>
      <c r="H192" s="269" t="n"/>
      <c r="I192" s="269" t="n"/>
      <c r="J192" s="269" t="n"/>
      <c r="K192" s="269" t="n"/>
      <c r="L192" s="269" t="n"/>
      <c r="M192" s="269" t="n"/>
      <c r="N192" s="269" t="n"/>
      <c r="O192" s="269" t="n"/>
      <c r="P192" s="269" t="n"/>
      <c r="Q192" s="269" t="n"/>
      <c r="R192" s="269" t="n"/>
      <c r="S192" s="269" t="n"/>
      <c r="T192" s="269" t="n"/>
      <c r="U192" s="269" t="n"/>
      <c r="V192" s="269" t="n"/>
      <c r="W192" s="270" t="n"/>
    </row>
    <row r="193" customFormat="1" s="163">
      <c r="A193" s="282" t="n"/>
      <c r="B193" s="277" t="n"/>
      <c r="C193" s="278" t="n"/>
      <c r="D193" s="269" t="n"/>
      <c r="E193" s="269" t="n"/>
      <c r="F193" s="269" t="n"/>
      <c r="G193" s="269" t="n"/>
      <c r="H193" s="269" t="n"/>
      <c r="I193" s="269" t="n"/>
      <c r="J193" s="269" t="n"/>
      <c r="K193" s="269" t="n"/>
      <c r="L193" s="269" t="n"/>
      <c r="M193" s="269" t="n"/>
      <c r="N193" s="269" t="n"/>
      <c r="O193" s="269" t="n"/>
      <c r="P193" s="269" t="n"/>
      <c r="Q193" s="269" t="n"/>
      <c r="R193" s="269" t="n"/>
      <c r="S193" s="269" t="n"/>
      <c r="T193" s="269" t="n"/>
      <c r="U193" s="269" t="n"/>
      <c r="V193" s="269" t="n"/>
      <c r="W193" s="270" t="n"/>
    </row>
    <row r="194" customFormat="1" s="163">
      <c r="A194" s="282" t="n"/>
      <c r="B194" s="277" t="n"/>
      <c r="C194" s="278" t="n"/>
      <c r="D194" s="269" t="n"/>
      <c r="E194" s="269" t="n"/>
      <c r="F194" s="269" t="n"/>
      <c r="G194" s="269" t="n"/>
      <c r="H194" s="269" t="n"/>
      <c r="I194" s="269" t="n"/>
      <c r="J194" s="269" t="n"/>
      <c r="K194" s="269" t="n"/>
      <c r="L194" s="269" t="n"/>
      <c r="M194" s="269" t="n"/>
      <c r="N194" s="269" t="n"/>
      <c r="O194" s="269" t="n"/>
      <c r="P194" s="269" t="n"/>
      <c r="Q194" s="269" t="n"/>
      <c r="R194" s="269" t="n"/>
      <c r="S194" s="269" t="n"/>
      <c r="T194" s="269" t="n"/>
      <c r="U194" s="269" t="n"/>
      <c r="V194" s="269" t="n"/>
      <c r="W194" s="270" t="n"/>
    </row>
    <row r="195" customFormat="1" s="163">
      <c r="A195" s="282" t="n"/>
      <c r="B195" s="277" t="n"/>
      <c r="C195" s="278" t="n"/>
      <c r="D195" s="269" t="n"/>
      <c r="E195" s="269" t="n"/>
      <c r="F195" s="269" t="n"/>
      <c r="G195" s="269" t="n"/>
      <c r="H195" s="269" t="n"/>
      <c r="I195" s="269" t="n"/>
      <c r="J195" s="269" t="n"/>
      <c r="K195" s="269" t="n"/>
      <c r="L195" s="269" t="n"/>
      <c r="M195" s="269" t="n"/>
      <c r="N195" s="269" t="n"/>
      <c r="O195" s="269" t="n"/>
      <c r="P195" s="269" t="n"/>
      <c r="Q195" s="269" t="n"/>
      <c r="R195" s="269" t="n"/>
      <c r="S195" s="269" t="n"/>
      <c r="T195" s="269" t="n"/>
      <c r="U195" s="269" t="n"/>
      <c r="V195" s="269" t="n"/>
      <c r="W195" s="270" t="n"/>
    </row>
    <row r="196" customFormat="1" s="163">
      <c r="A196" s="282" t="n"/>
      <c r="B196" s="277" t="n"/>
      <c r="C196" s="278" t="n"/>
      <c r="D196" s="269" t="n"/>
      <c r="E196" s="269" t="n"/>
      <c r="F196" s="269" t="n"/>
      <c r="G196" s="269" t="n"/>
      <c r="H196" s="269" t="n"/>
      <c r="I196" s="269" t="n"/>
      <c r="J196" s="269" t="n"/>
      <c r="K196" s="269" t="n"/>
      <c r="L196" s="269" t="n"/>
      <c r="M196" s="269" t="n"/>
      <c r="N196" s="269" t="n"/>
      <c r="O196" s="269" t="n"/>
      <c r="P196" s="269" t="n"/>
      <c r="Q196" s="269" t="n"/>
      <c r="R196" s="269" t="n"/>
      <c r="S196" s="269" t="n"/>
      <c r="T196" s="269" t="n"/>
      <c r="U196" s="269" t="n"/>
      <c r="V196" s="269" t="n"/>
      <c r="W196" s="270" t="n"/>
    </row>
    <row r="197" customFormat="1" s="163">
      <c r="A197" s="282" t="n"/>
      <c r="B197" s="277" t="n"/>
      <c r="C197" s="278" t="n"/>
      <c r="D197" s="269" t="n"/>
      <c r="E197" s="269" t="n"/>
      <c r="F197" s="269" t="n"/>
      <c r="G197" s="269" t="n"/>
      <c r="H197" s="269" t="n"/>
      <c r="I197" s="269" t="n"/>
      <c r="J197" s="269" t="n"/>
      <c r="K197" s="269" t="n"/>
      <c r="L197" s="269" t="n"/>
      <c r="M197" s="269" t="n"/>
      <c r="N197" s="269" t="n"/>
      <c r="O197" s="269" t="n"/>
      <c r="P197" s="269" t="n"/>
      <c r="Q197" s="269" t="n"/>
      <c r="R197" s="269" t="n"/>
      <c r="S197" s="269" t="n"/>
      <c r="T197" s="269" t="n"/>
      <c r="U197" s="269" t="n"/>
      <c r="V197" s="269" t="n"/>
      <c r="W197" s="270" t="n"/>
    </row>
    <row r="198" customFormat="1" s="163">
      <c r="A198" s="282" t="n"/>
      <c r="B198" s="277" t="n"/>
      <c r="C198" s="278" t="n"/>
      <c r="D198" s="269" t="n"/>
      <c r="E198" s="269" t="n"/>
      <c r="F198" s="269" t="n"/>
      <c r="G198" s="269" t="n"/>
      <c r="H198" s="269" t="n"/>
      <c r="I198" s="269" t="n"/>
      <c r="J198" s="269" t="n"/>
      <c r="K198" s="269" t="n"/>
      <c r="L198" s="269" t="n"/>
      <c r="M198" s="269" t="n"/>
      <c r="N198" s="269" t="n"/>
      <c r="O198" s="269" t="n"/>
      <c r="P198" s="269" t="n"/>
      <c r="Q198" s="269" t="n"/>
      <c r="R198" s="269" t="n"/>
      <c r="S198" s="269" t="n"/>
      <c r="T198" s="269" t="n"/>
      <c r="U198" s="269" t="n"/>
      <c r="V198" s="269" t="n"/>
      <c r="W198" s="270" t="n"/>
    </row>
    <row r="199" customFormat="1" s="163">
      <c r="A199" s="282" t="n"/>
      <c r="B199" s="277" t="n"/>
      <c r="C199" s="278" t="n"/>
      <c r="D199" s="269" t="n"/>
      <c r="E199" s="269" t="n"/>
      <c r="F199" s="269" t="n"/>
      <c r="G199" s="269" t="n"/>
      <c r="H199" s="269" t="n"/>
      <c r="I199" s="269" t="n"/>
      <c r="J199" s="269" t="n"/>
      <c r="K199" s="269" t="n"/>
      <c r="L199" s="269" t="n"/>
      <c r="M199" s="269" t="n"/>
      <c r="N199" s="269" t="n"/>
      <c r="O199" s="269" t="n"/>
      <c r="P199" s="269" t="n"/>
      <c r="Q199" s="269" t="n"/>
      <c r="R199" s="269" t="n"/>
      <c r="S199" s="269" t="n"/>
      <c r="T199" s="269" t="n"/>
      <c r="U199" s="269" t="n"/>
      <c r="V199" s="269" t="n"/>
      <c r="W199" s="270" t="n"/>
    </row>
    <row r="200" customFormat="1" s="163">
      <c r="A200" s="282" t="n"/>
      <c r="B200" s="277" t="n"/>
      <c r="C200" s="278" t="n"/>
      <c r="D200" s="269" t="n"/>
      <c r="E200" s="269" t="n"/>
      <c r="F200" s="269" t="n"/>
      <c r="G200" s="269" t="n"/>
      <c r="H200" s="269" t="n"/>
      <c r="I200" s="269" t="n"/>
      <c r="J200" s="269" t="n"/>
      <c r="K200" s="269" t="n"/>
      <c r="L200" s="269" t="n"/>
      <c r="M200" s="269" t="n"/>
      <c r="N200" s="269" t="n"/>
      <c r="O200" s="269" t="n"/>
      <c r="P200" s="269" t="n"/>
      <c r="Q200" s="269" t="n"/>
      <c r="R200" s="269" t="n"/>
      <c r="S200" s="269" t="n"/>
      <c r="T200" s="269" t="n"/>
      <c r="U200" s="269" t="n"/>
      <c r="V200" s="269" t="n"/>
      <c r="W200" s="270" t="n"/>
    </row>
    <row r="201" customFormat="1" s="163">
      <c r="A201" s="282" t="n"/>
      <c r="B201" s="277" t="n"/>
      <c r="C201" s="278" t="n"/>
      <c r="D201" s="269" t="n"/>
      <c r="E201" s="269" t="n"/>
      <c r="F201" s="269" t="n"/>
      <c r="G201" s="269" t="n"/>
      <c r="H201" s="269" t="n"/>
      <c r="I201" s="269" t="n"/>
      <c r="J201" s="269" t="n"/>
      <c r="K201" s="269" t="n"/>
      <c r="L201" s="269" t="n"/>
      <c r="M201" s="269" t="n"/>
      <c r="N201" s="269" t="n"/>
      <c r="O201" s="269" t="n"/>
      <c r="P201" s="269" t="n"/>
      <c r="Q201" s="269" t="n"/>
      <c r="R201" s="269" t="n"/>
      <c r="S201" s="269" t="n"/>
      <c r="T201" s="269" t="n"/>
      <c r="U201" s="269" t="n"/>
      <c r="V201" s="269" t="n"/>
      <c r="W201" s="270" t="n"/>
    </row>
    <row r="202" customFormat="1" s="163">
      <c r="A202" s="282" t="n"/>
      <c r="B202" s="277" t="n"/>
      <c r="C202" s="278" t="n"/>
      <c r="D202" s="269" t="n"/>
      <c r="E202" s="269" t="n"/>
      <c r="F202" s="269" t="n"/>
      <c r="G202" s="269" t="n"/>
      <c r="H202" s="269" t="n"/>
      <c r="I202" s="269" t="n"/>
      <c r="J202" s="269" t="n"/>
      <c r="K202" s="269" t="n"/>
      <c r="L202" s="269" t="n"/>
      <c r="M202" s="269" t="n"/>
      <c r="N202" s="269" t="n"/>
      <c r="O202" s="269" t="n"/>
      <c r="P202" s="269" t="n"/>
      <c r="Q202" s="269" t="n"/>
      <c r="R202" s="269" t="n"/>
      <c r="S202" s="269" t="n"/>
      <c r="T202" s="269" t="n"/>
      <c r="U202" s="269" t="n"/>
      <c r="V202" s="269" t="n"/>
      <c r="W202" s="270" t="n"/>
    </row>
    <row r="203" customFormat="1" s="163">
      <c r="A203" s="282" t="n"/>
      <c r="B203" s="277" t="n"/>
      <c r="C203" s="278" t="n"/>
      <c r="D203" s="269" t="n"/>
      <c r="E203" s="269" t="n"/>
      <c r="F203" s="269" t="n"/>
      <c r="G203" s="269" t="n"/>
      <c r="H203" s="269" t="n"/>
      <c r="I203" s="269" t="n"/>
      <c r="J203" s="269" t="n"/>
      <c r="K203" s="269" t="n"/>
      <c r="L203" s="269" t="n"/>
      <c r="M203" s="269" t="n"/>
      <c r="N203" s="269" t="n"/>
      <c r="O203" s="269" t="n"/>
      <c r="P203" s="269" t="n"/>
      <c r="Q203" s="269" t="n"/>
      <c r="R203" s="269" t="n"/>
      <c r="S203" s="269" t="n"/>
      <c r="T203" s="269" t="n"/>
      <c r="U203" s="269" t="n"/>
      <c r="V203" s="269" t="n"/>
      <c r="W203" s="270" t="n"/>
    </row>
    <row r="204" customFormat="1" s="163">
      <c r="A204" s="282" t="n"/>
      <c r="B204" s="277" t="n"/>
      <c r="C204" s="278" t="n"/>
      <c r="D204" s="269" t="n"/>
      <c r="E204" s="269" t="n"/>
      <c r="F204" s="269" t="n"/>
      <c r="G204" s="269" t="n"/>
      <c r="H204" s="269" t="n"/>
      <c r="I204" s="269" t="n"/>
      <c r="J204" s="269" t="n"/>
      <c r="K204" s="269" t="n"/>
      <c r="L204" s="269" t="n"/>
      <c r="M204" s="269" t="n"/>
      <c r="N204" s="269" t="n"/>
      <c r="O204" s="269" t="n"/>
      <c r="P204" s="269" t="n"/>
      <c r="Q204" s="269" t="n"/>
      <c r="R204" s="269" t="n"/>
      <c r="S204" s="269" t="n"/>
      <c r="T204" s="269" t="n"/>
      <c r="U204" s="269" t="n"/>
      <c r="V204" s="269" t="n"/>
      <c r="W204" s="270" t="n"/>
    </row>
    <row r="205" customFormat="1" s="163">
      <c r="A205" s="282" t="n"/>
      <c r="B205" s="277" t="n"/>
      <c r="C205" s="278" t="n"/>
      <c r="D205" s="269" t="n"/>
      <c r="E205" s="269" t="n"/>
      <c r="F205" s="269" t="n"/>
      <c r="G205" s="269" t="n"/>
      <c r="H205" s="269" t="n"/>
      <c r="I205" s="269" t="n"/>
      <c r="J205" s="269" t="n"/>
      <c r="K205" s="269" t="n"/>
      <c r="L205" s="269" t="n"/>
      <c r="M205" s="269" t="n"/>
      <c r="N205" s="269" t="n"/>
      <c r="O205" s="269" t="n"/>
      <c r="P205" s="269" t="n"/>
      <c r="Q205" s="269" t="n"/>
      <c r="R205" s="269" t="n"/>
      <c r="S205" s="269" t="n"/>
      <c r="T205" s="269" t="n"/>
      <c r="U205" s="269" t="n"/>
      <c r="V205" s="269" t="n"/>
      <c r="W205" s="270" t="n"/>
    </row>
    <row r="206" customFormat="1" s="163">
      <c r="A206" s="282" t="n"/>
      <c r="B206" s="277" t="n"/>
      <c r="C206" s="278" t="n"/>
      <c r="D206" s="269" t="n"/>
      <c r="E206" s="269" t="n"/>
      <c r="F206" s="269" t="n"/>
      <c r="G206" s="269" t="n"/>
      <c r="H206" s="269" t="n"/>
      <c r="I206" s="269" t="n"/>
      <c r="J206" s="269" t="n"/>
      <c r="K206" s="269" t="n"/>
      <c r="L206" s="269" t="n"/>
      <c r="M206" s="269" t="n"/>
      <c r="N206" s="269" t="n"/>
      <c r="O206" s="269" t="n"/>
      <c r="P206" s="269" t="n"/>
      <c r="Q206" s="269" t="n"/>
      <c r="R206" s="269" t="n"/>
      <c r="S206" s="269" t="n"/>
      <c r="T206" s="269" t="n"/>
      <c r="U206" s="269" t="n"/>
      <c r="V206" s="269" t="n"/>
      <c r="W206" s="270" t="n"/>
    </row>
    <row r="207" customFormat="1" s="163">
      <c r="A207" s="282" t="n"/>
      <c r="B207" s="277" t="n"/>
      <c r="C207" s="278" t="n"/>
      <c r="D207" s="269" t="n"/>
      <c r="E207" s="269" t="n"/>
      <c r="F207" s="269" t="n"/>
      <c r="G207" s="269" t="n"/>
      <c r="H207" s="269" t="n"/>
      <c r="I207" s="269" t="n"/>
      <c r="J207" s="269" t="n"/>
      <c r="K207" s="269" t="n"/>
      <c r="L207" s="269" t="n"/>
      <c r="M207" s="269" t="n"/>
      <c r="N207" s="269" t="n"/>
      <c r="O207" s="269" t="n"/>
      <c r="P207" s="269" t="n"/>
      <c r="Q207" s="269" t="n"/>
      <c r="R207" s="269" t="n"/>
      <c r="S207" s="269" t="n"/>
      <c r="T207" s="269" t="n"/>
      <c r="U207" s="269" t="n"/>
      <c r="V207" s="269" t="n"/>
      <c r="W207" s="270" t="n"/>
    </row>
    <row r="208" customFormat="1" s="163">
      <c r="A208" s="282" t="n"/>
      <c r="B208" s="277" t="n"/>
      <c r="C208" s="278" t="n"/>
      <c r="D208" s="269" t="n"/>
      <c r="E208" s="269" t="n"/>
      <c r="F208" s="269" t="n"/>
      <c r="G208" s="269" t="n"/>
      <c r="H208" s="269" t="n"/>
      <c r="I208" s="269" t="n"/>
      <c r="J208" s="269" t="n"/>
      <c r="K208" s="269" t="n"/>
      <c r="L208" s="269" t="n"/>
      <c r="M208" s="269" t="n"/>
      <c r="N208" s="269" t="n"/>
      <c r="O208" s="269" t="n"/>
      <c r="P208" s="269" t="n"/>
      <c r="Q208" s="269" t="n"/>
      <c r="R208" s="269" t="n"/>
      <c r="S208" s="269" t="n"/>
      <c r="T208" s="269" t="n"/>
      <c r="U208" s="269" t="n"/>
      <c r="V208" s="269" t="n"/>
      <c r="W208" s="270" t="n"/>
    </row>
    <row r="209" customFormat="1" s="163">
      <c r="A209" s="282" t="n"/>
      <c r="B209" s="277" t="n"/>
      <c r="C209" s="278" t="n"/>
      <c r="D209" s="269" t="n"/>
      <c r="E209" s="269" t="n"/>
      <c r="F209" s="269" t="n"/>
      <c r="G209" s="269" t="n"/>
      <c r="H209" s="269" t="n"/>
      <c r="I209" s="269" t="n"/>
      <c r="J209" s="269" t="n"/>
      <c r="K209" s="269" t="n"/>
      <c r="L209" s="269" t="n"/>
      <c r="M209" s="269" t="n"/>
      <c r="N209" s="269" t="n"/>
      <c r="O209" s="269" t="n"/>
      <c r="P209" s="269" t="n"/>
      <c r="Q209" s="269" t="n"/>
      <c r="R209" s="269" t="n"/>
      <c r="S209" s="269" t="n"/>
      <c r="T209" s="269" t="n"/>
      <c r="U209" s="269" t="n"/>
      <c r="V209" s="269" t="n"/>
      <c r="W209" s="270" t="n"/>
    </row>
    <row r="210" customFormat="1" s="163">
      <c r="A210" s="282" t="n"/>
      <c r="B210" s="277" t="n"/>
      <c r="C210" s="278" t="n"/>
      <c r="D210" s="269" t="n"/>
      <c r="E210" s="269" t="n"/>
      <c r="F210" s="269" t="n"/>
      <c r="G210" s="269" t="n"/>
      <c r="H210" s="269" t="n"/>
      <c r="I210" s="269" t="n"/>
      <c r="J210" s="269" t="n"/>
      <c r="K210" s="269" t="n"/>
      <c r="L210" s="269" t="n"/>
      <c r="M210" s="269" t="n"/>
      <c r="N210" s="269" t="n"/>
      <c r="O210" s="269" t="n"/>
      <c r="P210" s="269" t="n"/>
      <c r="Q210" s="269" t="n"/>
      <c r="R210" s="269" t="n"/>
      <c r="S210" s="269" t="n"/>
      <c r="T210" s="269" t="n"/>
      <c r="U210" s="269" t="n"/>
      <c r="V210" s="269" t="n"/>
      <c r="W210" s="270" t="n"/>
    </row>
    <row r="211" customFormat="1" s="163">
      <c r="A211" s="282" t="n"/>
      <c r="B211" s="277" t="n"/>
      <c r="C211" s="278" t="n"/>
      <c r="D211" s="269" t="n"/>
      <c r="E211" s="269" t="n"/>
      <c r="F211" s="269" t="n"/>
      <c r="G211" s="269" t="n"/>
      <c r="H211" s="269" t="n"/>
      <c r="I211" s="269" t="n"/>
      <c r="J211" s="269" t="n"/>
      <c r="K211" s="269" t="n"/>
      <c r="L211" s="269" t="n"/>
      <c r="M211" s="269" t="n"/>
      <c r="N211" s="269" t="n"/>
      <c r="O211" s="269" t="n"/>
      <c r="P211" s="269" t="n"/>
      <c r="Q211" s="269" t="n"/>
      <c r="R211" s="269" t="n"/>
      <c r="S211" s="269" t="n"/>
      <c r="T211" s="269" t="n"/>
      <c r="U211" s="269" t="n"/>
      <c r="V211" s="269" t="n"/>
      <c r="W211" s="270" t="n"/>
    </row>
    <row r="212" customFormat="1" s="163">
      <c r="A212" s="282" t="n"/>
      <c r="B212" s="277" t="n"/>
      <c r="C212" s="278" t="n"/>
      <c r="D212" s="269" t="n"/>
      <c r="E212" s="269" t="n"/>
      <c r="F212" s="269" t="n"/>
      <c r="G212" s="269" t="n"/>
      <c r="H212" s="269" t="n"/>
      <c r="I212" s="269" t="n"/>
      <c r="J212" s="269" t="n"/>
      <c r="K212" s="269" t="n"/>
      <c r="L212" s="269" t="n"/>
      <c r="M212" s="269" t="n"/>
      <c r="N212" s="269" t="n"/>
      <c r="O212" s="269" t="n"/>
      <c r="P212" s="269" t="n"/>
      <c r="Q212" s="269" t="n"/>
      <c r="R212" s="269" t="n"/>
      <c r="S212" s="269" t="n"/>
      <c r="T212" s="269" t="n"/>
      <c r="U212" s="269" t="n"/>
      <c r="V212" s="269" t="n"/>
      <c r="W212" s="270" t="n"/>
    </row>
    <row r="213" customFormat="1" s="163">
      <c r="A213" s="282" t="n"/>
      <c r="B213" s="277" t="n"/>
      <c r="C213" s="278" t="n"/>
      <c r="D213" s="269" t="n"/>
      <c r="E213" s="269" t="n"/>
      <c r="F213" s="269" t="n"/>
      <c r="G213" s="269" t="n"/>
      <c r="H213" s="269" t="n"/>
      <c r="I213" s="269" t="n"/>
      <c r="J213" s="269" t="n"/>
      <c r="K213" s="269" t="n"/>
      <c r="L213" s="269" t="n"/>
      <c r="M213" s="269" t="n"/>
      <c r="N213" s="269" t="n"/>
      <c r="O213" s="269" t="n"/>
      <c r="P213" s="269" t="n"/>
      <c r="Q213" s="269" t="n"/>
      <c r="R213" s="269" t="n"/>
      <c r="S213" s="269" t="n"/>
      <c r="T213" s="269" t="n"/>
      <c r="U213" s="269" t="n"/>
      <c r="V213" s="269" t="n"/>
      <c r="W213" s="270" t="n"/>
    </row>
    <row r="214" customFormat="1" s="163">
      <c r="A214" s="282" t="n"/>
      <c r="B214" s="277" t="n"/>
      <c r="C214" s="278" t="n"/>
      <c r="D214" s="269" t="n"/>
      <c r="E214" s="269" t="n"/>
      <c r="F214" s="269" t="n"/>
      <c r="G214" s="269" t="n"/>
      <c r="H214" s="269" t="n"/>
      <c r="I214" s="269" t="n"/>
      <c r="J214" s="269" t="n"/>
      <c r="K214" s="269" t="n"/>
      <c r="L214" s="269" t="n"/>
      <c r="M214" s="269" t="n"/>
      <c r="N214" s="269" t="n"/>
      <c r="O214" s="269" t="n"/>
      <c r="P214" s="269" t="n"/>
      <c r="Q214" s="269" t="n"/>
      <c r="R214" s="269" t="n"/>
      <c r="S214" s="269" t="n"/>
      <c r="T214" s="269" t="n"/>
      <c r="U214" s="269" t="n"/>
      <c r="V214" s="269" t="n"/>
      <c r="W214" s="270" t="n"/>
    </row>
    <row r="215" customFormat="1" s="163">
      <c r="A215" s="282" t="n"/>
      <c r="B215" s="277" t="n"/>
      <c r="C215" s="278" t="n"/>
      <c r="D215" s="269" t="n"/>
      <c r="E215" s="269" t="n"/>
      <c r="F215" s="269" t="n"/>
      <c r="G215" s="269" t="n"/>
      <c r="H215" s="269" t="n"/>
      <c r="I215" s="269" t="n"/>
      <c r="J215" s="269" t="n"/>
      <c r="K215" s="269" t="n"/>
      <c r="L215" s="269" t="n"/>
      <c r="M215" s="269" t="n"/>
      <c r="N215" s="269" t="n"/>
      <c r="O215" s="269" t="n"/>
      <c r="P215" s="269" t="n"/>
      <c r="Q215" s="269" t="n"/>
      <c r="R215" s="269" t="n"/>
      <c r="S215" s="269" t="n"/>
      <c r="T215" s="269" t="n"/>
      <c r="U215" s="269" t="n"/>
      <c r="V215" s="269" t="n"/>
      <c r="W215" s="270" t="n"/>
    </row>
    <row r="216" customFormat="1" s="163">
      <c r="A216" s="282" t="n"/>
      <c r="B216" s="277" t="n"/>
      <c r="C216" s="278" t="n"/>
      <c r="D216" s="269" t="n"/>
      <c r="E216" s="269" t="n"/>
      <c r="F216" s="269" t="n"/>
      <c r="G216" s="269" t="n"/>
      <c r="H216" s="269" t="n"/>
      <c r="I216" s="269" t="n"/>
      <c r="J216" s="269" t="n"/>
      <c r="K216" s="269" t="n"/>
      <c r="L216" s="269" t="n"/>
      <c r="M216" s="269" t="n"/>
      <c r="N216" s="269" t="n"/>
      <c r="O216" s="269" t="n"/>
      <c r="P216" s="269" t="n"/>
      <c r="Q216" s="269" t="n"/>
      <c r="R216" s="269" t="n"/>
      <c r="S216" s="269" t="n"/>
      <c r="T216" s="269" t="n"/>
      <c r="U216" s="269" t="n"/>
      <c r="V216" s="269" t="n"/>
      <c r="W216" s="270" t="n"/>
    </row>
    <row r="217" customFormat="1" s="163">
      <c r="A217" s="282" t="n"/>
      <c r="B217" s="277" t="n"/>
      <c r="C217" s="278" t="n"/>
      <c r="D217" s="269" t="n"/>
      <c r="E217" s="269" t="n"/>
      <c r="F217" s="269" t="n"/>
      <c r="G217" s="269" t="n"/>
      <c r="H217" s="269" t="n"/>
      <c r="I217" s="269" t="n"/>
      <c r="J217" s="269" t="n"/>
      <c r="K217" s="269" t="n"/>
      <c r="L217" s="269" t="n"/>
      <c r="M217" s="269" t="n"/>
      <c r="N217" s="269" t="n"/>
      <c r="O217" s="269" t="n"/>
      <c r="P217" s="269" t="n"/>
      <c r="Q217" s="269" t="n"/>
      <c r="R217" s="269" t="n"/>
      <c r="S217" s="269" t="n"/>
      <c r="T217" s="269" t="n"/>
      <c r="U217" s="269" t="n"/>
      <c r="V217" s="269" t="n"/>
      <c r="W217" s="270" t="n"/>
    </row>
    <row r="218" customFormat="1" s="163">
      <c r="A218" s="282" t="n"/>
      <c r="B218" s="277" t="n"/>
      <c r="C218" s="278" t="n"/>
      <c r="D218" s="269" t="n"/>
      <c r="E218" s="269" t="n"/>
      <c r="F218" s="269" t="n"/>
      <c r="G218" s="269" t="n"/>
      <c r="H218" s="269" t="n"/>
      <c r="I218" s="269" t="n"/>
      <c r="J218" s="269" t="n"/>
      <c r="K218" s="269" t="n"/>
      <c r="L218" s="269" t="n"/>
      <c r="M218" s="269" t="n"/>
      <c r="N218" s="269" t="n"/>
      <c r="O218" s="269" t="n"/>
      <c r="P218" s="269" t="n"/>
      <c r="Q218" s="269" t="n"/>
      <c r="R218" s="269" t="n"/>
      <c r="S218" s="269" t="n"/>
      <c r="T218" s="269" t="n"/>
      <c r="U218" s="269" t="n"/>
      <c r="V218" s="269" t="n"/>
      <c r="W218" s="270" t="n"/>
    </row>
    <row r="219" customFormat="1" s="163">
      <c r="A219" s="282" t="n"/>
      <c r="B219" s="277" t="n"/>
      <c r="C219" s="278" t="n"/>
      <c r="D219" s="269" t="n"/>
      <c r="E219" s="269" t="n"/>
      <c r="F219" s="269" t="n"/>
      <c r="G219" s="269" t="n"/>
      <c r="H219" s="269" t="n"/>
      <c r="I219" s="269" t="n"/>
      <c r="J219" s="269" t="n"/>
      <c r="K219" s="269" t="n"/>
      <c r="L219" s="269" t="n"/>
      <c r="M219" s="269" t="n"/>
      <c r="N219" s="269" t="n"/>
      <c r="O219" s="269" t="n"/>
      <c r="P219" s="269" t="n"/>
      <c r="Q219" s="269" t="n"/>
      <c r="R219" s="269" t="n"/>
      <c r="S219" s="269" t="n"/>
      <c r="T219" s="269" t="n"/>
      <c r="U219" s="269" t="n"/>
      <c r="V219" s="269" t="n"/>
      <c r="W219" s="270" t="n"/>
    </row>
    <row r="220" customFormat="1" s="163">
      <c r="A220" s="282" t="n"/>
      <c r="B220" s="277" t="n"/>
      <c r="C220" s="278" t="n"/>
      <c r="D220" s="269" t="n"/>
      <c r="E220" s="269" t="n"/>
      <c r="F220" s="269" t="n"/>
      <c r="G220" s="269" t="n"/>
      <c r="H220" s="269" t="n"/>
      <c r="I220" s="269" t="n"/>
      <c r="J220" s="269" t="n"/>
      <c r="K220" s="269" t="n"/>
      <c r="L220" s="269" t="n"/>
      <c r="M220" s="269" t="n"/>
      <c r="N220" s="269" t="n"/>
      <c r="O220" s="269" t="n"/>
      <c r="P220" s="269" t="n"/>
      <c r="Q220" s="269" t="n"/>
      <c r="R220" s="269" t="n"/>
      <c r="S220" s="269" t="n"/>
      <c r="T220" s="269" t="n"/>
      <c r="U220" s="269" t="n"/>
      <c r="V220" s="269" t="n"/>
      <c r="W220" s="270" t="n"/>
    </row>
    <row r="221" customFormat="1" s="163">
      <c r="A221" s="282" t="n"/>
      <c r="B221" s="277" t="n"/>
      <c r="C221" s="278" t="n"/>
      <c r="D221" s="269" t="n"/>
      <c r="E221" s="269" t="n"/>
      <c r="F221" s="269" t="n"/>
      <c r="G221" s="269" t="n"/>
      <c r="H221" s="269" t="n"/>
      <c r="I221" s="269" t="n"/>
      <c r="J221" s="269" t="n"/>
      <c r="K221" s="269" t="n"/>
      <c r="L221" s="269" t="n"/>
      <c r="M221" s="269" t="n"/>
      <c r="N221" s="269" t="n"/>
      <c r="O221" s="269" t="n"/>
      <c r="P221" s="269" t="n"/>
      <c r="Q221" s="269" t="n"/>
      <c r="R221" s="269" t="n"/>
      <c r="S221" s="269" t="n"/>
      <c r="T221" s="269" t="n"/>
      <c r="U221" s="269" t="n"/>
      <c r="V221" s="269" t="n"/>
      <c r="W221" s="270" t="n"/>
    </row>
    <row r="222" customFormat="1" s="163">
      <c r="A222" s="282" t="n"/>
      <c r="B222" s="277" t="n"/>
      <c r="C222" s="278" t="n"/>
      <c r="D222" s="269" t="n"/>
      <c r="E222" s="269" t="n"/>
      <c r="F222" s="269" t="n"/>
      <c r="G222" s="269" t="n"/>
      <c r="H222" s="269" t="n"/>
      <c r="I222" s="269" t="n"/>
      <c r="J222" s="269" t="n"/>
      <c r="K222" s="269" t="n"/>
      <c r="L222" s="269" t="n"/>
      <c r="M222" s="269" t="n"/>
      <c r="N222" s="269" t="n"/>
      <c r="O222" s="269" t="n"/>
      <c r="P222" s="269" t="n"/>
      <c r="Q222" s="269" t="n"/>
      <c r="R222" s="269" t="n"/>
      <c r="S222" s="269" t="n"/>
      <c r="T222" s="269" t="n"/>
      <c r="U222" s="269" t="n"/>
      <c r="V222" s="269" t="n"/>
      <c r="W222" s="270" t="n"/>
    </row>
    <row r="223" customFormat="1" s="163">
      <c r="A223" s="282" t="n"/>
      <c r="B223" s="277" t="n"/>
      <c r="C223" s="278" t="n"/>
      <c r="D223" s="269" t="n"/>
      <c r="E223" s="269" t="n"/>
      <c r="F223" s="269" t="n"/>
      <c r="G223" s="269" t="n"/>
      <c r="H223" s="269" t="n"/>
      <c r="I223" s="269" t="n"/>
      <c r="J223" s="269" t="n"/>
      <c r="K223" s="269" t="n"/>
      <c r="L223" s="269" t="n"/>
      <c r="M223" s="269" t="n"/>
      <c r="N223" s="269" t="n"/>
      <c r="O223" s="269" t="n"/>
      <c r="P223" s="269" t="n"/>
      <c r="Q223" s="269" t="n"/>
      <c r="R223" s="269" t="n"/>
      <c r="S223" s="269" t="n"/>
      <c r="T223" s="269" t="n"/>
      <c r="U223" s="269" t="n"/>
      <c r="V223" s="269" t="n"/>
      <c r="W223" s="270" t="n"/>
    </row>
    <row r="224" customFormat="1" s="163">
      <c r="A224" s="282" t="n"/>
      <c r="B224" s="277" t="n"/>
      <c r="C224" s="278" t="n"/>
      <c r="D224" s="269" t="n"/>
      <c r="E224" s="269" t="n"/>
      <c r="F224" s="269" t="n"/>
      <c r="G224" s="269" t="n"/>
      <c r="H224" s="269" t="n"/>
      <c r="I224" s="269" t="n"/>
      <c r="J224" s="269" t="n"/>
      <c r="K224" s="269" t="n"/>
      <c r="L224" s="269" t="n"/>
      <c r="M224" s="269" t="n"/>
      <c r="N224" s="269" t="n"/>
      <c r="O224" s="269" t="n"/>
      <c r="P224" s="269" t="n"/>
      <c r="Q224" s="269" t="n"/>
      <c r="R224" s="269" t="n"/>
      <c r="S224" s="269" t="n"/>
      <c r="T224" s="269" t="n"/>
      <c r="U224" s="269" t="n"/>
      <c r="V224" s="269" t="n"/>
      <c r="W224" s="270" t="n"/>
    </row>
    <row r="225" customFormat="1" s="163">
      <c r="A225" s="282" t="n"/>
      <c r="B225" s="277" t="n"/>
      <c r="C225" s="278" t="n"/>
      <c r="D225" s="269" t="n"/>
      <c r="E225" s="269" t="n"/>
      <c r="F225" s="269" t="n"/>
      <c r="G225" s="269" t="n"/>
      <c r="H225" s="269" t="n"/>
      <c r="I225" s="269" t="n"/>
      <c r="J225" s="269" t="n"/>
      <c r="K225" s="269" t="n"/>
      <c r="L225" s="269" t="n"/>
      <c r="M225" s="269" t="n"/>
      <c r="N225" s="269" t="n"/>
      <c r="O225" s="269" t="n"/>
      <c r="P225" s="269" t="n"/>
      <c r="Q225" s="269" t="n"/>
      <c r="R225" s="269" t="n"/>
      <c r="S225" s="269" t="n"/>
      <c r="T225" s="269" t="n"/>
      <c r="U225" s="269" t="n"/>
      <c r="V225" s="269" t="n"/>
      <c r="W225" s="270" t="n"/>
    </row>
    <row r="226" customFormat="1" s="163">
      <c r="A226" s="282" t="n"/>
      <c r="B226" s="277" t="n"/>
      <c r="C226" s="278" t="n"/>
      <c r="D226" s="269" t="n"/>
      <c r="E226" s="269" t="n"/>
      <c r="F226" s="269" t="n"/>
      <c r="G226" s="269" t="n"/>
      <c r="H226" s="269" t="n"/>
      <c r="I226" s="269" t="n"/>
      <c r="J226" s="269" t="n"/>
      <c r="K226" s="269" t="n"/>
      <c r="L226" s="269" t="n"/>
      <c r="M226" s="269" t="n"/>
      <c r="N226" s="269" t="n"/>
      <c r="O226" s="269" t="n"/>
      <c r="P226" s="269" t="n"/>
      <c r="Q226" s="269" t="n"/>
      <c r="R226" s="269" t="n"/>
      <c r="S226" s="269" t="n"/>
      <c r="T226" s="269" t="n"/>
      <c r="U226" s="269" t="n"/>
      <c r="V226" s="269" t="n"/>
      <c r="W226" s="270" t="n"/>
    </row>
    <row r="227" customFormat="1" s="163">
      <c r="A227" s="282" t="n"/>
      <c r="B227" s="277" t="n"/>
      <c r="C227" s="278" t="n"/>
      <c r="D227" s="269" t="n"/>
      <c r="E227" s="269" t="n"/>
      <c r="F227" s="269" t="n"/>
      <c r="G227" s="269" t="n"/>
      <c r="H227" s="269" t="n"/>
      <c r="I227" s="269" t="n"/>
      <c r="J227" s="269" t="n"/>
      <c r="K227" s="269" t="n"/>
      <c r="L227" s="269" t="n"/>
      <c r="M227" s="269" t="n"/>
      <c r="N227" s="269" t="n"/>
      <c r="O227" s="269" t="n"/>
      <c r="P227" s="269" t="n"/>
      <c r="Q227" s="269" t="n"/>
      <c r="R227" s="269" t="n"/>
      <c r="S227" s="269" t="n"/>
      <c r="T227" s="269" t="n"/>
      <c r="U227" s="269" t="n"/>
      <c r="V227" s="269" t="n"/>
      <c r="W227" s="270" t="n"/>
    </row>
    <row r="228" customFormat="1" s="163">
      <c r="A228" s="282" t="n"/>
      <c r="B228" s="277" t="n"/>
      <c r="C228" s="278" t="n"/>
      <c r="D228" s="269" t="n"/>
      <c r="E228" s="269" t="n"/>
      <c r="F228" s="269" t="n"/>
      <c r="G228" s="269" t="n"/>
      <c r="H228" s="269" t="n"/>
      <c r="I228" s="269" t="n"/>
      <c r="J228" s="269" t="n"/>
      <c r="K228" s="269" t="n"/>
      <c r="L228" s="269" t="n"/>
      <c r="M228" s="269" t="n"/>
      <c r="N228" s="269" t="n"/>
      <c r="O228" s="269" t="n"/>
      <c r="P228" s="269" t="n"/>
      <c r="Q228" s="269" t="n"/>
      <c r="R228" s="269" t="n"/>
      <c r="S228" s="269" t="n"/>
      <c r="T228" s="269" t="n"/>
      <c r="U228" s="269" t="n"/>
      <c r="V228" s="269" t="n"/>
      <c r="W228" s="270" t="n"/>
    </row>
    <row r="229" customFormat="1" s="163">
      <c r="A229" s="282" t="n"/>
      <c r="B229" s="277" t="n"/>
      <c r="C229" s="278" t="n"/>
      <c r="D229" s="269" t="n"/>
      <c r="E229" s="269" t="n"/>
      <c r="F229" s="269" t="n"/>
      <c r="G229" s="269" t="n"/>
      <c r="H229" s="269" t="n"/>
      <c r="I229" s="269" t="n"/>
      <c r="J229" s="269" t="n"/>
      <c r="K229" s="269" t="n"/>
      <c r="L229" s="269" t="n"/>
      <c r="M229" s="269" t="n"/>
      <c r="N229" s="269" t="n"/>
      <c r="O229" s="269" t="n"/>
      <c r="P229" s="269" t="n"/>
      <c r="Q229" s="269" t="n"/>
      <c r="R229" s="269" t="n"/>
      <c r="S229" s="269" t="n"/>
      <c r="T229" s="269" t="n"/>
      <c r="U229" s="269" t="n"/>
      <c r="V229" s="269" t="n"/>
      <c r="W229" s="270" t="n"/>
    </row>
    <row r="230" customFormat="1" s="163">
      <c r="A230" s="282" t="n"/>
      <c r="B230" s="277" t="n"/>
      <c r="C230" s="278" t="n"/>
      <c r="D230" s="269" t="n"/>
      <c r="E230" s="269" t="n"/>
      <c r="F230" s="269" t="n"/>
      <c r="G230" s="269" t="n"/>
      <c r="H230" s="269" t="n"/>
      <c r="I230" s="269" t="n"/>
      <c r="J230" s="269" t="n"/>
      <c r="K230" s="269" t="n"/>
      <c r="L230" s="269" t="n"/>
      <c r="M230" s="269" t="n"/>
      <c r="N230" s="269" t="n"/>
      <c r="O230" s="269" t="n"/>
      <c r="P230" s="269" t="n"/>
      <c r="Q230" s="269" t="n"/>
      <c r="R230" s="269" t="n"/>
      <c r="S230" s="269" t="n"/>
      <c r="T230" s="269" t="n"/>
      <c r="U230" s="269" t="n"/>
      <c r="V230" s="269" t="n"/>
      <c r="W230" s="270" t="n"/>
    </row>
    <row r="231" customFormat="1" s="163">
      <c r="A231" s="282" t="n"/>
      <c r="B231" s="277" t="n"/>
      <c r="C231" s="278" t="n"/>
      <c r="D231" s="269" t="n"/>
      <c r="E231" s="269" t="n"/>
      <c r="F231" s="269" t="n"/>
      <c r="G231" s="269" t="n"/>
      <c r="H231" s="269" t="n"/>
      <c r="I231" s="269" t="n"/>
      <c r="J231" s="269" t="n"/>
      <c r="K231" s="269" t="n"/>
      <c r="L231" s="269" t="n"/>
      <c r="M231" s="269" t="n"/>
      <c r="N231" s="269" t="n"/>
      <c r="O231" s="269" t="n"/>
      <c r="P231" s="269" t="n"/>
      <c r="Q231" s="269" t="n"/>
      <c r="R231" s="269" t="n"/>
      <c r="S231" s="269" t="n"/>
      <c r="T231" s="269" t="n"/>
      <c r="U231" s="269" t="n"/>
      <c r="V231" s="269" t="n"/>
      <c r="W231" s="270" t="n"/>
    </row>
    <row r="232" customFormat="1" s="163">
      <c r="A232" s="282" t="n"/>
      <c r="B232" s="277" t="n"/>
      <c r="C232" s="278" t="n"/>
      <c r="D232" s="269" t="n"/>
      <c r="E232" s="269" t="n"/>
      <c r="F232" s="269" t="n"/>
      <c r="G232" s="269" t="n"/>
      <c r="H232" s="269" t="n"/>
      <c r="I232" s="269" t="n"/>
      <c r="J232" s="269" t="n"/>
      <c r="K232" s="269" t="n"/>
      <c r="L232" s="269" t="n"/>
      <c r="M232" s="269" t="n"/>
      <c r="N232" s="269" t="n"/>
      <c r="O232" s="269" t="n"/>
      <c r="P232" s="269" t="n"/>
      <c r="Q232" s="269" t="n"/>
      <c r="R232" s="269" t="n"/>
      <c r="S232" s="269" t="n"/>
      <c r="T232" s="269" t="n"/>
      <c r="U232" s="269" t="n"/>
      <c r="V232" s="269" t="n"/>
      <c r="W232" s="270" t="n"/>
    </row>
    <row r="233" customFormat="1" s="163">
      <c r="A233" s="282" t="n"/>
      <c r="B233" s="277" t="n"/>
      <c r="C233" s="278" t="n"/>
      <c r="D233" s="269" t="n"/>
      <c r="E233" s="269" t="n"/>
      <c r="F233" s="269" t="n"/>
      <c r="G233" s="269" t="n"/>
      <c r="H233" s="269" t="n"/>
      <c r="I233" s="269" t="n"/>
      <c r="J233" s="269" t="n"/>
      <c r="K233" s="269" t="n"/>
      <c r="L233" s="269" t="n"/>
      <c r="M233" s="269" t="n"/>
      <c r="N233" s="269" t="n"/>
      <c r="O233" s="269" t="n"/>
      <c r="P233" s="269" t="n"/>
      <c r="Q233" s="269" t="n"/>
      <c r="R233" s="269" t="n"/>
      <c r="S233" s="269" t="n"/>
      <c r="T233" s="269" t="n"/>
      <c r="U233" s="269" t="n"/>
      <c r="V233" s="269" t="n"/>
      <c r="W233" s="270" t="n"/>
    </row>
    <row r="234" customFormat="1" s="163">
      <c r="A234" s="282" t="n"/>
      <c r="B234" s="277" t="n"/>
      <c r="C234" s="278" t="n"/>
      <c r="D234" s="269" t="n"/>
      <c r="E234" s="269" t="n"/>
      <c r="F234" s="269" t="n"/>
      <c r="G234" s="269" t="n"/>
      <c r="H234" s="269" t="n"/>
      <c r="I234" s="269" t="n"/>
      <c r="J234" s="269" t="n"/>
      <c r="K234" s="269" t="n"/>
      <c r="L234" s="269" t="n"/>
      <c r="M234" s="269" t="n"/>
      <c r="N234" s="269" t="n"/>
      <c r="O234" s="269" t="n"/>
      <c r="P234" s="269" t="n"/>
      <c r="Q234" s="269" t="n"/>
      <c r="R234" s="269" t="n"/>
      <c r="S234" s="269" t="n"/>
      <c r="T234" s="269" t="n"/>
      <c r="U234" s="269" t="n"/>
      <c r="V234" s="269" t="n"/>
      <c r="W234" s="270" t="n"/>
    </row>
    <row r="235" customFormat="1" s="163">
      <c r="A235" s="282" t="n"/>
      <c r="B235" s="277" t="n"/>
      <c r="C235" s="278" t="n"/>
      <c r="D235" s="269" t="n"/>
      <c r="E235" s="269" t="n"/>
      <c r="F235" s="269" t="n"/>
      <c r="G235" s="269" t="n"/>
      <c r="H235" s="269" t="n"/>
      <c r="I235" s="269" t="n"/>
      <c r="J235" s="269" t="n"/>
      <c r="K235" s="269" t="n"/>
      <c r="L235" s="269" t="n"/>
      <c r="M235" s="269" t="n"/>
      <c r="N235" s="269" t="n"/>
      <c r="O235" s="269" t="n"/>
      <c r="P235" s="269" t="n"/>
      <c r="Q235" s="269" t="n"/>
      <c r="R235" s="269" t="n"/>
      <c r="S235" s="269" t="n"/>
      <c r="T235" s="269" t="n"/>
      <c r="U235" s="269" t="n"/>
      <c r="V235" s="269" t="n"/>
      <c r="W235" s="270" t="n"/>
    </row>
    <row r="236" customFormat="1" s="163">
      <c r="A236" s="282" t="n"/>
      <c r="B236" s="277" t="n"/>
      <c r="C236" s="278" t="n"/>
      <c r="D236" s="269" t="n"/>
      <c r="E236" s="269" t="n"/>
      <c r="F236" s="269" t="n"/>
      <c r="G236" s="269" t="n"/>
      <c r="H236" s="269" t="n"/>
      <c r="I236" s="269" t="n"/>
      <c r="J236" s="269" t="n"/>
      <c r="K236" s="269" t="n"/>
      <c r="L236" s="269" t="n"/>
      <c r="M236" s="269" t="n"/>
      <c r="N236" s="269" t="n"/>
      <c r="O236" s="269" t="n"/>
      <c r="P236" s="269" t="n"/>
      <c r="Q236" s="269" t="n"/>
      <c r="R236" s="269" t="n"/>
      <c r="S236" s="269" t="n"/>
      <c r="T236" s="269" t="n"/>
      <c r="U236" s="269" t="n"/>
      <c r="V236" s="269" t="n"/>
      <c r="W236" s="270" t="n"/>
    </row>
    <row r="237" customFormat="1" s="163">
      <c r="A237" s="282" t="n"/>
      <c r="B237" s="277" t="n"/>
      <c r="C237" s="278" t="n"/>
      <c r="D237" s="269" t="n"/>
      <c r="E237" s="269" t="n"/>
      <c r="F237" s="269" t="n"/>
      <c r="G237" s="269" t="n"/>
      <c r="H237" s="269" t="n"/>
      <c r="I237" s="269" t="n"/>
      <c r="J237" s="269" t="n"/>
      <c r="K237" s="269" t="n"/>
      <c r="L237" s="269" t="n"/>
      <c r="M237" s="269" t="n"/>
      <c r="N237" s="269" t="n"/>
      <c r="O237" s="269" t="n"/>
      <c r="P237" s="269" t="n"/>
      <c r="Q237" s="269" t="n"/>
      <c r="R237" s="269" t="n"/>
      <c r="S237" s="269" t="n"/>
      <c r="T237" s="269" t="n"/>
      <c r="U237" s="269" t="n"/>
      <c r="V237" s="269" t="n"/>
      <c r="W237" s="270" t="n"/>
    </row>
    <row r="238" customFormat="1" s="163">
      <c r="A238" s="282" t="n"/>
      <c r="B238" s="277" t="n"/>
      <c r="C238" s="278" t="n"/>
      <c r="D238" s="269" t="n"/>
      <c r="E238" s="269" t="n"/>
      <c r="F238" s="269" t="n"/>
      <c r="G238" s="269" t="n"/>
      <c r="H238" s="269" t="n"/>
      <c r="I238" s="269" t="n"/>
      <c r="J238" s="269" t="n"/>
      <c r="K238" s="269" t="n"/>
      <c r="L238" s="269" t="n"/>
      <c r="M238" s="269" t="n"/>
      <c r="N238" s="269" t="n"/>
      <c r="O238" s="269" t="n"/>
      <c r="P238" s="269" t="n"/>
      <c r="Q238" s="269" t="n"/>
      <c r="R238" s="269" t="n"/>
      <c r="S238" s="269" t="n"/>
      <c r="T238" s="269" t="n"/>
      <c r="U238" s="269" t="n"/>
      <c r="V238" s="269" t="n"/>
      <c r="W238" s="270" t="n"/>
    </row>
    <row r="239" customFormat="1" s="163">
      <c r="A239" s="282" t="n"/>
      <c r="B239" s="277" t="n"/>
      <c r="C239" s="278" t="n"/>
      <c r="D239" s="269" t="n"/>
      <c r="E239" s="269" t="n"/>
      <c r="F239" s="269" t="n"/>
      <c r="G239" s="269" t="n"/>
      <c r="H239" s="269" t="n"/>
      <c r="I239" s="269" t="n"/>
      <c r="J239" s="269" t="n"/>
      <c r="K239" s="269" t="n"/>
      <c r="L239" s="269" t="n"/>
      <c r="M239" s="269" t="n"/>
      <c r="N239" s="269" t="n"/>
      <c r="O239" s="269" t="n"/>
      <c r="P239" s="269" t="n"/>
      <c r="Q239" s="269" t="n"/>
      <c r="R239" s="269" t="n"/>
      <c r="S239" s="269" t="n"/>
      <c r="T239" s="269" t="n"/>
      <c r="U239" s="269" t="n"/>
      <c r="V239" s="269" t="n"/>
      <c r="W239" s="270" t="n"/>
    </row>
    <row r="240" customFormat="1" s="163">
      <c r="A240" s="282" t="n"/>
      <c r="B240" s="277" t="n"/>
      <c r="C240" s="278" t="n"/>
      <c r="D240" s="269" t="n"/>
      <c r="E240" s="269" t="n"/>
      <c r="F240" s="269" t="n"/>
      <c r="G240" s="269" t="n"/>
      <c r="H240" s="269" t="n"/>
      <c r="I240" s="269" t="n"/>
      <c r="J240" s="269" t="n"/>
      <c r="K240" s="269" t="n"/>
      <c r="L240" s="269" t="n"/>
      <c r="M240" s="269" t="n"/>
      <c r="N240" s="269" t="n"/>
      <c r="O240" s="269" t="n"/>
      <c r="P240" s="269" t="n"/>
      <c r="Q240" s="269" t="n"/>
      <c r="R240" s="269" t="n"/>
      <c r="S240" s="269" t="n"/>
      <c r="T240" s="269" t="n"/>
      <c r="U240" s="269" t="n"/>
      <c r="V240" s="269" t="n"/>
      <c r="W240" s="270" t="n"/>
    </row>
    <row r="241" customFormat="1" s="163">
      <c r="A241" s="282" t="n"/>
      <c r="B241" s="277" t="n"/>
      <c r="C241" s="278" t="n"/>
      <c r="D241" s="269" t="n"/>
      <c r="E241" s="269" t="n"/>
      <c r="F241" s="269" t="n"/>
      <c r="G241" s="269" t="n"/>
      <c r="H241" s="269" t="n"/>
      <c r="I241" s="269" t="n"/>
      <c r="J241" s="269" t="n"/>
      <c r="K241" s="269" t="n"/>
      <c r="L241" s="269" t="n"/>
      <c r="M241" s="269" t="n"/>
      <c r="N241" s="269" t="n"/>
      <c r="O241" s="269" t="n"/>
      <c r="P241" s="269" t="n"/>
      <c r="Q241" s="269" t="n"/>
      <c r="R241" s="269" t="n"/>
      <c r="S241" s="269" t="n"/>
      <c r="T241" s="269" t="n"/>
      <c r="U241" s="269" t="n"/>
      <c r="V241" s="269" t="n"/>
      <c r="W241" s="270" t="n"/>
    </row>
    <row r="242" customFormat="1" s="163">
      <c r="A242" s="282" t="n"/>
      <c r="B242" s="277" t="n"/>
      <c r="C242" s="278" t="n"/>
      <c r="D242" s="269" t="n"/>
      <c r="E242" s="269" t="n"/>
      <c r="F242" s="269" t="n"/>
      <c r="G242" s="269" t="n"/>
      <c r="H242" s="269" t="n"/>
      <c r="I242" s="269" t="n"/>
      <c r="J242" s="269" t="n"/>
      <c r="K242" s="269" t="n"/>
      <c r="L242" s="269" t="n"/>
      <c r="M242" s="269" t="n"/>
      <c r="N242" s="269" t="n"/>
      <c r="O242" s="269" t="n"/>
      <c r="P242" s="269" t="n"/>
      <c r="Q242" s="269" t="n"/>
      <c r="R242" s="269" t="n"/>
      <c r="S242" s="269" t="n"/>
      <c r="T242" s="269" t="n"/>
      <c r="U242" s="269" t="n"/>
      <c r="V242" s="269" t="n"/>
      <c r="W242" s="270" t="n"/>
    </row>
    <row r="243" customFormat="1" s="163">
      <c r="A243" s="282" t="n"/>
      <c r="B243" s="277" t="n"/>
      <c r="C243" s="278" t="n"/>
      <c r="D243" s="269" t="n"/>
      <c r="E243" s="269" t="n"/>
      <c r="F243" s="269" t="n"/>
      <c r="G243" s="269" t="n"/>
      <c r="H243" s="269" t="n"/>
      <c r="I243" s="269" t="n"/>
      <c r="J243" s="269" t="n"/>
      <c r="K243" s="269" t="n"/>
      <c r="L243" s="269" t="n"/>
      <c r="M243" s="269" t="n"/>
      <c r="N243" s="269" t="n"/>
      <c r="O243" s="269" t="n"/>
      <c r="P243" s="269" t="n"/>
      <c r="Q243" s="269" t="n"/>
      <c r="R243" s="269" t="n"/>
      <c r="S243" s="269" t="n"/>
      <c r="T243" s="269" t="n"/>
      <c r="U243" s="269" t="n"/>
      <c r="V243" s="269" t="n"/>
      <c r="W243" s="270" t="n"/>
    </row>
    <row r="244" customFormat="1" s="163">
      <c r="A244" s="282" t="n"/>
      <c r="B244" s="277" t="n"/>
      <c r="C244" s="278" t="n"/>
      <c r="D244" s="269" t="n"/>
      <c r="E244" s="269" t="n"/>
      <c r="F244" s="269" t="n"/>
      <c r="G244" s="269" t="n"/>
      <c r="H244" s="269" t="n"/>
      <c r="I244" s="269" t="n"/>
      <c r="J244" s="269" t="n"/>
      <c r="K244" s="269" t="n"/>
      <c r="L244" s="269" t="n"/>
      <c r="M244" s="269" t="n"/>
      <c r="N244" s="269" t="n"/>
      <c r="O244" s="269" t="n"/>
      <c r="P244" s="269" t="n"/>
      <c r="Q244" s="269" t="n"/>
      <c r="R244" s="269" t="n"/>
      <c r="S244" s="269" t="n"/>
      <c r="T244" s="269" t="n"/>
      <c r="U244" s="269" t="n"/>
      <c r="V244" s="269" t="n"/>
      <c r="W244" s="270" t="n"/>
    </row>
    <row r="245" customFormat="1" s="163">
      <c r="A245" s="282" t="n"/>
      <c r="B245" s="277" t="n"/>
      <c r="C245" s="278" t="n"/>
      <c r="D245" s="269" t="n"/>
      <c r="E245" s="269" t="n"/>
      <c r="F245" s="269" t="n"/>
      <c r="G245" s="269" t="n"/>
      <c r="H245" s="269" t="n"/>
      <c r="I245" s="269" t="n"/>
      <c r="J245" s="269" t="n"/>
      <c r="K245" s="269" t="n"/>
      <c r="L245" s="269" t="n"/>
      <c r="M245" s="269" t="n"/>
      <c r="N245" s="269" t="n"/>
      <c r="O245" s="269" t="n"/>
      <c r="P245" s="269" t="n"/>
      <c r="Q245" s="269" t="n"/>
      <c r="R245" s="269" t="n"/>
      <c r="S245" s="269" t="n"/>
      <c r="T245" s="269" t="n"/>
      <c r="U245" s="269" t="n"/>
      <c r="V245" s="269" t="n"/>
      <c r="W245" s="270" t="n"/>
    </row>
    <row r="246" customFormat="1" s="163">
      <c r="A246" s="282" t="n"/>
      <c r="B246" s="277" t="n"/>
      <c r="C246" s="278" t="n"/>
      <c r="D246" s="269" t="n"/>
      <c r="E246" s="269" t="n"/>
      <c r="F246" s="269" t="n"/>
      <c r="G246" s="269" t="n"/>
      <c r="H246" s="269" t="n"/>
      <c r="I246" s="269" t="n"/>
      <c r="J246" s="269" t="n"/>
      <c r="K246" s="269" t="n"/>
      <c r="L246" s="269" t="n"/>
      <c r="M246" s="269" t="n"/>
      <c r="N246" s="269" t="n"/>
      <c r="O246" s="269" t="n"/>
      <c r="P246" s="269" t="n"/>
      <c r="Q246" s="269" t="n"/>
      <c r="R246" s="269" t="n"/>
      <c r="S246" s="269" t="n"/>
      <c r="T246" s="269" t="n"/>
      <c r="U246" s="269" t="n"/>
      <c r="V246" s="269" t="n"/>
      <c r="W246" s="270" t="n"/>
    </row>
    <row r="247" customFormat="1" s="163">
      <c r="A247" s="282" t="n"/>
      <c r="B247" s="277" t="n"/>
      <c r="C247" s="278" t="n"/>
      <c r="D247" s="269" t="n"/>
      <c r="E247" s="269" t="n"/>
      <c r="F247" s="269" t="n"/>
      <c r="G247" s="269" t="n"/>
      <c r="H247" s="269" t="n"/>
      <c r="I247" s="269" t="n"/>
      <c r="J247" s="269" t="n"/>
      <c r="K247" s="269" t="n"/>
      <c r="L247" s="269" t="n"/>
      <c r="M247" s="269" t="n"/>
      <c r="N247" s="269" t="n"/>
      <c r="O247" s="269" t="n"/>
      <c r="P247" s="269" t="n"/>
      <c r="Q247" s="269" t="n"/>
      <c r="R247" s="269" t="n"/>
      <c r="S247" s="269" t="n"/>
      <c r="T247" s="269" t="n"/>
      <c r="U247" s="269" t="n"/>
      <c r="V247" s="269" t="n"/>
      <c r="W247" s="270" t="n"/>
    </row>
    <row r="248" customFormat="1" s="163">
      <c r="A248" s="282" t="n"/>
      <c r="B248" s="277" t="n"/>
      <c r="C248" s="278" t="n"/>
      <c r="D248" s="269" t="n"/>
      <c r="E248" s="269" t="n"/>
      <c r="F248" s="269" t="n"/>
      <c r="G248" s="269" t="n"/>
      <c r="H248" s="269" t="n"/>
      <c r="I248" s="269" t="n"/>
      <c r="J248" s="269" t="n"/>
      <c r="K248" s="269" t="n"/>
      <c r="L248" s="269" t="n"/>
      <c r="M248" s="269" t="n"/>
      <c r="N248" s="269" t="n"/>
      <c r="O248" s="269" t="n"/>
      <c r="P248" s="269" t="n"/>
      <c r="Q248" s="269" t="n"/>
      <c r="R248" s="269" t="n"/>
      <c r="S248" s="269" t="n"/>
      <c r="T248" s="269" t="n"/>
      <c r="U248" s="269" t="n"/>
      <c r="V248" s="269" t="n"/>
      <c r="W248" s="270" t="n"/>
    </row>
    <row r="249" customFormat="1" s="163">
      <c r="A249" s="282" t="n"/>
      <c r="B249" s="277" t="n"/>
      <c r="C249" s="278" t="n"/>
      <c r="D249" s="269" t="n"/>
      <c r="E249" s="269" t="n"/>
      <c r="F249" s="269" t="n"/>
      <c r="G249" s="269" t="n"/>
      <c r="H249" s="269" t="n"/>
      <c r="I249" s="269" t="n"/>
      <c r="J249" s="269" t="n"/>
      <c r="K249" s="269" t="n"/>
      <c r="L249" s="269" t="n"/>
      <c r="M249" s="269" t="n"/>
      <c r="N249" s="269" t="n"/>
      <c r="O249" s="269" t="n"/>
      <c r="P249" s="269" t="n"/>
      <c r="Q249" s="269" t="n"/>
      <c r="R249" s="269" t="n"/>
      <c r="S249" s="269" t="n"/>
      <c r="T249" s="269" t="n"/>
      <c r="U249" s="269" t="n"/>
      <c r="V249" s="269" t="n"/>
      <c r="W249" s="270" t="n"/>
    </row>
    <row r="250" customFormat="1" s="163">
      <c r="A250" s="282" t="n"/>
      <c r="B250" s="277" t="n"/>
      <c r="C250" s="278" t="n"/>
      <c r="D250" s="269" t="n"/>
      <c r="E250" s="269" t="n"/>
      <c r="F250" s="269" t="n"/>
      <c r="G250" s="269" t="n"/>
      <c r="H250" s="269" t="n"/>
      <c r="I250" s="269" t="n"/>
      <c r="J250" s="269" t="n"/>
      <c r="K250" s="269" t="n"/>
      <c r="L250" s="269" t="n"/>
      <c r="M250" s="269" t="n"/>
      <c r="N250" s="269" t="n"/>
      <c r="O250" s="269" t="n"/>
      <c r="P250" s="269" t="n"/>
      <c r="Q250" s="269" t="n"/>
      <c r="R250" s="269" t="n"/>
      <c r="S250" s="269" t="n"/>
      <c r="T250" s="269" t="n"/>
      <c r="U250" s="269" t="n"/>
      <c r="V250" s="269" t="n"/>
      <c r="W250" s="270" t="n"/>
    </row>
    <row r="251" customFormat="1" s="163">
      <c r="A251" s="282" t="n"/>
      <c r="B251" s="277" t="n"/>
      <c r="C251" s="278" t="n"/>
      <c r="D251" s="269" t="n"/>
      <c r="E251" s="269" t="n"/>
      <c r="F251" s="269" t="n"/>
      <c r="G251" s="269" t="n"/>
      <c r="H251" s="269" t="n"/>
      <c r="I251" s="269" t="n"/>
      <c r="J251" s="269" t="n"/>
      <c r="K251" s="269" t="n"/>
      <c r="L251" s="269" t="n"/>
      <c r="M251" s="269" t="n"/>
      <c r="N251" s="269" t="n"/>
      <c r="O251" s="269" t="n"/>
      <c r="P251" s="269" t="n"/>
      <c r="Q251" s="269" t="n"/>
      <c r="R251" s="269" t="n"/>
      <c r="S251" s="269" t="n"/>
      <c r="T251" s="269" t="n"/>
      <c r="U251" s="269" t="n"/>
      <c r="V251" s="269" t="n"/>
      <c r="W251" s="270" t="n"/>
    </row>
    <row r="252" customFormat="1" s="163">
      <c r="A252" s="282" t="n"/>
      <c r="B252" s="277" t="n"/>
      <c r="C252" s="278" t="n"/>
      <c r="D252" s="269" t="n"/>
      <c r="E252" s="269" t="n"/>
      <c r="F252" s="269" t="n"/>
      <c r="G252" s="269" t="n"/>
      <c r="H252" s="269" t="n"/>
      <c r="I252" s="269" t="n"/>
      <c r="J252" s="269" t="n"/>
      <c r="K252" s="269" t="n"/>
      <c r="L252" s="269" t="n"/>
      <c r="M252" s="269" t="n"/>
      <c r="N252" s="269" t="n"/>
      <c r="O252" s="269" t="n"/>
      <c r="P252" s="269" t="n"/>
      <c r="Q252" s="269" t="n"/>
      <c r="R252" s="269" t="n"/>
      <c r="S252" s="269" t="n"/>
      <c r="T252" s="269" t="n"/>
      <c r="U252" s="269" t="n"/>
      <c r="V252" s="269" t="n"/>
      <c r="W252" s="270" t="n"/>
    </row>
    <row r="253" customFormat="1" s="163">
      <c r="A253" s="282" t="n"/>
      <c r="B253" s="277" t="n"/>
      <c r="C253" s="278" t="n"/>
      <c r="D253" s="269" t="n"/>
      <c r="E253" s="269" t="n"/>
      <c r="F253" s="269" t="n"/>
      <c r="G253" s="269" t="n"/>
      <c r="H253" s="269" t="n"/>
      <c r="I253" s="269" t="n"/>
      <c r="J253" s="269" t="n"/>
      <c r="K253" s="269" t="n"/>
      <c r="L253" s="269" t="n"/>
      <c r="M253" s="269" t="n"/>
      <c r="N253" s="269" t="n"/>
      <c r="O253" s="269" t="n"/>
      <c r="P253" s="269" t="n"/>
      <c r="Q253" s="269" t="n"/>
      <c r="R253" s="269" t="n"/>
      <c r="S253" s="269" t="n"/>
      <c r="T253" s="269" t="n"/>
      <c r="U253" s="269" t="n"/>
      <c r="V253" s="269" t="n"/>
      <c r="W253" s="270" t="n"/>
    </row>
    <row r="254" customFormat="1" s="163">
      <c r="A254" s="282" t="n"/>
      <c r="B254" s="277" t="n"/>
      <c r="C254" s="278" t="n"/>
      <c r="D254" s="269" t="n"/>
      <c r="E254" s="269" t="n"/>
      <c r="F254" s="269" t="n"/>
      <c r="G254" s="269" t="n"/>
      <c r="H254" s="269" t="n"/>
      <c r="I254" s="269" t="n"/>
      <c r="J254" s="269" t="n"/>
      <c r="K254" s="269" t="n"/>
      <c r="L254" s="269" t="n"/>
      <c r="M254" s="269" t="n"/>
      <c r="N254" s="269" t="n"/>
      <c r="O254" s="269" t="n"/>
      <c r="P254" s="269" t="n"/>
      <c r="Q254" s="269" t="n"/>
      <c r="R254" s="269" t="n"/>
      <c r="S254" s="269" t="n"/>
      <c r="T254" s="269" t="n"/>
      <c r="U254" s="269" t="n"/>
      <c r="V254" s="269" t="n"/>
      <c r="W254" s="270" t="n"/>
    </row>
    <row r="255" customFormat="1" s="163">
      <c r="A255" s="282" t="n"/>
      <c r="B255" s="277" t="n"/>
      <c r="C255" s="278" t="n"/>
      <c r="D255" s="269" t="n"/>
      <c r="E255" s="269" t="n"/>
      <c r="F255" s="269" t="n"/>
      <c r="G255" s="269" t="n"/>
      <c r="H255" s="269" t="n"/>
      <c r="I255" s="269" t="n"/>
      <c r="J255" s="269" t="n"/>
      <c r="K255" s="269" t="n"/>
      <c r="L255" s="269" t="n"/>
      <c r="M255" s="269" t="n"/>
      <c r="N255" s="269" t="n"/>
      <c r="O255" s="269" t="n"/>
      <c r="P255" s="269" t="n"/>
      <c r="Q255" s="269" t="n"/>
      <c r="R255" s="269" t="n"/>
      <c r="S255" s="269" t="n"/>
      <c r="T255" s="269" t="n"/>
      <c r="U255" s="269" t="n"/>
      <c r="V255" s="269" t="n"/>
      <c r="W255" s="270" t="n"/>
    </row>
    <row r="256" customFormat="1" s="163">
      <c r="A256" s="282" t="n"/>
      <c r="B256" s="277" t="n"/>
      <c r="C256" s="278" t="n"/>
      <c r="D256" s="269" t="n"/>
      <c r="E256" s="269" t="n"/>
      <c r="F256" s="269" t="n"/>
      <c r="G256" s="269" t="n"/>
      <c r="H256" s="269" t="n"/>
      <c r="I256" s="269" t="n"/>
      <c r="J256" s="269" t="n"/>
      <c r="K256" s="269" t="n"/>
      <c r="L256" s="269" t="n"/>
      <c r="M256" s="269" t="n"/>
      <c r="N256" s="269" t="n"/>
      <c r="O256" s="269" t="n"/>
      <c r="P256" s="269" t="n"/>
      <c r="Q256" s="269" t="n"/>
      <c r="R256" s="269" t="n"/>
      <c r="S256" s="269" t="n"/>
      <c r="T256" s="269" t="n"/>
      <c r="U256" s="269" t="n"/>
      <c r="V256" s="269" t="n"/>
      <c r="W256" s="270" t="n"/>
    </row>
    <row r="257" customFormat="1" s="163">
      <c r="A257" s="282" t="n"/>
      <c r="B257" s="277" t="n"/>
      <c r="C257" s="278" t="n"/>
      <c r="D257" s="269" t="n"/>
      <c r="E257" s="269" t="n"/>
      <c r="F257" s="269" t="n"/>
      <c r="G257" s="269" t="n"/>
      <c r="H257" s="269" t="n"/>
      <c r="I257" s="269" t="n"/>
      <c r="J257" s="269" t="n"/>
      <c r="K257" s="269" t="n"/>
      <c r="L257" s="269" t="n"/>
      <c r="M257" s="269" t="n"/>
      <c r="N257" s="269" t="n"/>
      <c r="O257" s="269" t="n"/>
      <c r="P257" s="269" t="n"/>
      <c r="Q257" s="269" t="n"/>
      <c r="R257" s="269" t="n"/>
      <c r="S257" s="269" t="n"/>
      <c r="T257" s="269" t="n"/>
      <c r="U257" s="269" t="n"/>
      <c r="V257" s="269" t="n"/>
      <c r="W257" s="270" t="n"/>
    </row>
    <row r="258" customFormat="1" s="163">
      <c r="A258" s="282" t="n"/>
      <c r="B258" s="277" t="n"/>
      <c r="C258" s="278" t="n"/>
      <c r="D258" s="269" t="n"/>
      <c r="E258" s="269" t="n"/>
      <c r="F258" s="269" t="n"/>
      <c r="G258" s="269" t="n"/>
      <c r="H258" s="269" t="n"/>
      <c r="I258" s="269" t="n"/>
      <c r="J258" s="269" t="n"/>
      <c r="K258" s="269" t="n"/>
      <c r="L258" s="269" t="n"/>
      <c r="M258" s="269" t="n"/>
      <c r="N258" s="269" t="n"/>
      <c r="O258" s="269" t="n"/>
      <c r="P258" s="269" t="n"/>
      <c r="Q258" s="269" t="n"/>
      <c r="R258" s="269" t="n"/>
      <c r="S258" s="269" t="n"/>
      <c r="T258" s="269" t="n"/>
      <c r="U258" s="269" t="n"/>
      <c r="V258" s="269" t="n"/>
      <c r="W258" s="270" t="n"/>
    </row>
    <row r="259" customFormat="1" s="163">
      <c r="A259" s="282" t="n"/>
      <c r="B259" s="277" t="n"/>
      <c r="C259" s="278" t="n"/>
      <c r="D259" s="269" t="n"/>
      <c r="E259" s="269" t="n"/>
      <c r="F259" s="269" t="n"/>
      <c r="G259" s="269" t="n"/>
      <c r="H259" s="269" t="n"/>
      <c r="I259" s="269" t="n"/>
      <c r="J259" s="269" t="n"/>
      <c r="K259" s="269" t="n"/>
      <c r="L259" s="269" t="n"/>
      <c r="M259" s="269" t="n"/>
      <c r="N259" s="269" t="n"/>
      <c r="O259" s="269" t="n"/>
      <c r="P259" s="269" t="n"/>
      <c r="Q259" s="269" t="n"/>
      <c r="R259" s="269" t="n"/>
      <c r="S259" s="269" t="n"/>
      <c r="T259" s="269" t="n"/>
      <c r="U259" s="269" t="n"/>
      <c r="V259" s="269" t="n"/>
      <c r="W259" s="270" t="n"/>
    </row>
    <row r="260" customFormat="1" s="163">
      <c r="A260" s="282" t="n"/>
      <c r="B260" s="277" t="n"/>
      <c r="C260" s="278" t="n"/>
      <c r="D260" s="269" t="n"/>
      <c r="E260" s="269" t="n"/>
      <c r="F260" s="269" t="n"/>
      <c r="G260" s="269" t="n"/>
      <c r="H260" s="269" t="n"/>
      <c r="I260" s="269" t="n"/>
      <c r="J260" s="269" t="n"/>
      <c r="K260" s="269" t="n"/>
      <c r="L260" s="269" t="n"/>
      <c r="M260" s="269" t="n"/>
      <c r="N260" s="269" t="n"/>
      <c r="O260" s="269" t="n"/>
      <c r="P260" s="269" t="n"/>
      <c r="Q260" s="269" t="n"/>
      <c r="R260" s="269" t="n"/>
      <c r="S260" s="269" t="n"/>
      <c r="T260" s="269" t="n"/>
      <c r="U260" s="269" t="n"/>
      <c r="V260" s="269" t="n"/>
      <c r="W260" s="270" t="n"/>
    </row>
    <row r="261" customFormat="1" s="163">
      <c r="A261" s="282" t="n"/>
      <c r="B261" s="277" t="n"/>
      <c r="C261" s="278" t="n"/>
      <c r="D261" s="269" t="n"/>
      <c r="E261" s="269" t="n"/>
      <c r="F261" s="269" t="n"/>
      <c r="G261" s="269" t="n"/>
      <c r="H261" s="269" t="n"/>
      <c r="I261" s="269" t="n"/>
      <c r="J261" s="269" t="n"/>
      <c r="K261" s="269" t="n"/>
      <c r="L261" s="269" t="n"/>
      <c r="M261" s="269" t="n"/>
      <c r="N261" s="269" t="n"/>
      <c r="O261" s="269" t="n"/>
      <c r="P261" s="269" t="n"/>
      <c r="Q261" s="269" t="n"/>
      <c r="R261" s="269" t="n"/>
      <c r="S261" s="269" t="n"/>
      <c r="T261" s="269" t="n"/>
      <c r="U261" s="269" t="n"/>
      <c r="V261" s="269" t="n"/>
      <c r="W261" s="270" t="n"/>
    </row>
    <row r="262" customFormat="1" s="163">
      <c r="A262" s="282" t="n"/>
      <c r="B262" s="277" t="n"/>
      <c r="C262" s="278" t="n"/>
      <c r="D262" s="269" t="n"/>
      <c r="E262" s="269" t="n"/>
      <c r="F262" s="269" t="n"/>
      <c r="G262" s="269" t="n"/>
      <c r="H262" s="269" t="n"/>
      <c r="I262" s="269" t="n"/>
      <c r="J262" s="269" t="n"/>
      <c r="K262" s="269" t="n"/>
      <c r="L262" s="269" t="n"/>
      <c r="M262" s="269" t="n"/>
      <c r="N262" s="269" t="n"/>
      <c r="O262" s="269" t="n"/>
      <c r="P262" s="269" t="n"/>
      <c r="Q262" s="269" t="n"/>
      <c r="R262" s="269" t="n"/>
      <c r="S262" s="269" t="n"/>
      <c r="T262" s="269" t="n"/>
      <c r="U262" s="269" t="n"/>
      <c r="V262" s="269" t="n"/>
      <c r="W262" s="270" t="n"/>
    </row>
    <row r="263" customFormat="1" s="163">
      <c r="A263" s="282" t="n"/>
      <c r="B263" s="277" t="n"/>
      <c r="C263" s="278" t="n"/>
      <c r="D263" s="269" t="n"/>
      <c r="E263" s="269" t="n"/>
      <c r="F263" s="269" t="n"/>
      <c r="G263" s="269" t="n"/>
      <c r="H263" s="269" t="n"/>
      <c r="I263" s="269" t="n"/>
      <c r="J263" s="269" t="n"/>
      <c r="K263" s="269" t="n"/>
      <c r="L263" s="269" t="n"/>
      <c r="M263" s="269" t="n"/>
      <c r="N263" s="269" t="n"/>
      <c r="O263" s="269" t="n"/>
      <c r="P263" s="269" t="n"/>
      <c r="Q263" s="269" t="n"/>
      <c r="R263" s="269" t="n"/>
      <c r="S263" s="269" t="n"/>
      <c r="T263" s="269" t="n"/>
      <c r="U263" s="269" t="n"/>
      <c r="V263" s="269" t="n"/>
      <c r="W263" s="270" t="n"/>
    </row>
    <row r="264" customFormat="1" s="163">
      <c r="A264" s="282" t="n"/>
      <c r="B264" s="277" t="n"/>
      <c r="C264" s="278" t="n"/>
      <c r="D264" s="269" t="n"/>
      <c r="E264" s="269" t="n"/>
      <c r="F264" s="269" t="n"/>
      <c r="G264" s="269" t="n"/>
      <c r="H264" s="269" t="n"/>
      <c r="I264" s="269" t="n"/>
      <c r="J264" s="269" t="n"/>
      <c r="K264" s="269" t="n"/>
      <c r="L264" s="269" t="n"/>
      <c r="M264" s="269" t="n"/>
      <c r="N264" s="269" t="n"/>
      <c r="O264" s="269" t="n"/>
      <c r="P264" s="269" t="n"/>
      <c r="Q264" s="269" t="n"/>
      <c r="R264" s="269" t="n"/>
      <c r="S264" s="269" t="n"/>
      <c r="T264" s="269" t="n"/>
      <c r="U264" s="269" t="n"/>
      <c r="V264" s="269" t="n"/>
      <c r="W264" s="270" t="n"/>
    </row>
    <row r="265" customFormat="1" s="163">
      <c r="A265" s="282" t="n"/>
      <c r="B265" s="277" t="n"/>
      <c r="C265" s="278" t="n"/>
      <c r="D265" s="269" t="n"/>
      <c r="E265" s="269" t="n"/>
      <c r="F265" s="269" t="n"/>
      <c r="G265" s="269" t="n"/>
      <c r="H265" s="269" t="n"/>
      <c r="I265" s="269" t="n"/>
      <c r="J265" s="269" t="n"/>
      <c r="K265" s="269" t="n"/>
      <c r="L265" s="269" t="n"/>
      <c r="M265" s="269" t="n"/>
      <c r="N265" s="269" t="n"/>
      <c r="O265" s="269" t="n"/>
      <c r="P265" s="269" t="n"/>
      <c r="Q265" s="269" t="n"/>
      <c r="R265" s="269" t="n"/>
      <c r="S265" s="269" t="n"/>
      <c r="T265" s="269" t="n"/>
      <c r="U265" s="269" t="n"/>
      <c r="V265" s="269" t="n"/>
      <c r="W265" s="270" t="n"/>
    </row>
    <row r="266" customFormat="1" s="163">
      <c r="A266" s="282" t="n"/>
      <c r="B266" s="277" t="n"/>
      <c r="C266" s="278" t="n"/>
      <c r="D266" s="269" t="n"/>
      <c r="E266" s="269" t="n"/>
      <c r="F266" s="269" t="n"/>
      <c r="G266" s="269" t="n"/>
      <c r="H266" s="269" t="n"/>
      <c r="I266" s="269" t="n"/>
      <c r="J266" s="269" t="n"/>
      <c r="K266" s="269" t="n"/>
      <c r="L266" s="269" t="n"/>
      <c r="M266" s="269" t="n"/>
      <c r="N266" s="269" t="n"/>
      <c r="O266" s="269" t="n"/>
      <c r="P266" s="269" t="n"/>
      <c r="Q266" s="269" t="n"/>
      <c r="R266" s="269" t="n"/>
      <c r="S266" s="269" t="n"/>
      <c r="T266" s="269" t="n"/>
      <c r="U266" s="269" t="n"/>
      <c r="V266" s="269" t="n"/>
      <c r="W266" s="270" t="n"/>
    </row>
    <row r="267" customFormat="1" s="163">
      <c r="A267" s="282" t="n"/>
      <c r="B267" s="277" t="n"/>
      <c r="C267" s="278" t="n"/>
      <c r="D267" s="269" t="n"/>
      <c r="E267" s="269" t="n"/>
      <c r="F267" s="269" t="n"/>
      <c r="G267" s="269" t="n"/>
      <c r="H267" s="269" t="n"/>
      <c r="I267" s="269" t="n"/>
      <c r="J267" s="269" t="n"/>
      <c r="K267" s="269" t="n"/>
      <c r="L267" s="269" t="n"/>
      <c r="M267" s="269" t="n"/>
      <c r="N267" s="269" t="n"/>
      <c r="O267" s="269" t="n"/>
      <c r="P267" s="269" t="n"/>
      <c r="Q267" s="269" t="n"/>
      <c r="R267" s="269" t="n"/>
      <c r="S267" s="269" t="n"/>
      <c r="T267" s="269" t="n"/>
      <c r="U267" s="269" t="n"/>
      <c r="V267" s="269" t="n"/>
      <c r="W267" s="270" t="n"/>
    </row>
    <row r="268" customFormat="1" s="163">
      <c r="A268" s="282" t="n"/>
      <c r="B268" s="277" t="n"/>
      <c r="C268" s="278" t="n"/>
      <c r="D268" s="269" t="n"/>
      <c r="E268" s="269" t="n"/>
      <c r="F268" s="269" t="n"/>
      <c r="G268" s="269" t="n"/>
      <c r="H268" s="269" t="n"/>
      <c r="I268" s="269" t="n"/>
      <c r="J268" s="269" t="n"/>
      <c r="K268" s="269" t="n"/>
      <c r="L268" s="269" t="n"/>
      <c r="M268" s="269" t="n"/>
      <c r="N268" s="269" t="n"/>
      <c r="O268" s="269" t="n"/>
      <c r="P268" s="269" t="n"/>
      <c r="Q268" s="269" t="n"/>
      <c r="R268" s="269" t="n"/>
      <c r="S268" s="269" t="n"/>
      <c r="T268" s="269" t="n"/>
      <c r="U268" s="269" t="n"/>
      <c r="V268" s="269" t="n"/>
      <c r="W268" s="270" t="n"/>
    </row>
    <row r="269" customFormat="1" s="163">
      <c r="A269" s="282" t="n"/>
      <c r="B269" s="277" t="n"/>
      <c r="C269" s="278" t="n"/>
      <c r="D269" s="269" t="n"/>
      <c r="E269" s="269" t="n"/>
      <c r="F269" s="269" t="n"/>
      <c r="G269" s="269" t="n"/>
      <c r="H269" s="269" t="n"/>
      <c r="I269" s="269" t="n"/>
      <c r="J269" s="269" t="n"/>
      <c r="K269" s="269" t="n"/>
      <c r="L269" s="269" t="n"/>
      <c r="M269" s="269" t="n"/>
      <c r="N269" s="269" t="n"/>
      <c r="O269" s="269" t="n"/>
      <c r="P269" s="269" t="n"/>
      <c r="Q269" s="269" t="n"/>
      <c r="R269" s="269" t="n"/>
      <c r="S269" s="269" t="n"/>
      <c r="T269" s="269" t="n"/>
      <c r="U269" s="269" t="n"/>
      <c r="V269" s="269" t="n"/>
      <c r="W269" s="270" t="n"/>
    </row>
    <row r="270" customFormat="1" s="163">
      <c r="A270" s="282" t="n"/>
      <c r="B270" s="277" t="n"/>
      <c r="C270" s="278" t="n"/>
      <c r="D270" s="269" t="n"/>
      <c r="E270" s="269" t="n"/>
      <c r="F270" s="269" t="n"/>
      <c r="G270" s="269" t="n"/>
      <c r="H270" s="269" t="n"/>
      <c r="I270" s="269" t="n"/>
      <c r="J270" s="269" t="n"/>
      <c r="K270" s="269" t="n"/>
      <c r="L270" s="269" t="n"/>
      <c r="M270" s="269" t="n"/>
      <c r="N270" s="269" t="n"/>
      <c r="O270" s="269" t="n"/>
      <c r="P270" s="269" t="n"/>
      <c r="Q270" s="269" t="n"/>
      <c r="R270" s="269" t="n"/>
      <c r="S270" s="269" t="n"/>
      <c r="T270" s="269" t="n"/>
      <c r="U270" s="269" t="n"/>
      <c r="V270" s="269" t="n"/>
      <c r="W270" s="270" t="n"/>
    </row>
    <row r="271" customFormat="1" s="163">
      <c r="A271" s="282" t="n"/>
      <c r="B271" s="277" t="n"/>
      <c r="C271" s="278" t="n"/>
      <c r="D271" s="269" t="n"/>
      <c r="E271" s="269" t="n"/>
      <c r="F271" s="269" t="n"/>
      <c r="G271" s="269" t="n"/>
      <c r="H271" s="269" t="n"/>
      <c r="I271" s="269" t="n"/>
      <c r="J271" s="269" t="n"/>
      <c r="K271" s="269" t="n"/>
      <c r="L271" s="269" t="n"/>
      <c r="M271" s="269" t="n"/>
      <c r="N271" s="269" t="n"/>
      <c r="O271" s="269" t="n"/>
      <c r="P271" s="269" t="n"/>
      <c r="Q271" s="269" t="n"/>
      <c r="R271" s="269" t="n"/>
      <c r="S271" s="269" t="n"/>
      <c r="T271" s="269" t="n"/>
      <c r="U271" s="269" t="n"/>
      <c r="V271" s="269" t="n"/>
      <c r="W271" s="270" t="n"/>
    </row>
    <row r="272" customFormat="1" s="163">
      <c r="A272" s="282" t="n"/>
      <c r="B272" s="277" t="n"/>
      <c r="C272" s="278" t="n"/>
      <c r="D272" s="269" t="n"/>
      <c r="E272" s="269" t="n"/>
      <c r="F272" s="269" t="n"/>
      <c r="G272" s="269" t="n"/>
      <c r="H272" s="269" t="n"/>
      <c r="I272" s="269" t="n"/>
      <c r="J272" s="269" t="n"/>
      <c r="K272" s="269" t="n"/>
      <c r="L272" s="269" t="n"/>
      <c r="M272" s="269" t="n"/>
      <c r="N272" s="269" t="n"/>
      <c r="O272" s="269" t="n"/>
      <c r="P272" s="269" t="n"/>
      <c r="Q272" s="269" t="n"/>
      <c r="R272" s="269" t="n"/>
      <c r="S272" s="269" t="n"/>
      <c r="T272" s="269" t="n"/>
      <c r="U272" s="269" t="n"/>
      <c r="V272" s="269" t="n"/>
      <c r="W272" s="270" t="n"/>
    </row>
    <row r="273" customFormat="1" s="163">
      <c r="A273" s="282" t="n"/>
      <c r="B273" s="277" t="n"/>
      <c r="C273" s="278" t="n"/>
      <c r="D273" s="269" t="n"/>
      <c r="E273" s="269" t="n"/>
      <c r="F273" s="269" t="n"/>
      <c r="G273" s="269" t="n"/>
      <c r="H273" s="269" t="n"/>
      <c r="I273" s="269" t="n"/>
      <c r="J273" s="269" t="n"/>
      <c r="K273" s="269" t="n"/>
      <c r="L273" s="269" t="n"/>
      <c r="M273" s="269" t="n"/>
      <c r="N273" s="269" t="n"/>
      <c r="O273" s="269" t="n"/>
      <c r="P273" s="269" t="n"/>
      <c r="Q273" s="269" t="n"/>
      <c r="R273" s="269" t="n"/>
      <c r="S273" s="269" t="n"/>
      <c r="T273" s="269" t="n"/>
      <c r="U273" s="269" t="n"/>
      <c r="V273" s="269" t="n"/>
      <c r="W273" s="270" t="n"/>
    </row>
    <row r="274" customFormat="1" s="163">
      <c r="A274" s="282" t="n"/>
      <c r="B274" s="277" t="n"/>
      <c r="C274" s="278" t="n"/>
      <c r="D274" s="269" t="n"/>
      <c r="E274" s="269" t="n"/>
      <c r="F274" s="269" t="n"/>
      <c r="G274" s="269" t="n"/>
      <c r="H274" s="269" t="n"/>
      <c r="I274" s="269" t="n"/>
      <c r="J274" s="269" t="n"/>
      <c r="K274" s="269" t="n"/>
      <c r="L274" s="269" t="n"/>
      <c r="M274" s="269" t="n"/>
      <c r="N274" s="269" t="n"/>
      <c r="O274" s="269" t="n"/>
      <c r="P274" s="269" t="n"/>
      <c r="Q274" s="269" t="n"/>
      <c r="R274" s="269" t="n"/>
      <c r="S274" s="269" t="n"/>
      <c r="T274" s="269" t="n"/>
      <c r="U274" s="269" t="n"/>
      <c r="V274" s="269" t="n"/>
      <c r="W274" s="270" t="n"/>
    </row>
    <row r="275" customFormat="1" s="163">
      <c r="A275" s="282" t="n"/>
      <c r="B275" s="277" t="n"/>
      <c r="C275" s="278" t="n"/>
      <c r="D275" s="269" t="n"/>
      <c r="E275" s="269" t="n"/>
      <c r="F275" s="269" t="n"/>
      <c r="G275" s="269" t="n"/>
      <c r="H275" s="269" t="n"/>
      <c r="I275" s="269" t="n"/>
      <c r="J275" s="269" t="n"/>
      <c r="K275" s="269" t="n"/>
      <c r="L275" s="269" t="n"/>
      <c r="M275" s="269" t="n"/>
      <c r="N275" s="269" t="n"/>
      <c r="O275" s="269" t="n"/>
      <c r="P275" s="269" t="n"/>
      <c r="Q275" s="269" t="n"/>
      <c r="R275" s="269" t="n"/>
      <c r="S275" s="269" t="n"/>
      <c r="T275" s="269" t="n"/>
      <c r="U275" s="269" t="n"/>
      <c r="V275" s="269" t="n"/>
      <c r="W275" s="270" t="n"/>
    </row>
    <row r="276" customFormat="1" s="163">
      <c r="A276" s="282" t="n"/>
      <c r="B276" s="277" t="n"/>
      <c r="C276" s="278" t="n"/>
      <c r="D276" s="269" t="n"/>
      <c r="E276" s="269" t="n"/>
      <c r="F276" s="269" t="n"/>
      <c r="G276" s="269" t="n"/>
      <c r="H276" s="269" t="n"/>
      <c r="I276" s="269" t="n"/>
      <c r="J276" s="269" t="n"/>
      <c r="K276" s="269" t="n"/>
      <c r="L276" s="269" t="n"/>
      <c r="M276" s="269" t="n"/>
      <c r="N276" s="269" t="n"/>
      <c r="O276" s="269" t="n"/>
      <c r="P276" s="269" t="n"/>
      <c r="Q276" s="269" t="n"/>
      <c r="R276" s="269" t="n"/>
      <c r="S276" s="269" t="n"/>
      <c r="T276" s="269" t="n"/>
      <c r="U276" s="269" t="n"/>
      <c r="V276" s="269" t="n"/>
      <c r="W276" s="270" t="n"/>
    </row>
    <row r="277" customFormat="1" s="163">
      <c r="A277" s="282" t="n"/>
      <c r="B277" s="277" t="n"/>
      <c r="C277" s="278" t="n"/>
      <c r="D277" s="269" t="n"/>
      <c r="E277" s="269" t="n"/>
      <c r="F277" s="269" t="n"/>
      <c r="G277" s="269" t="n"/>
      <c r="H277" s="269" t="n"/>
      <c r="I277" s="269" t="n"/>
      <c r="J277" s="269" t="n"/>
      <c r="K277" s="269" t="n"/>
      <c r="L277" s="269" t="n"/>
      <c r="M277" s="269" t="n"/>
      <c r="N277" s="269" t="n"/>
      <c r="O277" s="269" t="n"/>
      <c r="P277" s="269" t="n"/>
      <c r="Q277" s="269" t="n"/>
      <c r="R277" s="269" t="n"/>
      <c r="S277" s="269" t="n"/>
      <c r="T277" s="269" t="n"/>
      <c r="U277" s="269" t="n"/>
      <c r="V277" s="269" t="n"/>
      <c r="W277" s="270" t="n"/>
    </row>
    <row r="278" customFormat="1" s="163">
      <c r="A278" s="282" t="n"/>
      <c r="B278" s="277" t="n"/>
      <c r="C278" s="278" t="n"/>
      <c r="D278" s="269" t="n"/>
      <c r="E278" s="269" t="n"/>
      <c r="F278" s="269" t="n"/>
      <c r="G278" s="269" t="n"/>
      <c r="H278" s="269" t="n"/>
      <c r="I278" s="269" t="n"/>
      <c r="J278" s="269" t="n"/>
      <c r="K278" s="269" t="n"/>
      <c r="L278" s="269" t="n"/>
      <c r="M278" s="269" t="n"/>
      <c r="N278" s="269" t="n"/>
      <c r="O278" s="269" t="n"/>
      <c r="P278" s="269" t="n"/>
      <c r="Q278" s="269" t="n"/>
      <c r="R278" s="269" t="n"/>
      <c r="S278" s="269" t="n"/>
      <c r="T278" s="269" t="n"/>
      <c r="U278" s="269" t="n"/>
      <c r="V278" s="269" t="n"/>
      <c r="W278" s="270" t="n"/>
    </row>
    <row r="279" customFormat="1" s="163">
      <c r="A279" s="282" t="n"/>
      <c r="B279" s="277" t="n"/>
      <c r="C279" s="278" t="n"/>
      <c r="D279" s="269" t="n"/>
      <c r="E279" s="269" t="n"/>
      <c r="F279" s="269" t="n"/>
      <c r="G279" s="269" t="n"/>
      <c r="H279" s="269" t="n"/>
      <c r="I279" s="269" t="n"/>
      <c r="J279" s="269" t="n"/>
      <c r="K279" s="269" t="n"/>
      <c r="L279" s="269" t="n"/>
      <c r="M279" s="269" t="n"/>
      <c r="N279" s="269" t="n"/>
      <c r="O279" s="269" t="n"/>
      <c r="P279" s="269" t="n"/>
      <c r="Q279" s="269" t="n"/>
      <c r="R279" s="269" t="n"/>
      <c r="S279" s="269" t="n"/>
      <c r="T279" s="269" t="n"/>
      <c r="U279" s="269" t="n"/>
      <c r="V279" s="269" t="n"/>
      <c r="W279" s="270" t="n"/>
    </row>
    <row r="280" customFormat="1" s="163">
      <c r="A280" s="282" t="n"/>
      <c r="B280" s="277" t="n"/>
      <c r="C280" s="278" t="n"/>
      <c r="D280" s="269" t="n"/>
      <c r="E280" s="269" t="n"/>
      <c r="F280" s="269" t="n"/>
      <c r="G280" s="269" t="n"/>
      <c r="H280" s="269" t="n"/>
      <c r="I280" s="269" t="n"/>
      <c r="J280" s="269" t="n"/>
      <c r="K280" s="269" t="n"/>
      <c r="L280" s="269" t="n"/>
      <c r="M280" s="269" t="n"/>
      <c r="N280" s="269" t="n"/>
      <c r="O280" s="269" t="n"/>
      <c r="P280" s="269" t="n"/>
      <c r="Q280" s="269" t="n"/>
      <c r="R280" s="269" t="n"/>
      <c r="S280" s="269" t="n"/>
      <c r="T280" s="269" t="n"/>
      <c r="U280" s="269" t="n"/>
      <c r="V280" s="269" t="n"/>
      <c r="W280" s="270" t="n"/>
    </row>
    <row r="281" customFormat="1" s="163">
      <c r="A281" s="282" t="n"/>
      <c r="B281" s="277" t="n"/>
      <c r="C281" s="278" t="n"/>
      <c r="D281" s="269" t="n"/>
      <c r="E281" s="269" t="n"/>
      <c r="F281" s="269" t="n"/>
      <c r="G281" s="269" t="n"/>
      <c r="H281" s="269" t="n"/>
      <c r="I281" s="269" t="n"/>
      <c r="J281" s="269" t="n"/>
      <c r="K281" s="269" t="n"/>
      <c r="L281" s="269" t="n"/>
      <c r="M281" s="269" t="n"/>
      <c r="N281" s="269" t="n"/>
      <c r="O281" s="269" t="n"/>
      <c r="P281" s="269" t="n"/>
      <c r="Q281" s="269" t="n"/>
      <c r="R281" s="269" t="n"/>
      <c r="S281" s="269" t="n"/>
      <c r="T281" s="269" t="n"/>
      <c r="U281" s="269" t="n"/>
      <c r="V281" s="269" t="n"/>
      <c r="W281" s="270" t="n"/>
    </row>
    <row r="282" customFormat="1" s="163">
      <c r="A282" s="282" t="n"/>
      <c r="B282" s="277" t="n"/>
      <c r="C282" s="278" t="n"/>
      <c r="D282" s="269" t="n"/>
      <c r="E282" s="269" t="n"/>
      <c r="F282" s="269" t="n"/>
      <c r="G282" s="269" t="n"/>
      <c r="H282" s="269" t="n"/>
      <c r="I282" s="269" t="n"/>
      <c r="J282" s="269" t="n"/>
      <c r="K282" s="269" t="n"/>
      <c r="L282" s="269" t="n"/>
      <c r="M282" s="269" t="n"/>
      <c r="N282" s="269" t="n"/>
      <c r="O282" s="269" t="n"/>
      <c r="P282" s="269" t="n"/>
      <c r="Q282" s="269" t="n"/>
      <c r="R282" s="269" t="n"/>
      <c r="S282" s="269" t="n"/>
      <c r="T282" s="269" t="n"/>
      <c r="U282" s="269" t="n"/>
      <c r="V282" s="269" t="n"/>
      <c r="W282" s="270" t="n"/>
    </row>
    <row r="283" customFormat="1" s="163">
      <c r="A283" s="282" t="n"/>
      <c r="B283" s="277" t="n"/>
      <c r="C283" s="278" t="n"/>
      <c r="D283" s="269" t="n"/>
      <c r="E283" s="269" t="n"/>
      <c r="F283" s="269" t="n"/>
      <c r="G283" s="269" t="n"/>
      <c r="H283" s="269" t="n"/>
      <c r="I283" s="269" t="n"/>
      <c r="J283" s="269" t="n"/>
      <c r="K283" s="269" t="n"/>
      <c r="L283" s="269" t="n"/>
      <c r="M283" s="269" t="n"/>
      <c r="N283" s="269" t="n"/>
      <c r="O283" s="269" t="n"/>
      <c r="P283" s="269" t="n"/>
      <c r="Q283" s="269" t="n"/>
      <c r="R283" s="269" t="n"/>
      <c r="S283" s="269" t="n"/>
      <c r="T283" s="269" t="n"/>
      <c r="U283" s="269" t="n"/>
      <c r="V283" s="269" t="n"/>
      <c r="W283" s="270" t="n"/>
    </row>
    <row r="284" customFormat="1" s="163">
      <c r="A284" s="282" t="n"/>
      <c r="B284" s="277" t="n"/>
      <c r="C284" s="278" t="n"/>
      <c r="D284" s="269" t="n"/>
      <c r="E284" s="269" t="n"/>
      <c r="F284" s="269" t="n"/>
      <c r="G284" s="269" t="n"/>
      <c r="H284" s="269" t="n"/>
      <c r="I284" s="269" t="n"/>
      <c r="J284" s="269" t="n"/>
      <c r="K284" s="269" t="n"/>
      <c r="L284" s="269" t="n"/>
      <c r="M284" s="269" t="n"/>
      <c r="N284" s="269" t="n"/>
      <c r="O284" s="269" t="n"/>
      <c r="P284" s="269" t="n"/>
      <c r="Q284" s="269" t="n"/>
      <c r="R284" s="269" t="n"/>
      <c r="S284" s="269" t="n"/>
      <c r="T284" s="269" t="n"/>
      <c r="U284" s="269" t="n"/>
      <c r="V284" s="269" t="n"/>
      <c r="W284" s="270" t="n"/>
    </row>
    <row r="285" customFormat="1" s="163">
      <c r="A285" s="282" t="n"/>
      <c r="B285" s="277" t="n"/>
      <c r="C285" s="278" t="n"/>
      <c r="D285" s="269" t="n"/>
      <c r="E285" s="269" t="n"/>
      <c r="F285" s="269" t="n"/>
      <c r="G285" s="269" t="n"/>
      <c r="H285" s="269" t="n"/>
      <c r="I285" s="269" t="n"/>
      <c r="J285" s="269" t="n"/>
      <c r="K285" s="269" t="n"/>
      <c r="L285" s="269" t="n"/>
      <c r="M285" s="269" t="n"/>
      <c r="N285" s="269" t="n"/>
      <c r="O285" s="269" t="n"/>
      <c r="P285" s="269" t="n"/>
      <c r="Q285" s="269" t="n"/>
      <c r="R285" s="269" t="n"/>
      <c r="S285" s="269" t="n"/>
      <c r="T285" s="269" t="n"/>
      <c r="U285" s="269" t="n"/>
      <c r="V285" s="269" t="n"/>
      <c r="W285" s="270" t="n"/>
    </row>
    <row r="286" customFormat="1" s="163">
      <c r="A286" s="282" t="n"/>
      <c r="B286" s="277" t="n"/>
      <c r="C286" s="278" t="n"/>
      <c r="D286" s="269" t="n"/>
      <c r="E286" s="269" t="n"/>
      <c r="F286" s="269" t="n"/>
      <c r="G286" s="269" t="n"/>
      <c r="H286" s="269" t="n"/>
      <c r="I286" s="269" t="n"/>
      <c r="J286" s="269" t="n"/>
      <c r="K286" s="269" t="n"/>
      <c r="L286" s="269" t="n"/>
      <c r="M286" s="269" t="n"/>
      <c r="N286" s="269" t="n"/>
      <c r="O286" s="269" t="n"/>
      <c r="P286" s="269" t="n"/>
      <c r="Q286" s="269" t="n"/>
      <c r="R286" s="269" t="n"/>
      <c r="S286" s="269" t="n"/>
      <c r="T286" s="269" t="n"/>
      <c r="U286" s="269" t="n"/>
      <c r="V286" s="269" t="n"/>
      <c r="W286" s="270" t="n"/>
    </row>
    <row r="287" customFormat="1" s="163">
      <c r="A287" s="282" t="n"/>
      <c r="B287" s="277" t="n"/>
      <c r="C287" s="278" t="n"/>
      <c r="D287" s="269" t="n"/>
      <c r="E287" s="269" t="n"/>
      <c r="F287" s="269" t="n"/>
      <c r="G287" s="269" t="n"/>
      <c r="H287" s="269" t="n"/>
      <c r="I287" s="269" t="n"/>
      <c r="J287" s="269" t="n"/>
      <c r="K287" s="269" t="n"/>
      <c r="L287" s="269" t="n"/>
      <c r="M287" s="269" t="n"/>
      <c r="N287" s="269" t="n"/>
      <c r="O287" s="269" t="n"/>
      <c r="P287" s="269" t="n"/>
      <c r="Q287" s="269" t="n"/>
      <c r="R287" s="269" t="n"/>
      <c r="S287" s="269" t="n"/>
      <c r="T287" s="269" t="n"/>
      <c r="U287" s="269" t="n"/>
      <c r="V287" s="269" t="n"/>
      <c r="W287" s="270" t="n"/>
    </row>
    <row r="288" customFormat="1" s="163">
      <c r="A288" s="282" t="n"/>
      <c r="B288" s="277" t="n"/>
      <c r="C288" s="278" t="n"/>
      <c r="D288" s="269" t="n"/>
      <c r="E288" s="269" t="n"/>
      <c r="F288" s="269" t="n"/>
      <c r="G288" s="269" t="n"/>
      <c r="H288" s="269" t="n"/>
      <c r="I288" s="269" t="n"/>
      <c r="J288" s="269" t="n"/>
      <c r="K288" s="269" t="n"/>
      <c r="L288" s="269" t="n"/>
      <c r="M288" s="269" t="n"/>
      <c r="N288" s="269" t="n"/>
      <c r="O288" s="269" t="n"/>
      <c r="P288" s="269" t="n"/>
      <c r="Q288" s="269" t="n"/>
      <c r="R288" s="269" t="n"/>
      <c r="S288" s="269" t="n"/>
      <c r="T288" s="269" t="n"/>
      <c r="U288" s="269" t="n"/>
      <c r="V288" s="269" t="n"/>
      <c r="W288" s="270" t="n"/>
    </row>
    <row r="289" customFormat="1" s="163">
      <c r="A289" s="282" t="n"/>
      <c r="B289" s="277" t="n"/>
      <c r="C289" s="278" t="n"/>
      <c r="D289" s="269" t="n"/>
      <c r="E289" s="269" t="n"/>
      <c r="F289" s="269" t="n"/>
      <c r="G289" s="269" t="n"/>
      <c r="H289" s="269" t="n"/>
      <c r="I289" s="269" t="n"/>
      <c r="J289" s="269" t="n"/>
      <c r="K289" s="269" t="n"/>
      <c r="L289" s="269" t="n"/>
      <c r="M289" s="269" t="n"/>
      <c r="N289" s="269" t="n"/>
      <c r="O289" s="269" t="n"/>
      <c r="P289" s="269" t="n"/>
      <c r="Q289" s="269" t="n"/>
      <c r="R289" s="269" t="n"/>
      <c r="S289" s="269" t="n"/>
      <c r="T289" s="269" t="n"/>
      <c r="U289" s="269" t="n"/>
      <c r="V289" s="269" t="n"/>
      <c r="W289" s="270" t="n"/>
    </row>
    <row r="290" customFormat="1" s="163">
      <c r="A290" s="282" t="n"/>
      <c r="B290" s="277" t="n"/>
      <c r="C290" s="278" t="n"/>
      <c r="D290" s="269" t="n"/>
      <c r="E290" s="269" t="n"/>
      <c r="F290" s="269" t="n"/>
      <c r="G290" s="269" t="n"/>
      <c r="H290" s="269" t="n"/>
      <c r="I290" s="269" t="n"/>
      <c r="J290" s="269" t="n"/>
      <c r="K290" s="269" t="n"/>
      <c r="L290" s="269" t="n"/>
      <c r="M290" s="269" t="n"/>
      <c r="N290" s="269" t="n"/>
      <c r="O290" s="269" t="n"/>
      <c r="P290" s="269" t="n"/>
      <c r="Q290" s="269" t="n"/>
      <c r="R290" s="269" t="n"/>
      <c r="S290" s="269" t="n"/>
      <c r="T290" s="269" t="n"/>
      <c r="U290" s="269" t="n"/>
      <c r="V290" s="269" t="n"/>
      <c r="W290" s="270" t="n"/>
    </row>
    <row r="291" customFormat="1" s="163">
      <c r="A291" s="282" t="n"/>
      <c r="B291" s="277" t="n"/>
      <c r="C291" s="278" t="n"/>
      <c r="D291" s="269" t="n"/>
      <c r="E291" s="269" t="n"/>
      <c r="F291" s="269" t="n"/>
      <c r="G291" s="269" t="n"/>
      <c r="H291" s="269" t="n"/>
      <c r="I291" s="269" t="n"/>
      <c r="J291" s="269" t="n"/>
      <c r="K291" s="269" t="n"/>
      <c r="L291" s="269" t="n"/>
      <c r="M291" s="269" t="n"/>
      <c r="N291" s="269" t="n"/>
      <c r="O291" s="269" t="n"/>
      <c r="P291" s="269" t="n"/>
      <c r="Q291" s="269" t="n"/>
      <c r="R291" s="269" t="n"/>
      <c r="S291" s="269" t="n"/>
      <c r="T291" s="269" t="n"/>
      <c r="U291" s="269" t="n"/>
      <c r="V291" s="269" t="n"/>
      <c r="W291" s="270" t="n"/>
    </row>
    <row r="292" customFormat="1" s="163">
      <c r="A292" s="282" t="n"/>
      <c r="B292" s="277" t="n"/>
      <c r="C292" s="278" t="n"/>
      <c r="D292" s="269" t="n"/>
      <c r="E292" s="269" t="n"/>
      <c r="F292" s="269" t="n"/>
      <c r="G292" s="269" t="n"/>
      <c r="H292" s="269" t="n"/>
      <c r="I292" s="269" t="n"/>
      <c r="J292" s="269" t="n"/>
      <c r="K292" s="269" t="n"/>
      <c r="L292" s="269" t="n"/>
      <c r="M292" s="269" t="n"/>
      <c r="N292" s="269" t="n"/>
      <c r="O292" s="269" t="n"/>
      <c r="P292" s="269" t="n"/>
      <c r="Q292" s="269" t="n"/>
      <c r="R292" s="269" t="n"/>
      <c r="S292" s="269" t="n"/>
      <c r="T292" s="269" t="n"/>
      <c r="U292" s="269" t="n"/>
      <c r="V292" s="269" t="n"/>
      <c r="W292" s="270" t="n"/>
    </row>
    <row r="293" customFormat="1" s="163">
      <c r="A293" s="282" t="n"/>
      <c r="B293" s="277" t="n"/>
      <c r="C293" s="278" t="n"/>
      <c r="D293" s="269" t="n"/>
      <c r="E293" s="269" t="n"/>
      <c r="F293" s="269" t="n"/>
      <c r="G293" s="269" t="n"/>
      <c r="H293" s="269" t="n"/>
      <c r="I293" s="269" t="n"/>
      <c r="J293" s="269" t="n"/>
      <c r="K293" s="269" t="n"/>
      <c r="L293" s="269" t="n"/>
      <c r="M293" s="269" t="n"/>
      <c r="N293" s="269" t="n"/>
      <c r="O293" s="269" t="n"/>
      <c r="P293" s="269" t="n"/>
      <c r="Q293" s="269" t="n"/>
      <c r="R293" s="269" t="n"/>
      <c r="S293" s="269" t="n"/>
      <c r="T293" s="269" t="n"/>
      <c r="U293" s="269" t="n"/>
      <c r="V293" s="269" t="n"/>
      <c r="W293" s="270" t="n"/>
    </row>
    <row r="294" customFormat="1" s="163">
      <c r="A294" s="282" t="n"/>
      <c r="B294" s="277" t="n"/>
      <c r="C294" s="278" t="n"/>
      <c r="D294" s="269" t="n"/>
      <c r="E294" s="269" t="n"/>
      <c r="F294" s="269" t="n"/>
      <c r="G294" s="269" t="n"/>
      <c r="H294" s="269" t="n"/>
      <c r="I294" s="269" t="n"/>
      <c r="J294" s="269" t="n"/>
      <c r="K294" s="269" t="n"/>
      <c r="L294" s="269" t="n"/>
      <c r="M294" s="269" t="n"/>
      <c r="N294" s="269" t="n"/>
      <c r="O294" s="269" t="n"/>
      <c r="P294" s="269" t="n"/>
      <c r="Q294" s="269" t="n"/>
      <c r="R294" s="269" t="n"/>
      <c r="S294" s="269" t="n"/>
      <c r="T294" s="269" t="n"/>
      <c r="U294" s="269" t="n"/>
      <c r="V294" s="269" t="n"/>
      <c r="W294" s="270" t="n"/>
    </row>
    <row r="295" customFormat="1" s="163">
      <c r="A295" s="282" t="n"/>
      <c r="B295" s="277" t="n"/>
      <c r="C295" s="278" t="n"/>
      <c r="D295" s="269" t="n"/>
      <c r="E295" s="269" t="n"/>
      <c r="F295" s="269" t="n"/>
      <c r="G295" s="269" t="n"/>
      <c r="H295" s="269" t="n"/>
      <c r="I295" s="269" t="n"/>
      <c r="J295" s="269" t="n"/>
      <c r="K295" s="269" t="n"/>
      <c r="L295" s="269" t="n"/>
      <c r="M295" s="269" t="n"/>
      <c r="N295" s="269" t="n"/>
      <c r="O295" s="269" t="n"/>
      <c r="P295" s="269" t="n"/>
      <c r="Q295" s="269" t="n"/>
      <c r="R295" s="269" t="n"/>
      <c r="S295" s="269" t="n"/>
      <c r="T295" s="269" t="n"/>
      <c r="U295" s="269" t="n"/>
      <c r="V295" s="269" t="n"/>
      <c r="W295" s="270" t="n"/>
    </row>
    <row r="296" customFormat="1" s="163">
      <c r="A296" s="282" t="n"/>
      <c r="B296" s="277" t="n"/>
      <c r="C296" s="278" t="n"/>
      <c r="D296" s="269" t="n"/>
      <c r="E296" s="269" t="n"/>
      <c r="F296" s="269" t="n"/>
      <c r="G296" s="269" t="n"/>
      <c r="H296" s="269" t="n"/>
      <c r="I296" s="269" t="n"/>
      <c r="J296" s="269" t="n"/>
      <c r="K296" s="269" t="n"/>
      <c r="L296" s="269" t="n"/>
      <c r="M296" s="269" t="n"/>
      <c r="N296" s="269" t="n"/>
      <c r="O296" s="269" t="n"/>
      <c r="P296" s="269" t="n"/>
      <c r="Q296" s="269" t="n"/>
      <c r="R296" s="269" t="n"/>
      <c r="S296" s="269" t="n"/>
      <c r="T296" s="269" t="n"/>
      <c r="U296" s="269" t="n"/>
      <c r="V296" s="269" t="n"/>
      <c r="W296" s="270" t="n"/>
    </row>
    <row r="297" customFormat="1" s="163">
      <c r="A297" s="282" t="n"/>
      <c r="B297" s="277" t="n"/>
      <c r="C297" s="278" t="n"/>
      <c r="D297" s="269" t="n"/>
      <c r="E297" s="269" t="n"/>
      <c r="F297" s="269" t="n"/>
      <c r="G297" s="269" t="n"/>
      <c r="H297" s="269" t="n"/>
      <c r="I297" s="269" t="n"/>
      <c r="J297" s="269" t="n"/>
      <c r="K297" s="269" t="n"/>
      <c r="L297" s="269" t="n"/>
      <c r="M297" s="269" t="n"/>
      <c r="N297" s="269" t="n"/>
      <c r="O297" s="269" t="n"/>
      <c r="P297" s="269" t="n"/>
      <c r="Q297" s="269" t="n"/>
      <c r="R297" s="269" t="n"/>
      <c r="S297" s="269" t="n"/>
      <c r="T297" s="269" t="n"/>
      <c r="U297" s="269" t="n"/>
      <c r="V297" s="269" t="n"/>
      <c r="W297" s="270" t="n"/>
    </row>
    <row r="298" customFormat="1" s="163">
      <c r="A298" s="282" t="n"/>
      <c r="B298" s="277" t="n"/>
      <c r="C298" s="278" t="n"/>
      <c r="D298" s="269" t="n"/>
      <c r="E298" s="269" t="n"/>
      <c r="F298" s="269" t="n"/>
      <c r="G298" s="269" t="n"/>
      <c r="H298" s="269" t="n"/>
      <c r="I298" s="269" t="n"/>
      <c r="J298" s="269" t="n"/>
      <c r="K298" s="269" t="n"/>
      <c r="L298" s="269" t="n"/>
      <c r="M298" s="269" t="n"/>
      <c r="N298" s="269" t="n"/>
      <c r="O298" s="269" t="n"/>
      <c r="P298" s="269" t="n"/>
      <c r="Q298" s="269" t="n"/>
      <c r="R298" s="269" t="n"/>
      <c r="S298" s="269" t="n"/>
      <c r="T298" s="269" t="n"/>
      <c r="U298" s="269" t="n"/>
      <c r="V298" s="269" t="n"/>
      <c r="W298" s="270" t="n"/>
    </row>
    <row r="299" customFormat="1" s="163">
      <c r="A299" s="282" t="n"/>
      <c r="B299" s="277" t="n"/>
      <c r="C299" s="278" t="n"/>
      <c r="D299" s="269" t="n"/>
      <c r="E299" s="269" t="n"/>
      <c r="F299" s="269" t="n"/>
      <c r="G299" s="269" t="n"/>
      <c r="H299" s="269" t="n"/>
      <c r="I299" s="269" t="n"/>
      <c r="J299" s="269" t="n"/>
      <c r="K299" s="269" t="n"/>
      <c r="L299" s="269" t="n"/>
      <c r="M299" s="269" t="n"/>
      <c r="N299" s="269" t="n"/>
      <c r="O299" s="269" t="n"/>
      <c r="P299" s="269" t="n"/>
      <c r="Q299" s="269" t="n"/>
      <c r="R299" s="269" t="n"/>
      <c r="S299" s="269" t="n"/>
      <c r="T299" s="269" t="n"/>
      <c r="U299" s="269" t="n"/>
      <c r="V299" s="269" t="n"/>
      <c r="W299" s="270" t="n"/>
    </row>
    <row r="300" customFormat="1" s="163">
      <c r="A300" s="282" t="n"/>
      <c r="B300" s="277" t="n"/>
      <c r="C300" s="278" t="n"/>
      <c r="D300" s="269" t="n"/>
      <c r="E300" s="269" t="n"/>
      <c r="F300" s="269" t="n"/>
      <c r="G300" s="269" t="n"/>
      <c r="H300" s="269" t="n"/>
      <c r="I300" s="269" t="n"/>
      <c r="J300" s="269" t="n"/>
      <c r="K300" s="269" t="n"/>
      <c r="L300" s="269" t="n"/>
      <c r="M300" s="269" t="n"/>
      <c r="N300" s="269" t="n"/>
      <c r="O300" s="269" t="n"/>
      <c r="P300" s="269" t="n"/>
      <c r="Q300" s="269" t="n"/>
      <c r="R300" s="269" t="n"/>
      <c r="S300" s="269" t="n"/>
      <c r="T300" s="269" t="n"/>
      <c r="U300" s="269" t="n"/>
      <c r="V300" s="269" t="n"/>
      <c r="W300" s="270" t="n"/>
    </row>
    <row r="301" customFormat="1" s="163">
      <c r="A301" s="282" t="n"/>
      <c r="B301" s="277" t="n"/>
      <c r="C301" s="278" t="n"/>
      <c r="D301" s="269" t="n"/>
      <c r="E301" s="269" t="n"/>
      <c r="F301" s="269" t="n"/>
      <c r="G301" s="269" t="n"/>
      <c r="H301" s="269" t="n"/>
      <c r="I301" s="269" t="n"/>
      <c r="J301" s="269" t="n"/>
      <c r="K301" s="269" t="n"/>
      <c r="L301" s="269" t="n"/>
      <c r="M301" s="269" t="n"/>
      <c r="N301" s="269" t="n"/>
      <c r="O301" s="269" t="n"/>
      <c r="P301" s="269" t="n"/>
      <c r="Q301" s="269" t="n"/>
      <c r="R301" s="269" t="n"/>
      <c r="S301" s="269" t="n"/>
      <c r="T301" s="269" t="n"/>
      <c r="U301" s="269" t="n"/>
      <c r="V301" s="269" t="n"/>
      <c r="W301" s="270" t="n"/>
    </row>
    <row r="302" customFormat="1" s="163">
      <c r="A302" s="282" t="n"/>
      <c r="B302" s="277" t="n"/>
      <c r="C302" s="278" t="n"/>
      <c r="D302" s="269" t="n"/>
      <c r="E302" s="269" t="n"/>
      <c r="F302" s="269" t="n"/>
      <c r="G302" s="269" t="n"/>
      <c r="H302" s="269" t="n"/>
      <c r="I302" s="269" t="n"/>
      <c r="J302" s="269" t="n"/>
      <c r="K302" s="269" t="n"/>
      <c r="L302" s="269" t="n"/>
      <c r="M302" s="269" t="n"/>
      <c r="N302" s="269" t="n"/>
      <c r="O302" s="269" t="n"/>
      <c r="P302" s="269" t="n"/>
      <c r="Q302" s="269" t="n"/>
      <c r="R302" s="269" t="n"/>
      <c r="S302" s="269" t="n"/>
      <c r="T302" s="269" t="n"/>
      <c r="U302" s="269" t="n"/>
      <c r="V302" s="269" t="n"/>
      <c r="W302" s="270" t="n"/>
    </row>
    <row r="303" customFormat="1" s="163">
      <c r="A303" s="282" t="n"/>
      <c r="B303" s="277" t="n"/>
      <c r="C303" s="278" t="n"/>
      <c r="D303" s="269" t="n"/>
      <c r="E303" s="269" t="n"/>
      <c r="F303" s="269" t="n"/>
      <c r="G303" s="269" t="n"/>
      <c r="H303" s="269" t="n"/>
      <c r="I303" s="269" t="n"/>
      <c r="J303" s="269" t="n"/>
      <c r="K303" s="269" t="n"/>
      <c r="L303" s="269" t="n"/>
      <c r="M303" s="269" t="n"/>
      <c r="N303" s="269" t="n"/>
      <c r="O303" s="269" t="n"/>
      <c r="P303" s="269" t="n"/>
      <c r="Q303" s="269" t="n"/>
      <c r="R303" s="269" t="n"/>
      <c r="S303" s="269" t="n"/>
      <c r="T303" s="269" t="n"/>
      <c r="U303" s="269" t="n"/>
      <c r="V303" s="269" t="n"/>
      <c r="W303" s="270" t="n"/>
    </row>
    <row r="304" customFormat="1" s="163">
      <c r="A304" s="282" t="n"/>
      <c r="B304" s="277" t="n"/>
      <c r="C304" s="278" t="n"/>
      <c r="D304" s="269" t="n"/>
      <c r="E304" s="269" t="n"/>
      <c r="F304" s="269" t="n"/>
      <c r="G304" s="269" t="n"/>
      <c r="H304" s="269" t="n"/>
      <c r="I304" s="269" t="n"/>
      <c r="J304" s="269" t="n"/>
      <c r="K304" s="269" t="n"/>
      <c r="L304" s="269" t="n"/>
      <c r="M304" s="269" t="n"/>
      <c r="N304" s="269" t="n"/>
      <c r="O304" s="269" t="n"/>
      <c r="P304" s="269" t="n"/>
      <c r="Q304" s="269" t="n"/>
      <c r="R304" s="269" t="n"/>
      <c r="S304" s="269" t="n"/>
      <c r="T304" s="269" t="n"/>
      <c r="U304" s="269" t="n"/>
      <c r="V304" s="269" t="n"/>
      <c r="W304" s="270" t="n"/>
    </row>
    <row r="305" customFormat="1" s="163">
      <c r="A305" s="282" t="n"/>
      <c r="B305" s="277" t="n"/>
      <c r="C305" s="278" t="n"/>
      <c r="D305" s="269" t="n"/>
      <c r="E305" s="269" t="n"/>
      <c r="F305" s="269" t="n"/>
      <c r="G305" s="269" t="n"/>
      <c r="H305" s="269" t="n"/>
      <c r="I305" s="269" t="n"/>
      <c r="J305" s="269" t="n"/>
      <c r="K305" s="269" t="n"/>
      <c r="L305" s="269" t="n"/>
      <c r="M305" s="269" t="n"/>
      <c r="N305" s="269" t="n"/>
      <c r="O305" s="269" t="n"/>
      <c r="P305" s="269" t="n"/>
      <c r="Q305" s="269" t="n"/>
      <c r="R305" s="269" t="n"/>
      <c r="S305" s="269" t="n"/>
      <c r="T305" s="269" t="n"/>
      <c r="U305" s="269" t="n"/>
      <c r="V305" s="269" t="n"/>
      <c r="W305" s="270" t="n"/>
    </row>
    <row r="306" customFormat="1" s="163">
      <c r="A306" s="282" t="n"/>
      <c r="B306" s="277" t="n"/>
      <c r="C306" s="278" t="n"/>
      <c r="D306" s="269" t="n"/>
      <c r="E306" s="269" t="n"/>
      <c r="F306" s="269" t="n"/>
      <c r="G306" s="269" t="n"/>
      <c r="H306" s="269" t="n"/>
      <c r="I306" s="269" t="n"/>
      <c r="J306" s="269" t="n"/>
      <c r="K306" s="269" t="n"/>
      <c r="L306" s="269" t="n"/>
      <c r="M306" s="269" t="n"/>
      <c r="N306" s="269" t="n"/>
      <c r="O306" s="269" t="n"/>
      <c r="P306" s="269" t="n"/>
      <c r="Q306" s="269" t="n"/>
      <c r="R306" s="269" t="n"/>
      <c r="S306" s="269" t="n"/>
      <c r="T306" s="269" t="n"/>
      <c r="U306" s="269" t="n"/>
      <c r="V306" s="269" t="n"/>
      <c r="W306" s="270" t="n"/>
    </row>
    <row r="307" customFormat="1" s="163">
      <c r="A307" s="282" t="n"/>
      <c r="B307" s="277" t="n"/>
      <c r="C307" s="278" t="n"/>
      <c r="D307" s="269" t="n"/>
      <c r="E307" s="269" t="n"/>
      <c r="F307" s="269" t="n"/>
      <c r="G307" s="269" t="n"/>
      <c r="H307" s="269" t="n"/>
      <c r="I307" s="269" t="n"/>
      <c r="J307" s="269" t="n"/>
      <c r="K307" s="269" t="n"/>
      <c r="L307" s="269" t="n"/>
      <c r="M307" s="269" t="n"/>
      <c r="N307" s="269" t="n"/>
      <c r="O307" s="269" t="n"/>
      <c r="P307" s="269" t="n"/>
      <c r="Q307" s="269" t="n"/>
      <c r="R307" s="269" t="n"/>
      <c r="S307" s="269" t="n"/>
      <c r="T307" s="269" t="n"/>
      <c r="U307" s="269" t="n"/>
      <c r="V307" s="269" t="n"/>
      <c r="W307" s="270" t="n"/>
    </row>
    <row r="308" customFormat="1" s="163">
      <c r="A308" s="282" t="n"/>
      <c r="B308" s="277" t="n"/>
      <c r="C308" s="278" t="n"/>
      <c r="D308" s="269" t="n"/>
      <c r="E308" s="269" t="n"/>
      <c r="F308" s="269" t="n"/>
      <c r="G308" s="269" t="n"/>
      <c r="H308" s="269" t="n"/>
      <c r="I308" s="269" t="n"/>
      <c r="J308" s="269" t="n"/>
      <c r="K308" s="269" t="n"/>
      <c r="L308" s="269" t="n"/>
      <c r="M308" s="269" t="n"/>
      <c r="N308" s="269" t="n"/>
      <c r="O308" s="269" t="n"/>
      <c r="P308" s="269" t="n"/>
      <c r="Q308" s="269" t="n"/>
      <c r="R308" s="269" t="n"/>
      <c r="S308" s="269" t="n"/>
      <c r="T308" s="269" t="n"/>
      <c r="U308" s="269" t="n"/>
      <c r="V308" s="269" t="n"/>
      <c r="W308" s="270" t="n"/>
    </row>
    <row r="309" customFormat="1" s="163">
      <c r="A309" s="282" t="n"/>
      <c r="B309" s="277" t="n"/>
      <c r="C309" s="278" t="n"/>
      <c r="D309" s="269" t="n"/>
      <c r="E309" s="269" t="n"/>
      <c r="F309" s="269" t="n"/>
      <c r="G309" s="269" t="n"/>
      <c r="H309" s="269" t="n"/>
      <c r="I309" s="269" t="n"/>
      <c r="J309" s="269" t="n"/>
      <c r="K309" s="269" t="n"/>
      <c r="L309" s="269" t="n"/>
      <c r="M309" s="269" t="n"/>
      <c r="N309" s="269" t="n"/>
      <c r="O309" s="269" t="n"/>
      <c r="P309" s="269" t="n"/>
      <c r="Q309" s="269" t="n"/>
      <c r="R309" s="269" t="n"/>
      <c r="S309" s="269" t="n"/>
      <c r="T309" s="269" t="n"/>
      <c r="U309" s="269" t="n"/>
      <c r="V309" s="269" t="n"/>
      <c r="W309" s="270" t="n"/>
    </row>
    <row r="310" customFormat="1" s="163">
      <c r="A310" s="282" t="n"/>
      <c r="B310" s="277" t="n"/>
      <c r="C310" s="278" t="n"/>
      <c r="D310" s="269" t="n"/>
      <c r="E310" s="269" t="n"/>
      <c r="F310" s="269" t="n"/>
      <c r="G310" s="269" t="n"/>
      <c r="H310" s="269" t="n"/>
      <c r="I310" s="269" t="n"/>
      <c r="J310" s="269" t="n"/>
      <c r="K310" s="269" t="n"/>
      <c r="L310" s="269" t="n"/>
      <c r="M310" s="269" t="n"/>
      <c r="N310" s="269" t="n"/>
      <c r="O310" s="269" t="n"/>
      <c r="P310" s="269" t="n"/>
      <c r="Q310" s="269" t="n"/>
      <c r="R310" s="269" t="n"/>
      <c r="S310" s="269" t="n"/>
      <c r="T310" s="269" t="n"/>
      <c r="U310" s="269" t="n"/>
      <c r="V310" s="269" t="n"/>
      <c r="W310" s="270" t="n"/>
    </row>
    <row r="311" customFormat="1" s="163">
      <c r="A311" s="282" t="n"/>
      <c r="B311" s="277" t="n"/>
      <c r="C311" s="278" t="n"/>
      <c r="D311" s="269" t="n"/>
      <c r="E311" s="269" t="n"/>
      <c r="F311" s="269" t="n"/>
      <c r="G311" s="269" t="n"/>
      <c r="H311" s="269" t="n"/>
      <c r="I311" s="269" t="n"/>
      <c r="J311" s="269" t="n"/>
      <c r="K311" s="269" t="n"/>
      <c r="L311" s="269" t="n"/>
      <c r="M311" s="269" t="n"/>
      <c r="N311" s="269" t="n"/>
      <c r="O311" s="269" t="n"/>
      <c r="P311" s="269" t="n"/>
      <c r="Q311" s="269" t="n"/>
      <c r="R311" s="269" t="n"/>
      <c r="S311" s="269" t="n"/>
      <c r="T311" s="269" t="n"/>
      <c r="U311" s="269" t="n"/>
      <c r="V311" s="269" t="n"/>
      <c r="W311" s="270" t="n"/>
    </row>
    <row r="312" customFormat="1" s="163">
      <c r="A312" s="282" t="n"/>
      <c r="B312" s="277" t="n"/>
      <c r="C312" s="278" t="n"/>
      <c r="D312" s="269" t="n"/>
      <c r="E312" s="269" t="n"/>
      <c r="F312" s="269" t="n"/>
      <c r="G312" s="269" t="n"/>
      <c r="H312" s="269" t="n"/>
      <c r="I312" s="269" t="n"/>
      <c r="J312" s="269" t="n"/>
      <c r="K312" s="269" t="n"/>
      <c r="L312" s="269" t="n"/>
      <c r="M312" s="269" t="n"/>
      <c r="N312" s="269" t="n"/>
      <c r="O312" s="269" t="n"/>
      <c r="P312" s="269" t="n"/>
      <c r="Q312" s="269" t="n"/>
      <c r="R312" s="269" t="n"/>
      <c r="S312" s="269" t="n"/>
      <c r="T312" s="269" t="n"/>
      <c r="U312" s="269" t="n"/>
      <c r="V312" s="269" t="n"/>
      <c r="W312" s="270" t="n"/>
    </row>
    <row r="313" customFormat="1" s="163">
      <c r="A313" s="282" t="n"/>
      <c r="B313" s="277" t="n"/>
      <c r="C313" s="278" t="n"/>
      <c r="D313" s="269" t="n"/>
      <c r="E313" s="269" t="n"/>
      <c r="F313" s="269" t="n"/>
      <c r="G313" s="269" t="n"/>
      <c r="H313" s="269" t="n"/>
      <c r="I313" s="269" t="n"/>
      <c r="J313" s="269" t="n"/>
      <c r="K313" s="269" t="n"/>
      <c r="L313" s="269" t="n"/>
      <c r="M313" s="269" t="n"/>
      <c r="N313" s="269" t="n"/>
      <c r="O313" s="269" t="n"/>
      <c r="P313" s="269" t="n"/>
      <c r="Q313" s="269" t="n"/>
      <c r="R313" s="269" t="n"/>
      <c r="S313" s="269" t="n"/>
      <c r="T313" s="269" t="n"/>
      <c r="U313" s="269" t="n"/>
      <c r="V313" s="269" t="n"/>
      <c r="W313" s="270" t="n"/>
    </row>
    <row r="314" customFormat="1" s="163">
      <c r="A314" s="282" t="n"/>
      <c r="B314" s="277" t="n"/>
      <c r="C314" s="278" t="n"/>
      <c r="D314" s="269" t="n"/>
      <c r="E314" s="269" t="n"/>
      <c r="F314" s="269" t="n"/>
      <c r="G314" s="269" t="n"/>
      <c r="H314" s="269" t="n"/>
      <c r="I314" s="269" t="n"/>
      <c r="J314" s="269" t="n"/>
      <c r="K314" s="269" t="n"/>
      <c r="L314" s="269" t="n"/>
      <c r="M314" s="269" t="n"/>
      <c r="N314" s="269" t="n"/>
      <c r="O314" s="269" t="n"/>
      <c r="P314" s="269" t="n"/>
      <c r="Q314" s="269" t="n"/>
      <c r="R314" s="269" t="n"/>
      <c r="S314" s="269" t="n"/>
      <c r="T314" s="269" t="n"/>
      <c r="U314" s="269" t="n"/>
      <c r="V314" s="269" t="n"/>
      <c r="W314" s="270" t="n"/>
    </row>
    <row r="315" customFormat="1" s="163">
      <c r="A315" s="282" t="n"/>
      <c r="B315" s="277" t="n"/>
      <c r="C315" s="278" t="n"/>
      <c r="D315" s="269" t="n"/>
      <c r="E315" s="269" t="n"/>
      <c r="F315" s="269" t="n"/>
      <c r="G315" s="269" t="n"/>
      <c r="H315" s="269" t="n"/>
      <c r="I315" s="269" t="n"/>
      <c r="J315" s="269" t="n"/>
      <c r="K315" s="269" t="n"/>
      <c r="L315" s="269" t="n"/>
      <c r="M315" s="269" t="n"/>
      <c r="N315" s="269" t="n"/>
      <c r="O315" s="269" t="n"/>
      <c r="P315" s="269" t="n"/>
      <c r="Q315" s="269" t="n"/>
      <c r="R315" s="269" t="n"/>
      <c r="S315" s="269" t="n"/>
      <c r="T315" s="269" t="n"/>
      <c r="U315" s="269" t="n"/>
      <c r="V315" s="269" t="n"/>
      <c r="W315" s="270" t="n"/>
    </row>
    <row r="316" customFormat="1" s="163">
      <c r="A316" s="282" t="n"/>
      <c r="B316" s="277" t="n"/>
      <c r="C316" s="278" t="n"/>
      <c r="D316" s="269" t="n"/>
      <c r="E316" s="269" t="n"/>
      <c r="F316" s="269" t="n"/>
      <c r="G316" s="269" t="n"/>
      <c r="H316" s="269" t="n"/>
      <c r="I316" s="269" t="n"/>
      <c r="J316" s="269" t="n"/>
      <c r="K316" s="269" t="n"/>
      <c r="L316" s="269" t="n"/>
      <c r="M316" s="269" t="n"/>
      <c r="N316" s="269" t="n"/>
      <c r="O316" s="269" t="n"/>
      <c r="P316" s="269" t="n"/>
      <c r="Q316" s="269" t="n"/>
      <c r="R316" s="269" t="n"/>
      <c r="S316" s="269" t="n"/>
      <c r="T316" s="269" t="n"/>
      <c r="U316" s="269" t="n"/>
      <c r="V316" s="269" t="n"/>
      <c r="W316" s="270" t="n"/>
    </row>
    <row r="317" customFormat="1" s="163">
      <c r="A317" s="282" t="n"/>
      <c r="B317" s="277" t="n"/>
      <c r="C317" s="278" t="n"/>
      <c r="D317" s="269" t="n"/>
      <c r="E317" s="269" t="n"/>
      <c r="F317" s="269" t="n"/>
      <c r="G317" s="269" t="n"/>
      <c r="H317" s="269" t="n"/>
      <c r="I317" s="269" t="n"/>
      <c r="J317" s="269" t="n"/>
      <c r="K317" s="269" t="n"/>
      <c r="L317" s="269" t="n"/>
      <c r="M317" s="269" t="n"/>
      <c r="N317" s="269" t="n"/>
      <c r="O317" s="269" t="n"/>
      <c r="P317" s="269" t="n"/>
      <c r="Q317" s="269" t="n"/>
      <c r="R317" s="269" t="n"/>
      <c r="S317" s="269" t="n"/>
      <c r="T317" s="269" t="n"/>
      <c r="U317" s="269" t="n"/>
      <c r="V317" s="269" t="n"/>
      <c r="W317" s="270" t="n"/>
    </row>
    <row r="318" customFormat="1" s="163">
      <c r="A318" s="282" t="n"/>
      <c r="B318" s="277" t="n"/>
      <c r="C318" s="278" t="n"/>
      <c r="D318" s="269" t="n"/>
      <c r="E318" s="269" t="n"/>
      <c r="F318" s="269" t="n"/>
      <c r="G318" s="269" t="n"/>
      <c r="H318" s="269" t="n"/>
      <c r="I318" s="269" t="n"/>
      <c r="J318" s="269" t="n"/>
      <c r="K318" s="269" t="n"/>
      <c r="L318" s="269" t="n"/>
      <c r="M318" s="269" t="n"/>
      <c r="N318" s="269" t="n"/>
      <c r="O318" s="269" t="n"/>
      <c r="P318" s="269" t="n"/>
      <c r="Q318" s="269" t="n"/>
      <c r="R318" s="269" t="n"/>
      <c r="S318" s="269" t="n"/>
      <c r="T318" s="269" t="n"/>
      <c r="U318" s="269" t="n"/>
      <c r="V318" s="269" t="n"/>
      <c r="W318" s="270" t="n"/>
    </row>
    <row r="319" customFormat="1" s="163">
      <c r="A319" s="282" t="n"/>
      <c r="B319" s="277" t="n"/>
      <c r="C319" s="278" t="n"/>
      <c r="D319" s="269" t="n"/>
      <c r="E319" s="269" t="n"/>
      <c r="F319" s="269" t="n"/>
      <c r="G319" s="269" t="n"/>
      <c r="H319" s="269" t="n"/>
      <c r="I319" s="269" t="n"/>
      <c r="J319" s="269" t="n"/>
      <c r="K319" s="269" t="n"/>
      <c r="L319" s="269" t="n"/>
      <c r="M319" s="269" t="n"/>
      <c r="N319" s="269" t="n"/>
      <c r="O319" s="269" t="n"/>
      <c r="P319" s="269" t="n"/>
      <c r="Q319" s="269" t="n"/>
      <c r="R319" s="269" t="n"/>
      <c r="S319" s="269" t="n"/>
      <c r="T319" s="269" t="n"/>
      <c r="U319" s="269" t="n"/>
      <c r="V319" s="269" t="n"/>
      <c r="W319" s="270" t="n"/>
    </row>
    <row r="320" customFormat="1" s="163">
      <c r="A320" s="282" t="n"/>
      <c r="B320" s="277" t="n"/>
      <c r="C320" s="278" t="n"/>
      <c r="D320" s="269" t="n"/>
      <c r="E320" s="269" t="n"/>
      <c r="F320" s="269" t="n"/>
      <c r="G320" s="269" t="n"/>
      <c r="H320" s="269" t="n"/>
      <c r="I320" s="269" t="n"/>
      <c r="J320" s="269" t="n"/>
      <c r="K320" s="269" t="n"/>
      <c r="L320" s="269" t="n"/>
      <c r="M320" s="269" t="n"/>
      <c r="N320" s="269" t="n"/>
      <c r="O320" s="269" t="n"/>
      <c r="P320" s="269" t="n"/>
      <c r="Q320" s="269" t="n"/>
      <c r="R320" s="269" t="n"/>
      <c r="S320" s="269" t="n"/>
      <c r="T320" s="269" t="n"/>
      <c r="U320" s="269" t="n"/>
      <c r="V320" s="269" t="n"/>
      <c r="W320" s="270" t="n"/>
    </row>
    <row r="321" customFormat="1" s="163">
      <c r="A321" s="282" t="n"/>
      <c r="B321" s="277" t="n"/>
      <c r="C321" s="278" t="n"/>
      <c r="D321" s="269" t="n"/>
      <c r="E321" s="269" t="n"/>
      <c r="F321" s="269" t="n"/>
      <c r="G321" s="269" t="n"/>
      <c r="H321" s="269" t="n"/>
      <c r="I321" s="269" t="n"/>
      <c r="J321" s="269" t="n"/>
      <c r="K321" s="269" t="n"/>
      <c r="L321" s="269" t="n"/>
      <c r="M321" s="269" t="n"/>
      <c r="N321" s="269" t="n"/>
      <c r="O321" s="269" t="n"/>
      <c r="P321" s="269" t="n"/>
      <c r="Q321" s="269" t="n"/>
      <c r="R321" s="269" t="n"/>
      <c r="S321" s="269" t="n"/>
      <c r="T321" s="269" t="n"/>
      <c r="U321" s="269" t="n"/>
      <c r="V321" s="269" t="n"/>
      <c r="W321" s="270" t="n"/>
    </row>
    <row r="322" customFormat="1" s="163">
      <c r="A322" s="282" t="n"/>
      <c r="B322" s="277" t="n"/>
      <c r="C322" s="278" t="n"/>
      <c r="D322" s="269" t="n"/>
      <c r="E322" s="269" t="n"/>
      <c r="F322" s="269" t="n"/>
      <c r="G322" s="269" t="n"/>
      <c r="H322" s="269" t="n"/>
      <c r="I322" s="269" t="n"/>
      <c r="J322" s="269" t="n"/>
      <c r="K322" s="269" t="n"/>
      <c r="L322" s="269" t="n"/>
      <c r="M322" s="269" t="n"/>
      <c r="N322" s="269" t="n"/>
      <c r="O322" s="269" t="n"/>
      <c r="P322" s="269" t="n"/>
      <c r="Q322" s="269" t="n"/>
      <c r="R322" s="269" t="n"/>
      <c r="S322" s="269" t="n"/>
      <c r="T322" s="269" t="n"/>
      <c r="U322" s="269" t="n"/>
      <c r="V322" s="269" t="n"/>
      <c r="W322" s="270" t="n"/>
    </row>
    <row r="323" customFormat="1" s="163">
      <c r="A323" s="282" t="n"/>
      <c r="B323" s="277" t="n"/>
      <c r="C323" s="278" t="n"/>
      <c r="D323" s="269" t="n"/>
      <c r="E323" s="269" t="n"/>
      <c r="F323" s="269" t="n"/>
      <c r="G323" s="269" t="n"/>
      <c r="H323" s="269" t="n"/>
      <c r="I323" s="269" t="n"/>
      <c r="J323" s="269" t="n"/>
      <c r="K323" s="269" t="n"/>
      <c r="L323" s="269" t="n"/>
      <c r="M323" s="269" t="n"/>
      <c r="N323" s="269" t="n"/>
      <c r="O323" s="269" t="n"/>
      <c r="P323" s="269" t="n"/>
      <c r="Q323" s="269" t="n"/>
      <c r="R323" s="269" t="n"/>
      <c r="S323" s="269" t="n"/>
      <c r="T323" s="269" t="n"/>
      <c r="U323" s="269" t="n"/>
      <c r="V323" s="269" t="n"/>
      <c r="W323" s="270" t="n"/>
    </row>
    <row r="324" customFormat="1" s="163">
      <c r="A324" s="282" t="n"/>
      <c r="B324" s="277" t="n"/>
      <c r="C324" s="278" t="n"/>
      <c r="D324" s="269" t="n"/>
      <c r="E324" s="269" t="n"/>
      <c r="F324" s="269" t="n"/>
      <c r="G324" s="269" t="n"/>
      <c r="H324" s="269" t="n"/>
      <c r="I324" s="269" t="n"/>
      <c r="J324" s="269" t="n"/>
      <c r="K324" s="269" t="n"/>
      <c r="L324" s="269" t="n"/>
      <c r="M324" s="269" t="n"/>
      <c r="N324" s="269" t="n"/>
      <c r="O324" s="269" t="n"/>
      <c r="P324" s="269" t="n"/>
      <c r="Q324" s="269" t="n"/>
      <c r="R324" s="269" t="n"/>
      <c r="S324" s="269" t="n"/>
      <c r="T324" s="269" t="n"/>
      <c r="U324" s="269" t="n"/>
      <c r="V324" s="269" t="n"/>
      <c r="W324" s="270" t="n"/>
    </row>
    <row r="325" customFormat="1" s="163">
      <c r="A325" s="282" t="n"/>
      <c r="B325" s="277" t="n"/>
      <c r="C325" s="278" t="n"/>
      <c r="D325" s="269" t="n"/>
      <c r="E325" s="269" t="n"/>
      <c r="F325" s="269" t="n"/>
      <c r="G325" s="269" t="n"/>
      <c r="H325" s="269" t="n"/>
      <c r="I325" s="269" t="n"/>
      <c r="J325" s="269" t="n"/>
      <c r="K325" s="269" t="n"/>
      <c r="L325" s="269" t="n"/>
      <c r="M325" s="269" t="n"/>
      <c r="N325" s="269" t="n"/>
      <c r="O325" s="269" t="n"/>
      <c r="P325" s="269" t="n"/>
      <c r="Q325" s="269" t="n"/>
      <c r="R325" s="269" t="n"/>
      <c r="S325" s="269" t="n"/>
      <c r="T325" s="269" t="n"/>
      <c r="U325" s="269" t="n"/>
      <c r="V325" s="269" t="n"/>
      <c r="W325" s="270" t="n"/>
    </row>
    <row r="326" customFormat="1" s="163">
      <c r="A326" s="282" t="n"/>
      <c r="B326" s="277" t="n"/>
      <c r="C326" s="278" t="n"/>
      <c r="D326" s="269" t="n"/>
      <c r="E326" s="269" t="n"/>
      <c r="F326" s="269" t="n"/>
      <c r="G326" s="269" t="n"/>
      <c r="H326" s="269" t="n"/>
      <c r="I326" s="269" t="n"/>
      <c r="J326" s="269" t="n"/>
      <c r="K326" s="269" t="n"/>
      <c r="L326" s="269" t="n"/>
      <c r="M326" s="269" t="n"/>
      <c r="N326" s="269" t="n"/>
      <c r="O326" s="269" t="n"/>
      <c r="P326" s="269" t="n"/>
      <c r="Q326" s="269" t="n"/>
      <c r="R326" s="269" t="n"/>
      <c r="S326" s="269" t="n"/>
      <c r="T326" s="269" t="n"/>
      <c r="U326" s="269" t="n"/>
      <c r="V326" s="269" t="n"/>
      <c r="W326" s="270" t="n"/>
    </row>
    <row r="327" customFormat="1" s="163">
      <c r="A327" s="282" t="n"/>
      <c r="B327" s="277" t="n"/>
      <c r="C327" s="278" t="n"/>
      <c r="D327" s="269" t="n"/>
      <c r="E327" s="269" t="n"/>
      <c r="F327" s="269" t="n"/>
      <c r="G327" s="269" t="n"/>
      <c r="H327" s="269" t="n"/>
      <c r="I327" s="269" t="n"/>
      <c r="J327" s="269" t="n"/>
      <c r="K327" s="269" t="n"/>
      <c r="L327" s="269" t="n"/>
      <c r="M327" s="269" t="n"/>
      <c r="N327" s="269" t="n"/>
      <c r="O327" s="269" t="n"/>
      <c r="P327" s="269" t="n"/>
      <c r="Q327" s="269" t="n"/>
      <c r="R327" s="269" t="n"/>
      <c r="S327" s="269" t="n"/>
      <c r="T327" s="269" t="n"/>
      <c r="U327" s="269" t="n"/>
      <c r="V327" s="269" t="n"/>
      <c r="W327" s="270" t="n"/>
    </row>
    <row r="328" customFormat="1" s="163">
      <c r="A328" s="282" t="n"/>
      <c r="B328" s="277" t="n"/>
      <c r="C328" s="278" t="n"/>
      <c r="D328" s="269" t="n"/>
      <c r="E328" s="269" t="n"/>
      <c r="F328" s="269" t="n"/>
      <c r="G328" s="269" t="n"/>
      <c r="H328" s="269" t="n"/>
      <c r="I328" s="269" t="n"/>
      <c r="J328" s="269" t="n"/>
      <c r="K328" s="269" t="n"/>
      <c r="L328" s="269" t="n"/>
      <c r="M328" s="269" t="n"/>
      <c r="N328" s="269" t="n"/>
      <c r="O328" s="269" t="n"/>
      <c r="P328" s="269" t="n"/>
      <c r="Q328" s="269" t="n"/>
      <c r="R328" s="269" t="n"/>
      <c r="S328" s="269" t="n"/>
      <c r="T328" s="269" t="n"/>
      <c r="U328" s="269" t="n"/>
      <c r="V328" s="269" t="n"/>
      <c r="W328" s="270" t="n"/>
    </row>
    <row r="329" customFormat="1" s="163">
      <c r="A329" s="282" t="n"/>
      <c r="B329" s="277" t="n"/>
      <c r="C329" s="278" t="n"/>
      <c r="D329" s="269" t="n"/>
      <c r="E329" s="269" t="n"/>
      <c r="F329" s="269" t="n"/>
      <c r="G329" s="269" t="n"/>
      <c r="H329" s="269" t="n"/>
      <c r="I329" s="269" t="n"/>
      <c r="J329" s="269" t="n"/>
      <c r="K329" s="269" t="n"/>
      <c r="L329" s="269" t="n"/>
      <c r="M329" s="269" t="n"/>
      <c r="N329" s="269" t="n"/>
      <c r="O329" s="269" t="n"/>
      <c r="P329" s="269" t="n"/>
      <c r="Q329" s="269" t="n"/>
      <c r="R329" s="269" t="n"/>
      <c r="S329" s="269" t="n"/>
      <c r="T329" s="269" t="n"/>
      <c r="U329" s="269" t="n"/>
      <c r="V329" s="269" t="n"/>
      <c r="W329" s="270" t="n"/>
    </row>
    <row r="330" customFormat="1" s="163">
      <c r="A330" s="282" t="n"/>
      <c r="B330" s="277" t="n"/>
      <c r="C330" s="278" t="n"/>
      <c r="D330" s="269" t="n"/>
      <c r="E330" s="269" t="n"/>
      <c r="F330" s="269" t="n"/>
      <c r="G330" s="269" t="n"/>
      <c r="H330" s="269" t="n"/>
      <c r="I330" s="269" t="n"/>
      <c r="J330" s="269" t="n"/>
      <c r="K330" s="269" t="n"/>
      <c r="L330" s="269" t="n"/>
      <c r="M330" s="269" t="n"/>
      <c r="N330" s="269" t="n"/>
      <c r="O330" s="269" t="n"/>
      <c r="P330" s="269" t="n"/>
      <c r="Q330" s="269" t="n"/>
      <c r="R330" s="269" t="n"/>
      <c r="S330" s="269" t="n"/>
      <c r="T330" s="269" t="n"/>
      <c r="U330" s="269" t="n"/>
      <c r="V330" s="269" t="n"/>
      <c r="W330" s="270" t="n"/>
    </row>
    <row r="331" customFormat="1" s="163">
      <c r="A331" s="282" t="n"/>
      <c r="B331" s="277" t="n"/>
      <c r="C331" s="278" t="n"/>
      <c r="D331" s="269" t="n"/>
      <c r="E331" s="269" t="n"/>
      <c r="F331" s="269" t="n"/>
      <c r="G331" s="269" t="n"/>
      <c r="H331" s="269" t="n"/>
      <c r="I331" s="269" t="n"/>
      <c r="J331" s="269" t="n"/>
      <c r="K331" s="269" t="n"/>
      <c r="L331" s="269" t="n"/>
      <c r="M331" s="269" t="n"/>
      <c r="N331" s="269" t="n"/>
      <c r="O331" s="269" t="n"/>
      <c r="P331" s="269" t="n"/>
      <c r="Q331" s="269" t="n"/>
      <c r="R331" s="269" t="n"/>
      <c r="S331" s="269" t="n"/>
      <c r="T331" s="269" t="n"/>
      <c r="U331" s="269" t="n"/>
      <c r="V331" s="269" t="n"/>
      <c r="W331" s="270" t="n"/>
    </row>
    <row r="332" customFormat="1" s="163">
      <c r="A332" s="282" t="n"/>
      <c r="B332" s="277" t="n"/>
      <c r="C332" s="278" t="n"/>
      <c r="D332" s="269" t="n"/>
      <c r="E332" s="269" t="n"/>
      <c r="F332" s="269" t="n"/>
      <c r="G332" s="269" t="n"/>
      <c r="H332" s="269" t="n"/>
      <c r="I332" s="269" t="n"/>
      <c r="J332" s="269" t="n"/>
      <c r="K332" s="269" t="n"/>
      <c r="L332" s="269" t="n"/>
      <c r="M332" s="269" t="n"/>
      <c r="N332" s="269" t="n"/>
      <c r="O332" s="269" t="n"/>
      <c r="P332" s="269" t="n"/>
      <c r="Q332" s="269" t="n"/>
      <c r="R332" s="269" t="n"/>
      <c r="S332" s="269" t="n"/>
      <c r="T332" s="269" t="n"/>
      <c r="U332" s="269" t="n"/>
      <c r="V332" s="269" t="n"/>
      <c r="W332" s="270" t="n"/>
    </row>
    <row r="333" customFormat="1" s="163">
      <c r="A333" s="282" t="n"/>
      <c r="B333" s="277" t="n"/>
      <c r="C333" s="278" t="n"/>
      <c r="D333" s="269" t="n"/>
      <c r="E333" s="269" t="n"/>
      <c r="F333" s="269" t="n"/>
      <c r="G333" s="269" t="n"/>
      <c r="H333" s="269" t="n"/>
      <c r="I333" s="269" t="n"/>
      <c r="J333" s="269" t="n"/>
      <c r="K333" s="269" t="n"/>
      <c r="L333" s="269" t="n"/>
      <c r="M333" s="269" t="n"/>
      <c r="N333" s="269" t="n"/>
      <c r="O333" s="269" t="n"/>
      <c r="P333" s="269" t="n"/>
      <c r="Q333" s="269" t="n"/>
      <c r="R333" s="269" t="n"/>
      <c r="S333" s="269" t="n"/>
      <c r="T333" s="269" t="n"/>
      <c r="U333" s="269" t="n"/>
      <c r="V333" s="269" t="n"/>
      <c r="W333" s="270" t="n"/>
    </row>
    <row r="334" customFormat="1" s="163">
      <c r="A334" s="282" t="n"/>
      <c r="B334" s="277" t="n"/>
      <c r="C334" s="278" t="n"/>
      <c r="D334" s="269" t="n"/>
      <c r="E334" s="269" t="n"/>
      <c r="F334" s="269" t="n"/>
      <c r="G334" s="269" t="n"/>
      <c r="H334" s="269" t="n"/>
      <c r="I334" s="269" t="n"/>
      <c r="J334" s="269" t="n"/>
      <c r="K334" s="269" t="n"/>
      <c r="L334" s="269" t="n"/>
      <c r="M334" s="269" t="n"/>
      <c r="N334" s="269" t="n"/>
      <c r="O334" s="269" t="n"/>
      <c r="P334" s="269" t="n"/>
      <c r="Q334" s="269" t="n"/>
      <c r="R334" s="269" t="n"/>
      <c r="S334" s="269" t="n"/>
      <c r="T334" s="269" t="n"/>
      <c r="U334" s="269" t="n"/>
      <c r="V334" s="269" t="n"/>
      <c r="W334" s="270" t="n"/>
    </row>
    <row r="335" customFormat="1" s="163">
      <c r="A335" s="282" t="n"/>
      <c r="B335" s="277" t="n"/>
      <c r="C335" s="278" t="n"/>
      <c r="D335" s="269" t="n"/>
      <c r="E335" s="269" t="n"/>
      <c r="F335" s="269" t="n"/>
      <c r="G335" s="269" t="n"/>
      <c r="H335" s="269" t="n"/>
      <c r="I335" s="269" t="n"/>
      <c r="J335" s="269" t="n"/>
      <c r="K335" s="269" t="n"/>
      <c r="L335" s="269" t="n"/>
      <c r="M335" s="269" t="n"/>
      <c r="N335" s="269" t="n"/>
      <c r="O335" s="269" t="n"/>
      <c r="P335" s="269" t="n"/>
      <c r="Q335" s="269" t="n"/>
      <c r="R335" s="269" t="n"/>
      <c r="S335" s="269" t="n"/>
      <c r="T335" s="269" t="n"/>
      <c r="U335" s="269" t="n"/>
      <c r="V335" s="269" t="n"/>
      <c r="W335" s="270" t="n"/>
    </row>
    <row r="336" customFormat="1" s="163">
      <c r="A336" s="282" t="n"/>
      <c r="B336" s="277" t="n"/>
      <c r="C336" s="278" t="n"/>
      <c r="D336" s="269" t="n"/>
      <c r="E336" s="269" t="n"/>
      <c r="F336" s="269" t="n"/>
      <c r="G336" s="269" t="n"/>
      <c r="H336" s="269" t="n"/>
      <c r="I336" s="269" t="n"/>
      <c r="J336" s="269" t="n"/>
      <c r="K336" s="269" t="n"/>
      <c r="L336" s="269" t="n"/>
      <c r="M336" s="269" t="n"/>
      <c r="N336" s="269" t="n"/>
      <c r="O336" s="269" t="n"/>
      <c r="P336" s="269" t="n"/>
      <c r="Q336" s="269" t="n"/>
      <c r="R336" s="269" t="n"/>
      <c r="S336" s="269" t="n"/>
      <c r="T336" s="269" t="n"/>
      <c r="U336" s="269" t="n"/>
      <c r="V336" s="269" t="n"/>
      <c r="W336" s="270" t="n"/>
    </row>
    <row r="337" customFormat="1" s="163">
      <c r="A337" s="282" t="n"/>
      <c r="B337" s="277" t="n"/>
      <c r="C337" s="278" t="n"/>
      <c r="D337" s="269" t="n"/>
      <c r="E337" s="269" t="n"/>
      <c r="F337" s="269" t="n"/>
      <c r="G337" s="269" t="n"/>
      <c r="H337" s="269" t="n"/>
      <c r="I337" s="269" t="n"/>
      <c r="J337" s="269" t="n"/>
      <c r="K337" s="269" t="n"/>
      <c r="L337" s="269" t="n"/>
      <c r="M337" s="269" t="n"/>
      <c r="N337" s="269" t="n"/>
      <c r="O337" s="269" t="n"/>
      <c r="P337" s="269" t="n"/>
      <c r="Q337" s="269" t="n"/>
      <c r="R337" s="269" t="n"/>
      <c r="S337" s="269" t="n"/>
      <c r="T337" s="269" t="n"/>
      <c r="U337" s="269" t="n"/>
      <c r="V337" s="269" t="n"/>
      <c r="W337" s="270" t="n"/>
    </row>
    <row r="338" customFormat="1" s="163">
      <c r="A338" s="282" t="n"/>
      <c r="B338" s="277" t="n"/>
      <c r="C338" s="278" t="n"/>
      <c r="D338" s="269" t="n"/>
      <c r="E338" s="269" t="n"/>
      <c r="F338" s="269" t="n"/>
      <c r="G338" s="269" t="n"/>
      <c r="H338" s="269" t="n"/>
      <c r="I338" s="269" t="n"/>
      <c r="J338" s="269" t="n"/>
      <c r="K338" s="269" t="n"/>
      <c r="L338" s="269" t="n"/>
      <c r="M338" s="269" t="n"/>
      <c r="N338" s="269" t="n"/>
      <c r="O338" s="269" t="n"/>
      <c r="P338" s="269" t="n"/>
      <c r="Q338" s="269" t="n"/>
      <c r="R338" s="269" t="n"/>
      <c r="S338" s="269" t="n"/>
      <c r="T338" s="269" t="n"/>
      <c r="U338" s="269" t="n"/>
      <c r="V338" s="269" t="n"/>
      <c r="W338" s="270" t="n"/>
    </row>
    <row r="339" customFormat="1" s="163">
      <c r="A339" s="282" t="n"/>
      <c r="B339" s="277" t="n"/>
      <c r="C339" s="278" t="n"/>
      <c r="D339" s="269" t="n"/>
      <c r="E339" s="269" t="n"/>
      <c r="F339" s="269" t="n"/>
      <c r="G339" s="269" t="n"/>
      <c r="H339" s="269" t="n"/>
      <c r="I339" s="269" t="n"/>
      <c r="J339" s="269" t="n"/>
      <c r="K339" s="269" t="n"/>
      <c r="L339" s="269" t="n"/>
      <c r="M339" s="269" t="n"/>
      <c r="N339" s="269" t="n"/>
      <c r="O339" s="269" t="n"/>
      <c r="P339" s="269" t="n"/>
      <c r="Q339" s="269" t="n"/>
      <c r="R339" s="269" t="n"/>
      <c r="S339" s="269" t="n"/>
      <c r="T339" s="269" t="n"/>
      <c r="U339" s="269" t="n"/>
      <c r="V339" s="269" t="n"/>
      <c r="W339" s="270" t="n"/>
    </row>
    <row r="340" customFormat="1" s="163">
      <c r="A340" s="282" t="n"/>
      <c r="B340" s="277" t="n"/>
      <c r="C340" s="278" t="n"/>
      <c r="D340" s="269" t="n"/>
      <c r="E340" s="269" t="n"/>
      <c r="F340" s="269" t="n"/>
      <c r="G340" s="269" t="n"/>
      <c r="H340" s="269" t="n"/>
      <c r="I340" s="269" t="n"/>
      <c r="J340" s="269" t="n"/>
      <c r="K340" s="269" t="n"/>
      <c r="L340" s="269" t="n"/>
      <c r="M340" s="269" t="n"/>
      <c r="N340" s="269" t="n"/>
      <c r="O340" s="269" t="n"/>
      <c r="P340" s="269" t="n"/>
      <c r="Q340" s="269" t="n"/>
      <c r="R340" s="269" t="n"/>
      <c r="S340" s="269" t="n"/>
      <c r="T340" s="269" t="n"/>
      <c r="U340" s="269" t="n"/>
      <c r="V340" s="269" t="n"/>
      <c r="W340" s="270" t="n"/>
    </row>
    <row r="341" customFormat="1" s="163">
      <c r="A341" s="282" t="n"/>
      <c r="B341" s="277" t="n"/>
      <c r="C341" s="278" t="n"/>
      <c r="D341" s="269" t="n"/>
      <c r="E341" s="269" t="n"/>
      <c r="F341" s="269" t="n"/>
      <c r="G341" s="269" t="n"/>
      <c r="H341" s="269" t="n"/>
      <c r="I341" s="269" t="n"/>
      <c r="J341" s="269" t="n"/>
      <c r="K341" s="269" t="n"/>
      <c r="L341" s="269" t="n"/>
      <c r="M341" s="269" t="n"/>
      <c r="N341" s="269" t="n"/>
      <c r="O341" s="269" t="n"/>
      <c r="P341" s="269" t="n"/>
      <c r="Q341" s="269" t="n"/>
      <c r="R341" s="269" t="n"/>
      <c r="S341" s="269" t="n"/>
      <c r="T341" s="269" t="n"/>
      <c r="U341" s="269" t="n"/>
      <c r="V341" s="269" t="n"/>
      <c r="W341" s="270" t="n"/>
    </row>
    <row r="342" customFormat="1" s="163">
      <c r="A342" s="282" t="n"/>
      <c r="B342" s="277" t="n"/>
      <c r="C342" s="278" t="n"/>
      <c r="D342" s="269" t="n"/>
      <c r="E342" s="269" t="n"/>
      <c r="F342" s="269" t="n"/>
      <c r="G342" s="269" t="n"/>
      <c r="H342" s="269" t="n"/>
      <c r="I342" s="269" t="n"/>
      <c r="J342" s="269" t="n"/>
      <c r="K342" s="269" t="n"/>
      <c r="L342" s="269" t="n"/>
      <c r="M342" s="269" t="n"/>
      <c r="N342" s="269" t="n"/>
      <c r="O342" s="269" t="n"/>
      <c r="P342" s="269" t="n"/>
      <c r="Q342" s="269" t="n"/>
      <c r="R342" s="269" t="n"/>
      <c r="S342" s="269" t="n"/>
      <c r="T342" s="269" t="n"/>
      <c r="U342" s="269" t="n"/>
      <c r="V342" s="269" t="n"/>
      <c r="W342" s="270" t="n"/>
    </row>
    <row r="343" customFormat="1" s="163">
      <c r="A343" s="282" t="n"/>
      <c r="B343" s="277" t="n"/>
      <c r="C343" s="278" t="n"/>
      <c r="D343" s="269" t="n"/>
      <c r="E343" s="269" t="n"/>
      <c r="F343" s="269" t="n"/>
      <c r="G343" s="269" t="n"/>
      <c r="H343" s="269" t="n"/>
      <c r="I343" s="269" t="n"/>
      <c r="J343" s="269" t="n"/>
      <c r="K343" s="269" t="n"/>
      <c r="L343" s="269" t="n"/>
      <c r="M343" s="269" t="n"/>
      <c r="N343" s="269" t="n"/>
      <c r="O343" s="269" t="n"/>
      <c r="P343" s="269" t="n"/>
      <c r="Q343" s="269" t="n"/>
      <c r="R343" s="269" t="n"/>
      <c r="S343" s="269" t="n"/>
      <c r="T343" s="269" t="n"/>
      <c r="U343" s="269" t="n"/>
      <c r="V343" s="269" t="n"/>
      <c r="W343" s="270" t="n"/>
    </row>
    <row r="344" customFormat="1" s="163">
      <c r="A344" s="282" t="n"/>
      <c r="B344" s="277" t="n"/>
      <c r="C344" s="278" t="n"/>
      <c r="D344" s="269" t="n"/>
      <c r="E344" s="269" t="n"/>
      <c r="F344" s="269" t="n"/>
      <c r="G344" s="269" t="n"/>
      <c r="H344" s="269" t="n"/>
      <c r="I344" s="269" t="n"/>
      <c r="J344" s="269" t="n"/>
      <c r="K344" s="269" t="n"/>
      <c r="L344" s="269" t="n"/>
      <c r="M344" s="269" t="n"/>
      <c r="N344" s="269" t="n"/>
      <c r="O344" s="269" t="n"/>
      <c r="P344" s="269" t="n"/>
      <c r="Q344" s="269" t="n"/>
      <c r="R344" s="269" t="n"/>
      <c r="S344" s="269" t="n"/>
      <c r="T344" s="269" t="n"/>
      <c r="U344" s="269" t="n"/>
      <c r="V344" s="269" t="n"/>
      <c r="W344" s="270" t="n"/>
    </row>
    <row r="345" customFormat="1" s="163">
      <c r="A345" s="282" t="n"/>
      <c r="B345" s="277" t="n"/>
      <c r="C345" s="278" t="n"/>
      <c r="D345" s="269" t="n"/>
      <c r="E345" s="269" t="n"/>
      <c r="F345" s="269" t="n"/>
      <c r="G345" s="269" t="n"/>
      <c r="H345" s="269" t="n"/>
      <c r="I345" s="269" t="n"/>
      <c r="J345" s="269" t="n"/>
      <c r="K345" s="269" t="n"/>
      <c r="L345" s="269" t="n"/>
      <c r="M345" s="269" t="n"/>
      <c r="N345" s="269" t="n"/>
      <c r="O345" s="269" t="n"/>
      <c r="P345" s="269" t="n"/>
      <c r="Q345" s="269" t="n"/>
      <c r="R345" s="269" t="n"/>
      <c r="S345" s="269" t="n"/>
      <c r="T345" s="269" t="n"/>
      <c r="U345" s="269" t="n"/>
      <c r="V345" s="269" t="n"/>
      <c r="W345" s="270" t="n"/>
    </row>
    <row r="346" customFormat="1" s="163">
      <c r="A346" s="282" t="n"/>
      <c r="B346" s="277" t="n"/>
      <c r="C346" s="278" t="n"/>
      <c r="D346" s="269" t="n"/>
      <c r="E346" s="269" t="n"/>
      <c r="F346" s="269" t="n"/>
      <c r="G346" s="269" t="n"/>
      <c r="H346" s="269" t="n"/>
      <c r="I346" s="269" t="n"/>
      <c r="J346" s="269" t="n"/>
      <c r="K346" s="269" t="n"/>
      <c r="L346" s="269" t="n"/>
      <c r="M346" s="269" t="n"/>
      <c r="N346" s="269" t="n"/>
      <c r="O346" s="269" t="n"/>
      <c r="P346" s="269" t="n"/>
      <c r="Q346" s="269" t="n"/>
      <c r="R346" s="269" t="n"/>
      <c r="S346" s="269" t="n"/>
      <c r="T346" s="269" t="n"/>
      <c r="U346" s="269" t="n"/>
      <c r="V346" s="269" t="n"/>
      <c r="W346" s="270" t="n"/>
    </row>
    <row r="347" customFormat="1" s="163">
      <c r="A347" s="282" t="n"/>
      <c r="B347" s="277" t="n"/>
      <c r="C347" s="278" t="n"/>
      <c r="D347" s="269" t="n"/>
      <c r="E347" s="269" t="n"/>
      <c r="F347" s="269" t="n"/>
      <c r="G347" s="269" t="n"/>
      <c r="H347" s="269" t="n"/>
      <c r="I347" s="269" t="n"/>
      <c r="J347" s="269" t="n"/>
      <c r="K347" s="269" t="n"/>
      <c r="L347" s="269" t="n"/>
      <c r="M347" s="269" t="n"/>
      <c r="N347" s="269" t="n"/>
      <c r="O347" s="269" t="n"/>
      <c r="P347" s="269" t="n"/>
      <c r="Q347" s="269" t="n"/>
      <c r="R347" s="269" t="n"/>
      <c r="S347" s="269" t="n"/>
      <c r="T347" s="269" t="n"/>
      <c r="U347" s="269" t="n"/>
      <c r="V347" s="269" t="n"/>
      <c r="W347" s="270" t="n"/>
    </row>
    <row r="348" customFormat="1" s="163">
      <c r="A348" s="282" t="n"/>
      <c r="B348" s="277" t="n"/>
      <c r="C348" s="278" t="n"/>
      <c r="D348" s="269" t="n"/>
      <c r="E348" s="269" t="n"/>
      <c r="F348" s="269" t="n"/>
      <c r="G348" s="269" t="n"/>
      <c r="H348" s="269" t="n"/>
      <c r="I348" s="269" t="n"/>
      <c r="J348" s="269" t="n"/>
      <c r="K348" s="269" t="n"/>
      <c r="L348" s="269" t="n"/>
      <c r="M348" s="269" t="n"/>
      <c r="N348" s="269" t="n"/>
      <c r="O348" s="269" t="n"/>
      <c r="P348" s="269" t="n"/>
      <c r="Q348" s="269" t="n"/>
      <c r="R348" s="269" t="n"/>
      <c r="S348" s="269" t="n"/>
      <c r="T348" s="269" t="n"/>
      <c r="U348" s="269" t="n"/>
      <c r="V348" s="269" t="n"/>
      <c r="W348" s="270" t="n"/>
    </row>
    <row r="349" customFormat="1" s="163">
      <c r="A349" s="282" t="n"/>
      <c r="B349" s="277" t="n"/>
      <c r="C349" s="278" t="n"/>
      <c r="D349" s="269" t="n"/>
      <c r="E349" s="269" t="n"/>
      <c r="F349" s="269" t="n"/>
      <c r="G349" s="269" t="n"/>
      <c r="H349" s="269" t="n"/>
      <c r="I349" s="269" t="n"/>
      <c r="J349" s="269" t="n"/>
      <c r="K349" s="269" t="n"/>
      <c r="L349" s="269" t="n"/>
      <c r="M349" s="269" t="n"/>
      <c r="N349" s="269" t="n"/>
      <c r="O349" s="269" t="n"/>
      <c r="P349" s="269" t="n"/>
      <c r="Q349" s="269" t="n"/>
      <c r="R349" s="269" t="n"/>
      <c r="S349" s="269" t="n"/>
      <c r="T349" s="269" t="n"/>
      <c r="U349" s="269" t="n"/>
      <c r="V349" s="269" t="n"/>
      <c r="W349" s="270" t="n"/>
    </row>
    <row r="350" customFormat="1" s="163">
      <c r="A350" s="282" t="n"/>
      <c r="B350" s="277" t="n"/>
      <c r="C350" s="278" t="n"/>
      <c r="D350" s="269" t="n"/>
      <c r="E350" s="269" t="n"/>
      <c r="F350" s="269" t="n"/>
      <c r="G350" s="269" t="n"/>
      <c r="H350" s="269" t="n"/>
      <c r="I350" s="269" t="n"/>
      <c r="J350" s="269" t="n"/>
      <c r="K350" s="269" t="n"/>
      <c r="L350" s="269" t="n"/>
      <c r="M350" s="269" t="n"/>
      <c r="N350" s="269" t="n"/>
      <c r="O350" s="269" t="n"/>
      <c r="P350" s="269" t="n"/>
      <c r="Q350" s="269" t="n"/>
      <c r="R350" s="269" t="n"/>
      <c r="S350" s="269" t="n"/>
      <c r="T350" s="269" t="n"/>
      <c r="U350" s="269" t="n"/>
      <c r="V350" s="269" t="n"/>
      <c r="W350" s="270" t="n"/>
    </row>
    <row r="351" customFormat="1" s="163">
      <c r="A351" s="282" t="n"/>
      <c r="B351" s="277" t="n"/>
      <c r="C351" s="278" t="n"/>
      <c r="D351" s="269" t="n"/>
      <c r="E351" s="269" t="n"/>
      <c r="F351" s="269" t="n"/>
      <c r="G351" s="269" t="n"/>
      <c r="H351" s="269" t="n"/>
      <c r="I351" s="269" t="n"/>
      <c r="J351" s="269" t="n"/>
      <c r="K351" s="269" t="n"/>
      <c r="L351" s="269" t="n"/>
      <c r="M351" s="269" t="n"/>
      <c r="N351" s="269" t="n"/>
      <c r="O351" s="269" t="n"/>
      <c r="P351" s="269" t="n"/>
      <c r="Q351" s="269" t="n"/>
      <c r="R351" s="269" t="n"/>
      <c r="S351" s="269" t="n"/>
      <c r="T351" s="269" t="n"/>
      <c r="U351" s="269" t="n"/>
      <c r="V351" s="269" t="n"/>
      <c r="W351" s="270" t="n"/>
    </row>
    <row r="352" customFormat="1" s="163">
      <c r="A352" s="282" t="n"/>
      <c r="B352" s="277" t="n"/>
      <c r="C352" s="278" t="n"/>
      <c r="D352" s="269" t="n"/>
      <c r="E352" s="269" t="n"/>
      <c r="F352" s="269" t="n"/>
      <c r="G352" s="269" t="n"/>
      <c r="H352" s="269" t="n"/>
      <c r="I352" s="269" t="n"/>
      <c r="J352" s="269" t="n"/>
      <c r="K352" s="269" t="n"/>
      <c r="L352" s="269" t="n"/>
      <c r="M352" s="269" t="n"/>
      <c r="N352" s="269" t="n"/>
      <c r="O352" s="269" t="n"/>
      <c r="P352" s="269" t="n"/>
      <c r="Q352" s="269" t="n"/>
      <c r="R352" s="269" t="n"/>
      <c r="S352" s="269" t="n"/>
      <c r="T352" s="269" t="n"/>
      <c r="U352" s="269" t="n"/>
      <c r="V352" s="269" t="n"/>
      <c r="W352" s="270" t="n"/>
    </row>
    <row r="353" customFormat="1" s="163">
      <c r="A353" s="282" t="n"/>
      <c r="B353" s="277" t="n"/>
      <c r="C353" s="278" t="n"/>
      <c r="D353" s="269" t="n"/>
      <c r="E353" s="269" t="n"/>
      <c r="F353" s="269" t="n"/>
      <c r="G353" s="269" t="n"/>
      <c r="H353" s="269" t="n"/>
      <c r="I353" s="269" t="n"/>
      <c r="J353" s="269" t="n"/>
      <c r="K353" s="269" t="n"/>
      <c r="L353" s="269" t="n"/>
      <c r="M353" s="269" t="n"/>
      <c r="N353" s="269" t="n"/>
      <c r="O353" s="269" t="n"/>
      <c r="P353" s="269" t="n"/>
      <c r="Q353" s="269" t="n"/>
      <c r="R353" s="269" t="n"/>
      <c r="S353" s="269" t="n"/>
      <c r="T353" s="269" t="n"/>
      <c r="U353" s="269" t="n"/>
      <c r="V353" s="269" t="n"/>
      <c r="W353" s="270" t="n"/>
    </row>
    <row r="354" customFormat="1" s="163">
      <c r="A354" s="282" t="n"/>
      <c r="B354" s="277" t="n"/>
      <c r="C354" s="278" t="n"/>
      <c r="D354" s="269" t="n"/>
      <c r="E354" s="269" t="n"/>
      <c r="F354" s="269" t="n"/>
      <c r="G354" s="269" t="n"/>
      <c r="H354" s="269" t="n"/>
      <c r="I354" s="269" t="n"/>
      <c r="J354" s="269" t="n"/>
      <c r="K354" s="269" t="n"/>
      <c r="L354" s="269" t="n"/>
      <c r="M354" s="269" t="n"/>
      <c r="N354" s="269" t="n"/>
      <c r="O354" s="269" t="n"/>
      <c r="P354" s="269" t="n"/>
      <c r="Q354" s="269" t="n"/>
      <c r="R354" s="269" t="n"/>
      <c r="S354" s="269" t="n"/>
      <c r="T354" s="269" t="n"/>
      <c r="U354" s="269" t="n"/>
      <c r="V354" s="269" t="n"/>
      <c r="W354" s="270" t="n"/>
    </row>
    <row r="355" customFormat="1" s="163">
      <c r="A355" s="282" t="n"/>
      <c r="B355" s="277" t="n"/>
      <c r="C355" s="278" t="n"/>
      <c r="D355" s="269" t="n"/>
      <c r="E355" s="269" t="n"/>
      <c r="F355" s="269" t="n"/>
      <c r="G355" s="269" t="n"/>
      <c r="H355" s="269" t="n"/>
      <c r="I355" s="269" t="n"/>
      <c r="J355" s="269" t="n"/>
      <c r="K355" s="269" t="n"/>
      <c r="L355" s="269" t="n"/>
      <c r="M355" s="269" t="n"/>
      <c r="N355" s="269" t="n"/>
      <c r="O355" s="269" t="n"/>
      <c r="P355" s="269" t="n"/>
      <c r="Q355" s="269" t="n"/>
      <c r="R355" s="269" t="n"/>
      <c r="S355" s="269" t="n"/>
      <c r="T355" s="269" t="n"/>
      <c r="U355" s="269" t="n"/>
      <c r="V355" s="269" t="n"/>
      <c r="W355" s="270" t="n"/>
    </row>
    <row r="356" customFormat="1" s="163">
      <c r="A356" s="282" t="n"/>
      <c r="B356" s="277" t="n"/>
      <c r="C356" s="278" t="n"/>
      <c r="D356" s="269" t="n"/>
      <c r="E356" s="269" t="n"/>
      <c r="F356" s="269" t="n"/>
      <c r="G356" s="269" t="n"/>
      <c r="H356" s="269" t="n"/>
      <c r="I356" s="269" t="n"/>
      <c r="J356" s="269" t="n"/>
      <c r="K356" s="269" t="n"/>
      <c r="L356" s="269" t="n"/>
      <c r="M356" s="269" t="n"/>
      <c r="N356" s="269" t="n"/>
      <c r="O356" s="269" t="n"/>
      <c r="P356" s="269" t="n"/>
      <c r="Q356" s="269" t="n"/>
      <c r="R356" s="269" t="n"/>
      <c r="S356" s="269" t="n"/>
      <c r="T356" s="269" t="n"/>
      <c r="U356" s="269" t="n"/>
      <c r="V356" s="269" t="n"/>
      <c r="W356" s="270" t="n"/>
    </row>
    <row r="357" customFormat="1" s="163">
      <c r="A357" s="282" t="n"/>
      <c r="B357" s="277" t="n"/>
      <c r="C357" s="278" t="n"/>
      <c r="D357" s="269" t="n"/>
      <c r="E357" s="269" t="n"/>
      <c r="F357" s="269" t="n"/>
      <c r="G357" s="269" t="n"/>
      <c r="H357" s="269" t="n"/>
      <c r="I357" s="269" t="n"/>
      <c r="J357" s="269" t="n"/>
      <c r="K357" s="269" t="n"/>
      <c r="L357" s="269" t="n"/>
      <c r="M357" s="269" t="n"/>
      <c r="N357" s="269" t="n"/>
      <c r="O357" s="269" t="n"/>
      <c r="P357" s="269" t="n"/>
      <c r="Q357" s="269" t="n"/>
      <c r="R357" s="269" t="n"/>
      <c r="S357" s="269" t="n"/>
      <c r="T357" s="269" t="n"/>
      <c r="U357" s="269" t="n"/>
      <c r="V357" s="269" t="n"/>
      <c r="W357" s="270" t="n"/>
    </row>
    <row r="358" customFormat="1" s="163">
      <c r="A358" s="282" t="n"/>
      <c r="B358" s="277" t="n"/>
      <c r="C358" s="278" t="n"/>
      <c r="D358" s="269" t="n"/>
      <c r="E358" s="269" t="n"/>
      <c r="F358" s="269" t="n"/>
      <c r="G358" s="269" t="n"/>
      <c r="H358" s="269" t="n"/>
      <c r="I358" s="269" t="n"/>
      <c r="J358" s="269" t="n"/>
      <c r="K358" s="269" t="n"/>
      <c r="L358" s="269" t="n"/>
      <c r="M358" s="269" t="n"/>
      <c r="N358" s="269" t="n"/>
      <c r="O358" s="269" t="n"/>
      <c r="P358" s="269" t="n"/>
      <c r="Q358" s="269" t="n"/>
      <c r="R358" s="269" t="n"/>
      <c r="S358" s="269" t="n"/>
      <c r="T358" s="269" t="n"/>
      <c r="U358" s="269" t="n"/>
      <c r="V358" s="269" t="n"/>
      <c r="W358" s="270" t="n"/>
    </row>
    <row r="359" customFormat="1" s="163">
      <c r="A359" s="282" t="n"/>
      <c r="B359" s="277" t="n"/>
      <c r="C359" s="278" t="n"/>
      <c r="D359" s="269" t="n"/>
      <c r="E359" s="269" t="n"/>
      <c r="F359" s="269" t="n"/>
      <c r="G359" s="269" t="n"/>
      <c r="H359" s="269" t="n"/>
      <c r="I359" s="269" t="n"/>
      <c r="J359" s="269" t="n"/>
      <c r="K359" s="269" t="n"/>
      <c r="L359" s="269" t="n"/>
      <c r="M359" s="269" t="n"/>
      <c r="N359" s="269" t="n"/>
      <c r="O359" s="269" t="n"/>
      <c r="P359" s="269" t="n"/>
      <c r="Q359" s="269" t="n"/>
      <c r="R359" s="269" t="n"/>
      <c r="S359" s="269" t="n"/>
      <c r="T359" s="269" t="n"/>
      <c r="U359" s="269" t="n"/>
      <c r="V359" s="269" t="n"/>
      <c r="W359" s="270" t="n"/>
    </row>
    <row r="360" customFormat="1" s="163">
      <c r="A360" s="282" t="n"/>
      <c r="B360" s="277" t="n"/>
      <c r="C360" s="278" t="n"/>
      <c r="D360" s="269" t="n"/>
      <c r="E360" s="269" t="n"/>
      <c r="F360" s="269" t="n"/>
      <c r="G360" s="269" t="n"/>
      <c r="H360" s="269" t="n"/>
      <c r="I360" s="269" t="n"/>
      <c r="J360" s="269" t="n"/>
      <c r="K360" s="269" t="n"/>
      <c r="L360" s="269" t="n"/>
      <c r="M360" s="269" t="n"/>
      <c r="N360" s="269" t="n"/>
      <c r="O360" s="269" t="n"/>
      <c r="P360" s="269" t="n"/>
      <c r="Q360" s="269" t="n"/>
      <c r="R360" s="269" t="n"/>
      <c r="S360" s="269" t="n"/>
      <c r="T360" s="269" t="n"/>
      <c r="U360" s="269" t="n"/>
      <c r="V360" s="269" t="n"/>
      <c r="W360" s="270" t="n"/>
    </row>
    <row r="361" customFormat="1" s="163">
      <c r="A361" s="282" t="n"/>
      <c r="B361" s="277" t="n"/>
      <c r="C361" s="278" t="n"/>
      <c r="D361" s="269" t="n"/>
      <c r="E361" s="269" t="n"/>
      <c r="F361" s="269" t="n"/>
      <c r="G361" s="269" t="n"/>
      <c r="H361" s="269" t="n"/>
      <c r="I361" s="269" t="n"/>
      <c r="J361" s="269" t="n"/>
      <c r="K361" s="269" t="n"/>
      <c r="L361" s="269" t="n"/>
      <c r="M361" s="269" t="n"/>
      <c r="N361" s="269" t="n"/>
      <c r="O361" s="269" t="n"/>
      <c r="P361" s="269" t="n"/>
      <c r="Q361" s="269" t="n"/>
      <c r="R361" s="269" t="n"/>
      <c r="S361" s="269" t="n"/>
      <c r="T361" s="269" t="n"/>
      <c r="U361" s="269" t="n"/>
      <c r="V361" s="269" t="n"/>
      <c r="W361" s="270" t="n"/>
    </row>
    <row r="362" customFormat="1" s="163">
      <c r="A362" s="282" t="n"/>
      <c r="B362" s="277" t="n"/>
      <c r="C362" s="278" t="n"/>
      <c r="D362" s="269" t="n"/>
      <c r="E362" s="269" t="n"/>
      <c r="F362" s="269" t="n"/>
      <c r="G362" s="269" t="n"/>
      <c r="H362" s="269" t="n"/>
      <c r="I362" s="269" t="n"/>
      <c r="J362" s="269" t="n"/>
      <c r="K362" s="269" t="n"/>
      <c r="L362" s="269" t="n"/>
      <c r="M362" s="269" t="n"/>
      <c r="N362" s="269" t="n"/>
      <c r="O362" s="269" t="n"/>
      <c r="P362" s="269" t="n"/>
      <c r="Q362" s="269" t="n"/>
      <c r="R362" s="269" t="n"/>
      <c r="S362" s="269" t="n"/>
      <c r="T362" s="269" t="n"/>
      <c r="U362" s="269" t="n"/>
      <c r="V362" s="269" t="n"/>
      <c r="W362" s="270" t="n"/>
    </row>
    <row r="363" customFormat="1" s="163">
      <c r="A363" s="282" t="n"/>
      <c r="B363" s="277" t="n"/>
      <c r="C363" s="278" t="n"/>
      <c r="D363" s="269" t="n"/>
      <c r="E363" s="269" t="n"/>
      <c r="F363" s="269" t="n"/>
      <c r="G363" s="269" t="n"/>
      <c r="H363" s="269" t="n"/>
      <c r="I363" s="269" t="n"/>
      <c r="J363" s="269" t="n"/>
      <c r="K363" s="269" t="n"/>
      <c r="L363" s="269" t="n"/>
      <c r="M363" s="269" t="n"/>
      <c r="N363" s="269" t="n"/>
      <c r="O363" s="269" t="n"/>
      <c r="P363" s="269" t="n"/>
      <c r="Q363" s="269" t="n"/>
      <c r="R363" s="269" t="n"/>
      <c r="S363" s="269" t="n"/>
      <c r="T363" s="269" t="n"/>
      <c r="U363" s="269" t="n"/>
      <c r="V363" s="269" t="n"/>
      <c r="W363" s="270" t="n"/>
    </row>
    <row r="364" customFormat="1" s="163">
      <c r="A364" s="282" t="n"/>
      <c r="B364" s="277" t="n"/>
      <c r="C364" s="278" t="n"/>
      <c r="D364" s="269" t="n"/>
      <c r="E364" s="269" t="n"/>
      <c r="F364" s="269" t="n"/>
      <c r="G364" s="269" t="n"/>
      <c r="H364" s="269" t="n"/>
      <c r="I364" s="269" t="n"/>
      <c r="J364" s="269" t="n"/>
      <c r="K364" s="269" t="n"/>
      <c r="L364" s="269" t="n"/>
      <c r="M364" s="269" t="n"/>
      <c r="N364" s="269" t="n"/>
      <c r="O364" s="269" t="n"/>
      <c r="P364" s="269" t="n"/>
      <c r="Q364" s="269" t="n"/>
      <c r="R364" s="269" t="n"/>
      <c r="S364" s="269" t="n"/>
      <c r="T364" s="269" t="n"/>
      <c r="U364" s="269" t="n"/>
      <c r="V364" s="269" t="n"/>
      <c r="W364" s="270" t="n"/>
    </row>
    <row r="365" customFormat="1" s="163">
      <c r="A365" s="282" t="n"/>
      <c r="B365" s="277" t="n"/>
      <c r="C365" s="278" t="n"/>
      <c r="D365" s="269" t="n"/>
      <c r="E365" s="269" t="n"/>
      <c r="F365" s="269" t="n"/>
      <c r="G365" s="269" t="n"/>
      <c r="H365" s="269" t="n"/>
      <c r="I365" s="269" t="n"/>
      <c r="J365" s="269" t="n"/>
      <c r="K365" s="269" t="n"/>
      <c r="L365" s="269" t="n"/>
      <c r="M365" s="269" t="n"/>
      <c r="N365" s="269" t="n"/>
      <c r="O365" s="269" t="n"/>
      <c r="P365" s="269" t="n"/>
      <c r="Q365" s="269" t="n"/>
      <c r="R365" s="269" t="n"/>
      <c r="S365" s="269" t="n"/>
      <c r="T365" s="269" t="n"/>
      <c r="U365" s="269" t="n"/>
      <c r="V365" s="269" t="n"/>
      <c r="W365" s="270" t="n"/>
    </row>
    <row r="366" customFormat="1" s="163">
      <c r="A366" s="282" t="n"/>
      <c r="B366" s="277" t="n"/>
      <c r="C366" s="278" t="n"/>
      <c r="D366" s="269" t="n"/>
      <c r="E366" s="269" t="n"/>
      <c r="F366" s="269" t="n"/>
      <c r="G366" s="269" t="n"/>
      <c r="H366" s="269" t="n"/>
      <c r="I366" s="269" t="n"/>
      <c r="J366" s="269" t="n"/>
      <c r="K366" s="269" t="n"/>
      <c r="L366" s="269" t="n"/>
      <c r="M366" s="269" t="n"/>
      <c r="N366" s="269" t="n"/>
      <c r="O366" s="269" t="n"/>
      <c r="P366" s="269" t="n"/>
      <c r="Q366" s="269" t="n"/>
      <c r="R366" s="269" t="n"/>
      <c r="S366" s="269" t="n"/>
      <c r="T366" s="269" t="n"/>
      <c r="U366" s="269" t="n"/>
      <c r="V366" s="269" t="n"/>
      <c r="W366" s="270" t="n"/>
    </row>
    <row r="367" customFormat="1" s="163">
      <c r="A367" s="282" t="n"/>
      <c r="B367" s="277" t="n"/>
      <c r="C367" s="278" t="n"/>
      <c r="D367" s="269" t="n"/>
      <c r="E367" s="269" t="n"/>
      <c r="F367" s="269" t="n"/>
      <c r="G367" s="269" t="n"/>
      <c r="H367" s="269" t="n"/>
      <c r="I367" s="269" t="n"/>
      <c r="J367" s="269" t="n"/>
      <c r="K367" s="269" t="n"/>
      <c r="L367" s="269" t="n"/>
      <c r="M367" s="269" t="n"/>
      <c r="N367" s="269" t="n"/>
      <c r="O367" s="269" t="n"/>
      <c r="P367" s="269" t="n"/>
      <c r="Q367" s="269" t="n"/>
      <c r="R367" s="269" t="n"/>
      <c r="S367" s="269" t="n"/>
      <c r="T367" s="269" t="n"/>
      <c r="U367" s="269" t="n"/>
      <c r="V367" s="269" t="n"/>
      <c r="W367" s="270" t="n"/>
    </row>
    <row r="368" customFormat="1" s="163">
      <c r="A368" s="282" t="n"/>
      <c r="B368" s="277" t="n"/>
      <c r="C368" s="278" t="n"/>
      <c r="D368" s="269" t="n"/>
      <c r="E368" s="269" t="n"/>
      <c r="F368" s="269" t="n"/>
      <c r="G368" s="269" t="n"/>
      <c r="H368" s="269" t="n"/>
      <c r="I368" s="269" t="n"/>
      <c r="J368" s="269" t="n"/>
      <c r="K368" s="269" t="n"/>
      <c r="L368" s="269" t="n"/>
      <c r="M368" s="269" t="n"/>
      <c r="N368" s="269" t="n"/>
      <c r="O368" s="269" t="n"/>
      <c r="P368" s="269" t="n"/>
      <c r="Q368" s="269" t="n"/>
      <c r="R368" s="269" t="n"/>
      <c r="S368" s="269" t="n"/>
      <c r="T368" s="269" t="n"/>
      <c r="U368" s="269" t="n"/>
      <c r="V368" s="269" t="n"/>
      <c r="W368" s="270" t="n"/>
    </row>
    <row r="369" customFormat="1" s="163">
      <c r="A369" s="282" t="n"/>
      <c r="B369" s="277" t="n"/>
      <c r="C369" s="278" t="n"/>
      <c r="D369" s="269" t="n"/>
      <c r="E369" s="269" t="n"/>
      <c r="F369" s="269" t="n"/>
      <c r="G369" s="269" t="n"/>
      <c r="H369" s="269" t="n"/>
      <c r="I369" s="269" t="n"/>
      <c r="J369" s="269" t="n"/>
      <c r="K369" s="269" t="n"/>
      <c r="L369" s="269" t="n"/>
      <c r="M369" s="269" t="n"/>
      <c r="N369" s="269" t="n"/>
      <c r="O369" s="269" t="n"/>
      <c r="P369" s="269" t="n"/>
      <c r="Q369" s="269" t="n"/>
      <c r="R369" s="269" t="n"/>
      <c r="S369" s="269" t="n"/>
      <c r="T369" s="269" t="n"/>
      <c r="U369" s="269" t="n"/>
      <c r="V369" s="269" t="n"/>
      <c r="W369" s="270" t="n"/>
    </row>
    <row r="370" customFormat="1" s="163">
      <c r="A370" s="282" t="n"/>
      <c r="B370" s="277" t="n"/>
      <c r="C370" s="278" t="n"/>
      <c r="D370" s="269" t="n"/>
      <c r="E370" s="269" t="n"/>
      <c r="F370" s="269" t="n"/>
      <c r="G370" s="269" t="n"/>
      <c r="H370" s="269" t="n"/>
      <c r="I370" s="269" t="n"/>
      <c r="J370" s="269" t="n"/>
      <c r="K370" s="269" t="n"/>
      <c r="L370" s="269" t="n"/>
      <c r="M370" s="269" t="n"/>
      <c r="N370" s="269" t="n"/>
      <c r="O370" s="269" t="n"/>
      <c r="P370" s="269" t="n"/>
      <c r="Q370" s="269" t="n"/>
      <c r="R370" s="269" t="n"/>
      <c r="S370" s="269" t="n"/>
      <c r="T370" s="269" t="n"/>
      <c r="U370" s="269" t="n"/>
      <c r="V370" s="269" t="n"/>
      <c r="W370" s="270" t="n"/>
    </row>
    <row r="371" customFormat="1" s="163">
      <c r="A371" s="282" t="n"/>
      <c r="B371" s="277" t="n"/>
      <c r="C371" s="278" t="n"/>
      <c r="D371" s="269" t="n"/>
      <c r="E371" s="269" t="n"/>
      <c r="F371" s="269" t="n"/>
      <c r="G371" s="269" t="n"/>
      <c r="H371" s="269" t="n"/>
      <c r="I371" s="269" t="n"/>
      <c r="J371" s="269" t="n"/>
      <c r="K371" s="269" t="n"/>
      <c r="L371" s="269" t="n"/>
      <c r="M371" s="269" t="n"/>
      <c r="N371" s="269" t="n"/>
      <c r="O371" s="269" t="n"/>
      <c r="P371" s="269" t="n"/>
      <c r="Q371" s="269" t="n"/>
      <c r="R371" s="269" t="n"/>
      <c r="S371" s="269" t="n"/>
      <c r="T371" s="269" t="n"/>
      <c r="U371" s="269" t="n"/>
      <c r="V371" s="269" t="n"/>
      <c r="W371" s="270" t="n"/>
    </row>
    <row r="372" customFormat="1" s="163">
      <c r="A372" s="282" t="n"/>
      <c r="B372" s="277" t="n"/>
      <c r="C372" s="278" t="n"/>
      <c r="D372" s="269" t="n"/>
      <c r="E372" s="269" t="n"/>
      <c r="F372" s="269" t="n"/>
      <c r="G372" s="269" t="n"/>
      <c r="H372" s="269" t="n"/>
      <c r="I372" s="269" t="n"/>
      <c r="J372" s="269" t="n"/>
      <c r="K372" s="269" t="n"/>
      <c r="L372" s="269" t="n"/>
      <c r="M372" s="269" t="n"/>
      <c r="N372" s="269" t="n"/>
      <c r="O372" s="269" t="n"/>
      <c r="P372" s="269" t="n"/>
      <c r="Q372" s="269" t="n"/>
      <c r="R372" s="269" t="n"/>
      <c r="S372" s="269" t="n"/>
      <c r="T372" s="269" t="n"/>
      <c r="U372" s="269" t="n"/>
      <c r="V372" s="269" t="n"/>
      <c r="W372" s="270" t="n"/>
    </row>
    <row r="373" customFormat="1" s="163">
      <c r="A373" s="282" t="n"/>
      <c r="B373" s="277" t="n"/>
      <c r="C373" s="278" t="n"/>
      <c r="D373" s="269" t="n"/>
      <c r="E373" s="269" t="n"/>
      <c r="F373" s="269" t="n"/>
      <c r="G373" s="269" t="n"/>
      <c r="H373" s="269" t="n"/>
      <c r="I373" s="269" t="n"/>
      <c r="J373" s="269" t="n"/>
      <c r="K373" s="269" t="n"/>
      <c r="L373" s="269" t="n"/>
      <c r="M373" s="269" t="n"/>
      <c r="N373" s="269" t="n"/>
      <c r="O373" s="269" t="n"/>
      <c r="P373" s="269" t="n"/>
      <c r="Q373" s="269" t="n"/>
      <c r="R373" s="269" t="n"/>
      <c r="S373" s="269" t="n"/>
      <c r="T373" s="269" t="n"/>
      <c r="U373" s="269" t="n"/>
      <c r="V373" s="269" t="n"/>
      <c r="W373" s="270" t="n"/>
    </row>
    <row r="374" customFormat="1" s="163">
      <c r="A374" s="282" t="n"/>
      <c r="B374" s="277" t="n"/>
      <c r="C374" s="278" t="n"/>
      <c r="D374" s="269" t="n"/>
      <c r="E374" s="269" t="n"/>
      <c r="F374" s="269" t="n"/>
      <c r="G374" s="269" t="n"/>
      <c r="H374" s="269" t="n"/>
      <c r="I374" s="269" t="n"/>
      <c r="J374" s="269" t="n"/>
      <c r="K374" s="269" t="n"/>
      <c r="L374" s="269" t="n"/>
      <c r="M374" s="269" t="n"/>
      <c r="N374" s="269" t="n"/>
      <c r="O374" s="269" t="n"/>
      <c r="P374" s="269" t="n"/>
      <c r="Q374" s="269" t="n"/>
      <c r="R374" s="269" t="n"/>
      <c r="S374" s="269" t="n"/>
      <c r="T374" s="269" t="n"/>
      <c r="U374" s="269" t="n"/>
      <c r="V374" s="269" t="n"/>
      <c r="W374" s="270" t="n"/>
    </row>
    <row r="375" customFormat="1" s="163">
      <c r="A375" s="282" t="n"/>
      <c r="B375" s="277" t="n"/>
      <c r="C375" s="278" t="n"/>
      <c r="D375" s="269" t="n"/>
      <c r="E375" s="269" t="n"/>
      <c r="F375" s="269" t="n"/>
      <c r="G375" s="269" t="n"/>
      <c r="H375" s="269" t="n"/>
      <c r="I375" s="269" t="n"/>
      <c r="J375" s="269" t="n"/>
      <c r="K375" s="269" t="n"/>
      <c r="L375" s="269" t="n"/>
      <c r="M375" s="269" t="n"/>
      <c r="N375" s="269" t="n"/>
      <c r="O375" s="269" t="n"/>
      <c r="P375" s="269" t="n"/>
      <c r="Q375" s="269" t="n"/>
      <c r="R375" s="269" t="n"/>
      <c r="S375" s="269" t="n"/>
      <c r="T375" s="269" t="n"/>
      <c r="U375" s="269" t="n"/>
      <c r="V375" s="269" t="n"/>
      <c r="W375" s="270" t="n"/>
    </row>
    <row r="376" customFormat="1" s="163">
      <c r="A376" s="282" t="n"/>
      <c r="B376" s="277" t="n"/>
      <c r="C376" s="278" t="n"/>
      <c r="D376" s="269" t="n"/>
      <c r="E376" s="269" t="n"/>
      <c r="F376" s="269" t="n"/>
      <c r="G376" s="269" t="n"/>
      <c r="H376" s="269" t="n"/>
      <c r="I376" s="269" t="n"/>
      <c r="J376" s="269" t="n"/>
      <c r="K376" s="269" t="n"/>
      <c r="L376" s="269" t="n"/>
      <c r="M376" s="269" t="n"/>
      <c r="N376" s="269" t="n"/>
      <c r="O376" s="269" t="n"/>
      <c r="P376" s="269" t="n"/>
      <c r="Q376" s="269" t="n"/>
      <c r="R376" s="269" t="n"/>
      <c r="S376" s="269" t="n"/>
      <c r="T376" s="269" t="n"/>
      <c r="U376" s="269" t="n"/>
      <c r="V376" s="269" t="n"/>
      <c r="W376" s="270" t="n"/>
    </row>
    <row r="377" customFormat="1" s="163">
      <c r="A377" s="282" t="n"/>
      <c r="B377" s="277" t="n"/>
      <c r="C377" s="278" t="n"/>
      <c r="D377" s="269" t="n"/>
      <c r="E377" s="269" t="n"/>
      <c r="F377" s="269" t="n"/>
      <c r="G377" s="269" t="n"/>
      <c r="H377" s="269" t="n"/>
      <c r="I377" s="269" t="n"/>
      <c r="J377" s="269" t="n"/>
      <c r="K377" s="269" t="n"/>
      <c r="L377" s="269" t="n"/>
      <c r="M377" s="269" t="n"/>
      <c r="N377" s="269" t="n"/>
      <c r="O377" s="269" t="n"/>
      <c r="P377" s="269" t="n"/>
      <c r="Q377" s="269" t="n"/>
      <c r="R377" s="269" t="n"/>
      <c r="S377" s="269" t="n"/>
      <c r="T377" s="269" t="n"/>
      <c r="U377" s="269" t="n"/>
      <c r="V377" s="269" t="n"/>
      <c r="W377" s="270" t="n"/>
    </row>
    <row r="378" customFormat="1" s="163">
      <c r="A378" s="282" t="n"/>
      <c r="B378" s="277" t="n"/>
      <c r="C378" s="278" t="n"/>
      <c r="D378" s="269" t="n"/>
      <c r="E378" s="269" t="n"/>
      <c r="F378" s="269" t="n"/>
      <c r="G378" s="269" t="n"/>
      <c r="H378" s="269" t="n"/>
      <c r="I378" s="269" t="n"/>
      <c r="J378" s="269" t="n"/>
      <c r="K378" s="269" t="n"/>
      <c r="L378" s="269" t="n"/>
      <c r="M378" s="269" t="n"/>
      <c r="N378" s="269" t="n"/>
      <c r="O378" s="269" t="n"/>
      <c r="P378" s="269" t="n"/>
      <c r="Q378" s="269" t="n"/>
      <c r="R378" s="269" t="n"/>
      <c r="S378" s="269" t="n"/>
      <c r="T378" s="269" t="n"/>
      <c r="U378" s="269" t="n"/>
      <c r="V378" s="269" t="n"/>
      <c r="W378" s="270" t="n"/>
    </row>
    <row r="379" customFormat="1" s="163">
      <c r="A379" s="282" t="n"/>
      <c r="B379" s="277" t="n"/>
      <c r="C379" s="278" t="n"/>
      <c r="D379" s="269" t="n"/>
      <c r="E379" s="269" t="n"/>
      <c r="F379" s="269" t="n"/>
      <c r="G379" s="269" t="n"/>
      <c r="H379" s="269" t="n"/>
      <c r="I379" s="269" t="n"/>
      <c r="J379" s="269" t="n"/>
      <c r="K379" s="269" t="n"/>
      <c r="L379" s="269" t="n"/>
      <c r="M379" s="269" t="n"/>
      <c r="N379" s="269" t="n"/>
      <c r="O379" s="269" t="n"/>
      <c r="P379" s="269" t="n"/>
      <c r="Q379" s="269" t="n"/>
      <c r="R379" s="269" t="n"/>
      <c r="S379" s="269" t="n"/>
      <c r="T379" s="269" t="n"/>
      <c r="U379" s="269" t="n"/>
      <c r="V379" s="269" t="n"/>
      <c r="W379" s="270" t="n"/>
    </row>
    <row r="380" customFormat="1" s="163">
      <c r="A380" s="282" t="n"/>
      <c r="B380" s="277" t="n"/>
      <c r="C380" s="278" t="n"/>
      <c r="D380" s="269" t="n"/>
      <c r="E380" s="269" t="n"/>
      <c r="F380" s="269" t="n"/>
      <c r="G380" s="269" t="n"/>
      <c r="H380" s="269" t="n"/>
      <c r="I380" s="269" t="n"/>
      <c r="J380" s="269" t="n"/>
      <c r="K380" s="269" t="n"/>
      <c r="L380" s="269" t="n"/>
      <c r="M380" s="269" t="n"/>
      <c r="N380" s="269" t="n"/>
      <c r="O380" s="269" t="n"/>
      <c r="P380" s="269" t="n"/>
      <c r="Q380" s="269" t="n"/>
      <c r="R380" s="269" t="n"/>
      <c r="S380" s="269" t="n"/>
      <c r="T380" s="269" t="n"/>
      <c r="U380" s="269" t="n"/>
      <c r="V380" s="269" t="n"/>
      <c r="W380" s="270" t="n"/>
    </row>
    <row r="381" customFormat="1" s="163">
      <c r="A381" s="282" t="n"/>
      <c r="B381" s="277" t="n"/>
      <c r="C381" s="278" t="n"/>
      <c r="D381" s="269" t="n"/>
      <c r="E381" s="269" t="n"/>
      <c r="F381" s="269" t="n"/>
      <c r="G381" s="269" t="n"/>
      <c r="H381" s="269" t="n"/>
      <c r="I381" s="269" t="n"/>
      <c r="J381" s="269" t="n"/>
      <c r="K381" s="269" t="n"/>
      <c r="L381" s="269" t="n"/>
      <c r="M381" s="269" t="n"/>
      <c r="N381" s="269" t="n"/>
      <c r="O381" s="269" t="n"/>
      <c r="P381" s="269" t="n"/>
      <c r="Q381" s="269" t="n"/>
      <c r="R381" s="269" t="n"/>
      <c r="S381" s="269" t="n"/>
      <c r="T381" s="269" t="n"/>
      <c r="U381" s="269" t="n"/>
      <c r="V381" s="269" t="n"/>
      <c r="W381" s="270" t="n"/>
    </row>
    <row r="382" customFormat="1" s="163">
      <c r="A382" s="282" t="n"/>
      <c r="B382" s="277" t="n"/>
      <c r="C382" s="278" t="n"/>
      <c r="D382" s="269" t="n"/>
      <c r="E382" s="269" t="n"/>
      <c r="F382" s="269" t="n"/>
      <c r="G382" s="269" t="n"/>
      <c r="H382" s="269" t="n"/>
      <c r="I382" s="269" t="n"/>
      <c r="J382" s="269" t="n"/>
      <c r="K382" s="269" t="n"/>
      <c r="L382" s="269" t="n"/>
      <c r="M382" s="269" t="n"/>
      <c r="N382" s="269" t="n"/>
      <c r="O382" s="269" t="n"/>
      <c r="P382" s="269" t="n"/>
      <c r="Q382" s="269" t="n"/>
      <c r="R382" s="269" t="n"/>
      <c r="S382" s="269" t="n"/>
      <c r="T382" s="269" t="n"/>
      <c r="U382" s="269" t="n"/>
      <c r="V382" s="269" t="n"/>
      <c r="W382" s="270" t="n"/>
    </row>
    <row r="383" customFormat="1" s="163">
      <c r="A383" s="282" t="n"/>
      <c r="B383" s="277" t="n"/>
      <c r="C383" s="278" t="n"/>
      <c r="D383" s="269" t="n"/>
      <c r="E383" s="269" t="n"/>
      <c r="F383" s="269" t="n"/>
      <c r="G383" s="269" t="n"/>
      <c r="H383" s="269" t="n"/>
      <c r="I383" s="269" t="n"/>
      <c r="J383" s="269" t="n"/>
      <c r="K383" s="269" t="n"/>
      <c r="L383" s="269" t="n"/>
      <c r="M383" s="269" t="n"/>
      <c r="N383" s="269" t="n"/>
      <c r="O383" s="269" t="n"/>
      <c r="P383" s="269" t="n"/>
      <c r="Q383" s="269" t="n"/>
      <c r="R383" s="269" t="n"/>
      <c r="S383" s="269" t="n"/>
      <c r="T383" s="269" t="n"/>
      <c r="U383" s="269" t="n"/>
      <c r="V383" s="269" t="n"/>
      <c r="W383" s="270" t="n"/>
    </row>
    <row r="384" customFormat="1" s="163">
      <c r="A384" s="282" t="n"/>
      <c r="B384" s="277" t="n"/>
      <c r="C384" s="278" t="n"/>
      <c r="D384" s="269" t="n"/>
      <c r="E384" s="269" t="n"/>
      <c r="F384" s="269" t="n"/>
      <c r="G384" s="269" t="n"/>
      <c r="H384" s="269" t="n"/>
      <c r="I384" s="269" t="n"/>
      <c r="J384" s="269" t="n"/>
      <c r="K384" s="269" t="n"/>
      <c r="L384" s="269" t="n"/>
      <c r="M384" s="269" t="n"/>
      <c r="N384" s="269" t="n"/>
      <c r="O384" s="269" t="n"/>
      <c r="P384" s="269" t="n"/>
      <c r="Q384" s="269" t="n"/>
      <c r="R384" s="269" t="n"/>
      <c r="S384" s="269" t="n"/>
      <c r="T384" s="269" t="n"/>
      <c r="U384" s="269" t="n"/>
      <c r="V384" s="269" t="n"/>
      <c r="W384" s="270" t="n"/>
    </row>
    <row r="385" customFormat="1" s="163">
      <c r="A385" s="282" t="n"/>
      <c r="B385" s="277" t="n"/>
      <c r="C385" s="278" t="n"/>
      <c r="D385" s="269" t="n"/>
      <c r="E385" s="269" t="n"/>
      <c r="F385" s="269" t="n"/>
      <c r="G385" s="269" t="n"/>
      <c r="H385" s="269" t="n"/>
      <c r="I385" s="269" t="n"/>
      <c r="J385" s="269" t="n"/>
      <c r="K385" s="269" t="n"/>
      <c r="L385" s="269" t="n"/>
      <c r="M385" s="269" t="n"/>
      <c r="N385" s="269" t="n"/>
      <c r="O385" s="269" t="n"/>
      <c r="P385" s="269" t="n"/>
      <c r="Q385" s="269" t="n"/>
      <c r="R385" s="269" t="n"/>
      <c r="S385" s="269" t="n"/>
      <c r="T385" s="269" t="n"/>
      <c r="U385" s="269" t="n"/>
      <c r="V385" s="269" t="n"/>
      <c r="W385" s="270" t="n"/>
    </row>
    <row r="386" customFormat="1" s="163">
      <c r="A386" s="282" t="n"/>
      <c r="B386" s="277" t="n"/>
      <c r="C386" s="278" t="n"/>
      <c r="D386" s="269" t="n"/>
      <c r="E386" s="269" t="n"/>
      <c r="F386" s="269" t="n"/>
      <c r="G386" s="269" t="n"/>
      <c r="H386" s="269" t="n"/>
      <c r="I386" s="269" t="n"/>
      <c r="J386" s="269" t="n"/>
      <c r="K386" s="269" t="n"/>
      <c r="L386" s="269" t="n"/>
      <c r="M386" s="269" t="n"/>
      <c r="N386" s="269" t="n"/>
      <c r="O386" s="269" t="n"/>
      <c r="P386" s="269" t="n"/>
      <c r="Q386" s="269" t="n"/>
      <c r="R386" s="269" t="n"/>
      <c r="S386" s="269" t="n"/>
      <c r="T386" s="269" t="n"/>
      <c r="U386" s="269" t="n"/>
      <c r="V386" s="269" t="n"/>
      <c r="W386" s="270" t="n"/>
    </row>
    <row r="387" customFormat="1" s="163">
      <c r="A387" s="282" t="n"/>
      <c r="B387" s="277" t="n"/>
      <c r="C387" s="278" t="n"/>
      <c r="D387" s="269" t="n"/>
      <c r="E387" s="269" t="n"/>
      <c r="F387" s="269" t="n"/>
      <c r="G387" s="269" t="n"/>
      <c r="H387" s="269" t="n"/>
      <c r="I387" s="269" t="n"/>
      <c r="J387" s="269" t="n"/>
      <c r="K387" s="269" t="n"/>
      <c r="L387" s="269" t="n"/>
      <c r="M387" s="269" t="n"/>
      <c r="N387" s="269" t="n"/>
      <c r="O387" s="269" t="n"/>
      <c r="P387" s="269" t="n"/>
      <c r="Q387" s="269" t="n"/>
      <c r="R387" s="269" t="n"/>
      <c r="S387" s="269" t="n"/>
      <c r="T387" s="269" t="n"/>
      <c r="U387" s="269" t="n"/>
      <c r="V387" s="269" t="n"/>
      <c r="W387" s="270" t="n"/>
    </row>
    <row r="388" customFormat="1" s="163">
      <c r="A388" s="282" t="n"/>
      <c r="B388" s="277" t="n"/>
      <c r="C388" s="278" t="n"/>
      <c r="D388" s="269" t="n"/>
      <c r="E388" s="269" t="n"/>
      <c r="F388" s="269" t="n"/>
      <c r="G388" s="269" t="n"/>
      <c r="H388" s="269" t="n"/>
      <c r="I388" s="269" t="n"/>
      <c r="J388" s="269" t="n"/>
      <c r="K388" s="269" t="n"/>
      <c r="L388" s="269" t="n"/>
      <c r="M388" s="269" t="n"/>
      <c r="N388" s="269" t="n"/>
      <c r="O388" s="269" t="n"/>
      <c r="P388" s="269" t="n"/>
      <c r="Q388" s="269" t="n"/>
      <c r="R388" s="269" t="n"/>
      <c r="S388" s="269" t="n"/>
      <c r="T388" s="269" t="n"/>
      <c r="U388" s="269" t="n"/>
      <c r="V388" s="269" t="n"/>
      <c r="W388" s="270" t="n"/>
    </row>
    <row r="389" customFormat="1" s="163">
      <c r="A389" s="282" t="n"/>
      <c r="B389" s="277" t="n"/>
      <c r="C389" s="278" t="n"/>
      <c r="D389" s="269" t="n"/>
      <c r="E389" s="269" t="n"/>
      <c r="F389" s="269" t="n"/>
      <c r="G389" s="269" t="n"/>
      <c r="H389" s="269" t="n"/>
      <c r="I389" s="269" t="n"/>
      <c r="J389" s="269" t="n"/>
      <c r="K389" s="269" t="n"/>
      <c r="L389" s="269" t="n"/>
      <c r="M389" s="269" t="n"/>
      <c r="N389" s="269" t="n"/>
      <c r="O389" s="269" t="n"/>
      <c r="P389" s="269" t="n"/>
      <c r="Q389" s="269" t="n"/>
      <c r="R389" s="269" t="n"/>
      <c r="S389" s="269" t="n"/>
      <c r="T389" s="269" t="n"/>
      <c r="U389" s="269" t="n"/>
      <c r="V389" s="269" t="n"/>
      <c r="W389" s="270" t="n"/>
    </row>
    <row r="390" customFormat="1" s="163">
      <c r="A390" s="282" t="n"/>
      <c r="B390" s="277" t="n"/>
      <c r="C390" s="278" t="n"/>
      <c r="D390" s="269" t="n"/>
      <c r="E390" s="269" t="n"/>
      <c r="F390" s="269" t="n"/>
      <c r="G390" s="269" t="n"/>
      <c r="H390" s="269" t="n"/>
      <c r="I390" s="269" t="n"/>
      <c r="J390" s="269" t="n"/>
      <c r="K390" s="269" t="n"/>
      <c r="L390" s="269" t="n"/>
      <c r="M390" s="269" t="n"/>
      <c r="N390" s="269" t="n"/>
      <c r="O390" s="269" t="n"/>
      <c r="P390" s="269" t="n"/>
      <c r="Q390" s="269" t="n"/>
      <c r="R390" s="269" t="n"/>
      <c r="S390" s="269" t="n"/>
      <c r="T390" s="269" t="n"/>
      <c r="U390" s="269" t="n"/>
      <c r="V390" s="269" t="n"/>
      <c r="W390" s="270" t="n"/>
    </row>
    <row r="391" customFormat="1" s="163">
      <c r="A391" s="282" t="n"/>
      <c r="B391" s="277" t="n"/>
      <c r="C391" s="278" t="n"/>
      <c r="D391" s="269" t="n"/>
      <c r="E391" s="269" t="n"/>
      <c r="F391" s="269" t="n"/>
      <c r="G391" s="269" t="n"/>
      <c r="H391" s="269" t="n"/>
      <c r="I391" s="269" t="n"/>
      <c r="J391" s="269" t="n"/>
      <c r="K391" s="269" t="n"/>
      <c r="L391" s="269" t="n"/>
      <c r="M391" s="269" t="n"/>
      <c r="N391" s="269" t="n"/>
      <c r="O391" s="269" t="n"/>
      <c r="P391" s="269" t="n"/>
      <c r="Q391" s="269" t="n"/>
      <c r="R391" s="269" t="n"/>
      <c r="S391" s="269" t="n"/>
      <c r="T391" s="269" t="n"/>
      <c r="U391" s="269" t="n"/>
      <c r="V391" s="269" t="n"/>
      <c r="W391" s="270" t="n"/>
    </row>
    <row r="392" customFormat="1" s="163">
      <c r="A392" s="282" t="n"/>
      <c r="B392" s="277" t="n"/>
      <c r="C392" s="278" t="n"/>
      <c r="D392" s="269" t="n"/>
      <c r="E392" s="269" t="n"/>
      <c r="F392" s="269" t="n"/>
      <c r="G392" s="269" t="n"/>
      <c r="H392" s="269" t="n"/>
      <c r="I392" s="269" t="n"/>
      <c r="J392" s="269" t="n"/>
      <c r="K392" s="269" t="n"/>
      <c r="L392" s="269" t="n"/>
      <c r="M392" s="269" t="n"/>
      <c r="N392" s="269" t="n"/>
      <c r="O392" s="269" t="n"/>
      <c r="P392" s="269" t="n"/>
      <c r="Q392" s="269" t="n"/>
      <c r="R392" s="269" t="n"/>
      <c r="S392" s="269" t="n"/>
      <c r="T392" s="269" t="n"/>
      <c r="U392" s="269" t="n"/>
      <c r="V392" s="269" t="n"/>
      <c r="W392" s="270" t="n"/>
    </row>
    <row r="393" customFormat="1" s="163">
      <c r="A393" s="282" t="n"/>
      <c r="B393" s="277" t="n"/>
      <c r="C393" s="278" t="n"/>
      <c r="D393" s="269" t="n"/>
      <c r="E393" s="269" t="n"/>
      <c r="F393" s="269" t="n"/>
      <c r="G393" s="269" t="n"/>
      <c r="H393" s="269" t="n"/>
      <c r="I393" s="269" t="n"/>
      <c r="J393" s="269" t="n"/>
      <c r="K393" s="269" t="n"/>
      <c r="L393" s="269" t="n"/>
      <c r="M393" s="269" t="n"/>
      <c r="N393" s="269" t="n"/>
      <c r="O393" s="269" t="n"/>
      <c r="P393" s="269" t="n"/>
      <c r="Q393" s="269" t="n"/>
      <c r="R393" s="269" t="n"/>
      <c r="S393" s="269" t="n"/>
      <c r="T393" s="269" t="n"/>
      <c r="U393" s="269" t="n"/>
      <c r="V393" s="269" t="n"/>
      <c r="W393" s="270" t="n"/>
    </row>
    <row r="394" customFormat="1" s="163">
      <c r="A394" s="282" t="n"/>
      <c r="B394" s="277" t="n"/>
      <c r="C394" s="278" t="n"/>
      <c r="D394" s="269" t="n"/>
      <c r="E394" s="269" t="n"/>
      <c r="F394" s="269" t="n"/>
      <c r="G394" s="269" t="n"/>
      <c r="H394" s="269" t="n"/>
      <c r="I394" s="269" t="n"/>
      <c r="J394" s="269" t="n"/>
      <c r="K394" s="269" t="n"/>
      <c r="L394" s="269" t="n"/>
      <c r="M394" s="269" t="n"/>
      <c r="N394" s="269" t="n"/>
      <c r="O394" s="269" t="n"/>
      <c r="P394" s="269" t="n"/>
      <c r="Q394" s="269" t="n"/>
      <c r="R394" s="269" t="n"/>
      <c r="S394" s="269" t="n"/>
      <c r="T394" s="269" t="n"/>
      <c r="U394" s="269" t="n"/>
      <c r="V394" s="269" t="n"/>
      <c r="W394" s="270" t="n"/>
    </row>
    <row r="395" customFormat="1" s="163">
      <c r="A395" s="282" t="n"/>
      <c r="B395" s="277" t="n"/>
      <c r="C395" s="278" t="n"/>
      <c r="D395" s="269" t="n"/>
      <c r="E395" s="269" t="n"/>
      <c r="F395" s="269" t="n"/>
      <c r="G395" s="269" t="n"/>
      <c r="H395" s="269" t="n"/>
      <c r="I395" s="269" t="n"/>
      <c r="J395" s="269" t="n"/>
      <c r="K395" s="269" t="n"/>
      <c r="L395" s="269" t="n"/>
      <c r="M395" s="269" t="n"/>
      <c r="N395" s="269" t="n"/>
      <c r="O395" s="269" t="n"/>
      <c r="P395" s="269" t="n"/>
      <c r="Q395" s="269" t="n"/>
      <c r="R395" s="269" t="n"/>
      <c r="S395" s="269" t="n"/>
      <c r="T395" s="269" t="n"/>
      <c r="U395" s="269" t="n"/>
      <c r="V395" s="269" t="n"/>
      <c r="W395" s="270" t="n"/>
    </row>
    <row r="396" customFormat="1" s="163">
      <c r="A396" s="282" t="n"/>
      <c r="B396" s="277" t="n"/>
      <c r="C396" s="278" t="n"/>
      <c r="D396" s="269" t="n"/>
      <c r="E396" s="269" t="n"/>
      <c r="F396" s="269" t="n"/>
      <c r="G396" s="269" t="n"/>
      <c r="H396" s="269" t="n"/>
      <c r="I396" s="269" t="n"/>
      <c r="J396" s="269" t="n"/>
      <c r="K396" s="269" t="n"/>
      <c r="L396" s="269" t="n"/>
      <c r="M396" s="269" t="n"/>
      <c r="N396" s="269" t="n"/>
      <c r="O396" s="269" t="n"/>
      <c r="P396" s="269" t="n"/>
      <c r="Q396" s="269" t="n"/>
      <c r="R396" s="269" t="n"/>
      <c r="S396" s="269" t="n"/>
      <c r="T396" s="269" t="n"/>
      <c r="U396" s="269" t="n"/>
      <c r="V396" s="269" t="n"/>
      <c r="W396" s="270" t="n"/>
    </row>
    <row r="397" customFormat="1" s="163">
      <c r="A397" s="282" t="n"/>
      <c r="B397" s="277" t="n"/>
      <c r="C397" s="278" t="n"/>
      <c r="D397" s="269" t="n"/>
      <c r="E397" s="269" t="n"/>
      <c r="F397" s="269" t="n"/>
      <c r="G397" s="269" t="n"/>
      <c r="H397" s="269" t="n"/>
      <c r="I397" s="269" t="n"/>
      <c r="J397" s="269" t="n"/>
      <c r="K397" s="269" t="n"/>
      <c r="L397" s="269" t="n"/>
      <c r="M397" s="269" t="n"/>
      <c r="N397" s="269" t="n"/>
      <c r="O397" s="269" t="n"/>
      <c r="P397" s="269" t="n"/>
      <c r="Q397" s="269" t="n"/>
      <c r="R397" s="269" t="n"/>
      <c r="S397" s="269" t="n"/>
      <c r="T397" s="269" t="n"/>
      <c r="U397" s="269" t="n"/>
      <c r="V397" s="269" t="n"/>
      <c r="W397" s="270" t="n"/>
    </row>
    <row r="398" customFormat="1" s="163">
      <c r="A398" s="282" t="n"/>
      <c r="B398" s="277" t="n"/>
      <c r="C398" s="278" t="n"/>
      <c r="D398" s="269" t="n"/>
      <c r="E398" s="269" t="n"/>
      <c r="F398" s="269" t="n"/>
      <c r="G398" s="269" t="n"/>
      <c r="H398" s="269" t="n"/>
      <c r="I398" s="269" t="n"/>
      <c r="J398" s="269" t="n"/>
      <c r="K398" s="269" t="n"/>
      <c r="L398" s="269" t="n"/>
      <c r="M398" s="269" t="n"/>
      <c r="N398" s="269" t="n"/>
      <c r="O398" s="269" t="n"/>
      <c r="P398" s="269" t="n"/>
      <c r="Q398" s="269" t="n"/>
      <c r="R398" s="269" t="n"/>
      <c r="S398" s="269" t="n"/>
      <c r="T398" s="269" t="n"/>
      <c r="U398" s="269" t="n"/>
      <c r="V398" s="269" t="n"/>
      <c r="W398" s="270" t="n"/>
    </row>
    <row r="399" customFormat="1" s="163">
      <c r="A399" s="282" t="n"/>
      <c r="B399" s="277" t="n"/>
      <c r="C399" s="278" t="n"/>
      <c r="D399" s="269" t="n"/>
      <c r="E399" s="269" t="n"/>
      <c r="F399" s="269" t="n"/>
      <c r="G399" s="269" t="n"/>
      <c r="H399" s="269" t="n"/>
      <c r="I399" s="269" t="n"/>
      <c r="J399" s="269" t="n"/>
      <c r="K399" s="269" t="n"/>
      <c r="L399" s="269" t="n"/>
      <c r="M399" s="269" t="n"/>
      <c r="N399" s="269" t="n"/>
      <c r="O399" s="269" t="n"/>
      <c r="P399" s="269" t="n"/>
      <c r="Q399" s="269" t="n"/>
      <c r="R399" s="269" t="n"/>
      <c r="S399" s="269" t="n"/>
      <c r="T399" s="269" t="n"/>
      <c r="U399" s="269" t="n"/>
      <c r="V399" s="269" t="n"/>
      <c r="W399" s="270" t="n"/>
    </row>
    <row r="400" customFormat="1" s="163">
      <c r="A400" s="282" t="n"/>
      <c r="B400" s="277" t="n"/>
      <c r="C400" s="278" t="n"/>
      <c r="D400" s="269" t="n"/>
      <c r="E400" s="269" t="n"/>
      <c r="F400" s="269" t="n"/>
      <c r="G400" s="269" t="n"/>
      <c r="H400" s="269" t="n"/>
      <c r="I400" s="269" t="n"/>
      <c r="J400" s="269" t="n"/>
      <c r="K400" s="269" t="n"/>
      <c r="L400" s="269" t="n"/>
      <c r="M400" s="269" t="n"/>
      <c r="N400" s="269" t="n"/>
      <c r="O400" s="269" t="n"/>
      <c r="P400" s="269" t="n"/>
      <c r="Q400" s="269" t="n"/>
      <c r="R400" s="269" t="n"/>
      <c r="S400" s="269" t="n"/>
      <c r="T400" s="269" t="n"/>
      <c r="U400" s="269" t="n"/>
      <c r="V400" s="269" t="n"/>
      <c r="W400" s="270" t="n"/>
    </row>
    <row r="401" customFormat="1" s="163">
      <c r="A401" s="282" t="n"/>
      <c r="B401" s="277" t="n"/>
      <c r="C401" s="278" t="n"/>
      <c r="D401" s="269" t="n"/>
      <c r="E401" s="269" t="n"/>
      <c r="F401" s="269" t="n"/>
      <c r="G401" s="269" t="n"/>
      <c r="H401" s="269" t="n"/>
      <c r="I401" s="269" t="n"/>
      <c r="J401" s="269" t="n"/>
      <c r="K401" s="269" t="n"/>
      <c r="L401" s="269" t="n"/>
      <c r="M401" s="269" t="n"/>
      <c r="N401" s="269" t="n"/>
      <c r="O401" s="269" t="n"/>
      <c r="P401" s="269" t="n"/>
      <c r="Q401" s="269" t="n"/>
      <c r="R401" s="269" t="n"/>
      <c r="S401" s="269" t="n"/>
      <c r="T401" s="269" t="n"/>
      <c r="U401" s="269" t="n"/>
      <c r="V401" s="269" t="n"/>
      <c r="W401" s="270" t="n"/>
    </row>
    <row r="402" customFormat="1" s="163">
      <c r="A402" s="282" t="n"/>
      <c r="B402" s="277" t="n"/>
      <c r="C402" s="278" t="n"/>
      <c r="D402" s="269" t="n"/>
      <c r="E402" s="269" t="n"/>
      <c r="F402" s="269" t="n"/>
      <c r="G402" s="269" t="n"/>
      <c r="H402" s="269" t="n"/>
      <c r="I402" s="269" t="n"/>
      <c r="J402" s="269" t="n"/>
      <c r="K402" s="269" t="n"/>
      <c r="L402" s="269" t="n"/>
      <c r="M402" s="269" t="n"/>
      <c r="N402" s="269" t="n"/>
      <c r="O402" s="269" t="n"/>
      <c r="P402" s="269" t="n"/>
      <c r="Q402" s="269" t="n"/>
      <c r="R402" s="269" t="n"/>
      <c r="S402" s="269" t="n"/>
      <c r="T402" s="269" t="n"/>
      <c r="U402" s="269" t="n"/>
      <c r="V402" s="269" t="n"/>
      <c r="W402" s="270" t="n"/>
    </row>
    <row r="403" customFormat="1" s="163">
      <c r="A403" s="282" t="n"/>
      <c r="B403" s="277" t="n"/>
      <c r="C403" s="278" t="n"/>
      <c r="D403" s="269" t="n"/>
      <c r="E403" s="269" t="n"/>
      <c r="F403" s="269" t="n"/>
      <c r="G403" s="269" t="n"/>
      <c r="H403" s="269" t="n"/>
      <c r="I403" s="269" t="n"/>
      <c r="J403" s="269" t="n"/>
      <c r="K403" s="269" t="n"/>
      <c r="L403" s="269" t="n"/>
      <c r="M403" s="269" t="n"/>
      <c r="N403" s="269" t="n"/>
      <c r="O403" s="269" t="n"/>
      <c r="P403" s="269" t="n"/>
      <c r="Q403" s="269" t="n"/>
      <c r="R403" s="269" t="n"/>
      <c r="S403" s="269" t="n"/>
      <c r="T403" s="269" t="n"/>
      <c r="U403" s="269" t="n"/>
      <c r="V403" s="269" t="n"/>
      <c r="W403" s="270" t="n"/>
    </row>
    <row r="404" customFormat="1" s="163">
      <c r="A404" s="282" t="n"/>
      <c r="B404" s="277" t="n"/>
      <c r="C404" s="278" t="n"/>
      <c r="D404" s="269" t="n"/>
      <c r="E404" s="269" t="n"/>
      <c r="F404" s="269" t="n"/>
      <c r="G404" s="269" t="n"/>
      <c r="H404" s="269" t="n"/>
      <c r="I404" s="269" t="n"/>
      <c r="J404" s="269" t="n"/>
      <c r="K404" s="269" t="n"/>
      <c r="L404" s="269" t="n"/>
      <c r="M404" s="269" t="n"/>
      <c r="N404" s="269" t="n"/>
      <c r="O404" s="269" t="n"/>
      <c r="P404" s="269" t="n"/>
      <c r="Q404" s="269" t="n"/>
      <c r="R404" s="269" t="n"/>
      <c r="S404" s="269" t="n"/>
      <c r="T404" s="269" t="n"/>
      <c r="U404" s="269" t="n"/>
      <c r="V404" s="269" t="n"/>
      <c r="W404" s="270" t="n"/>
    </row>
    <row r="405" customFormat="1" s="163">
      <c r="A405" s="282" t="n"/>
      <c r="B405" s="277" t="n"/>
      <c r="C405" s="278" t="n"/>
      <c r="D405" s="269" t="n"/>
      <c r="E405" s="269" t="n"/>
      <c r="F405" s="269" t="n"/>
      <c r="G405" s="269" t="n"/>
      <c r="H405" s="269" t="n"/>
      <c r="I405" s="269" t="n"/>
      <c r="J405" s="269" t="n"/>
      <c r="K405" s="269" t="n"/>
      <c r="L405" s="269" t="n"/>
      <c r="M405" s="269" t="n"/>
      <c r="N405" s="269" t="n"/>
      <c r="O405" s="269" t="n"/>
      <c r="P405" s="269" t="n"/>
      <c r="Q405" s="269" t="n"/>
      <c r="R405" s="269" t="n"/>
      <c r="S405" s="269" t="n"/>
      <c r="T405" s="269" t="n"/>
      <c r="U405" s="269" t="n"/>
      <c r="V405" s="269" t="n"/>
      <c r="W405" s="270" t="n"/>
    </row>
    <row r="406" customFormat="1" s="163">
      <c r="A406" s="282" t="n"/>
      <c r="B406" s="277" t="n"/>
      <c r="C406" s="278" t="n"/>
      <c r="D406" s="269" t="n"/>
      <c r="E406" s="269" t="n"/>
      <c r="F406" s="269" t="n"/>
      <c r="G406" s="269" t="n"/>
      <c r="H406" s="269" t="n"/>
      <c r="I406" s="269" t="n"/>
      <c r="J406" s="269" t="n"/>
      <c r="K406" s="269" t="n"/>
      <c r="L406" s="269" t="n"/>
      <c r="M406" s="269" t="n"/>
      <c r="N406" s="269" t="n"/>
      <c r="O406" s="269" t="n"/>
      <c r="P406" s="269" t="n"/>
      <c r="Q406" s="269" t="n"/>
      <c r="R406" s="269" t="n"/>
      <c r="S406" s="269" t="n"/>
      <c r="T406" s="269" t="n"/>
      <c r="U406" s="269" t="n"/>
      <c r="V406" s="269" t="n"/>
      <c r="W406" s="270" t="n"/>
    </row>
    <row r="407" customFormat="1" s="163">
      <c r="A407" s="282" t="n"/>
      <c r="B407" s="277" t="n"/>
      <c r="C407" s="278" t="n"/>
      <c r="D407" s="269" t="n"/>
      <c r="E407" s="269" t="n"/>
      <c r="F407" s="269" t="n"/>
      <c r="G407" s="269" t="n"/>
      <c r="H407" s="269" t="n"/>
      <c r="I407" s="269" t="n"/>
      <c r="J407" s="269" t="n"/>
      <c r="K407" s="269" t="n"/>
      <c r="L407" s="269" t="n"/>
      <c r="M407" s="269" t="n"/>
      <c r="N407" s="269" t="n"/>
      <c r="O407" s="269" t="n"/>
      <c r="P407" s="269" t="n"/>
      <c r="Q407" s="269" t="n"/>
      <c r="R407" s="269" t="n"/>
      <c r="S407" s="269" t="n"/>
      <c r="T407" s="269" t="n"/>
      <c r="U407" s="269" t="n"/>
      <c r="V407" s="269" t="n"/>
      <c r="W407" s="270" t="n"/>
    </row>
    <row r="408" customFormat="1" s="163">
      <c r="A408" s="282" t="n"/>
      <c r="B408" s="277" t="n"/>
      <c r="C408" s="278" t="n"/>
      <c r="D408" s="269" t="n"/>
      <c r="E408" s="269" t="n"/>
      <c r="F408" s="269" t="n"/>
      <c r="G408" s="269" t="n"/>
      <c r="H408" s="269" t="n"/>
      <c r="I408" s="269" t="n"/>
      <c r="J408" s="269" t="n"/>
      <c r="K408" s="269" t="n"/>
      <c r="L408" s="269" t="n"/>
      <c r="M408" s="269" t="n"/>
      <c r="N408" s="269" t="n"/>
      <c r="O408" s="269" t="n"/>
      <c r="P408" s="269" t="n"/>
      <c r="Q408" s="269" t="n"/>
      <c r="R408" s="269" t="n"/>
      <c r="S408" s="269" t="n"/>
      <c r="T408" s="269" t="n"/>
      <c r="U408" s="269" t="n"/>
      <c r="V408" s="269" t="n"/>
      <c r="W408" s="270" t="n"/>
    </row>
    <row r="409" customFormat="1" s="163">
      <c r="A409" s="282" t="n"/>
      <c r="B409" s="277" t="n"/>
      <c r="C409" s="278" t="n"/>
      <c r="D409" s="269" t="n"/>
      <c r="E409" s="269" t="n"/>
      <c r="F409" s="269" t="n"/>
      <c r="G409" s="269" t="n"/>
      <c r="H409" s="269" t="n"/>
      <c r="I409" s="269" t="n"/>
      <c r="J409" s="269" t="n"/>
      <c r="K409" s="269" t="n"/>
      <c r="L409" s="269" t="n"/>
      <c r="M409" s="269" t="n"/>
      <c r="N409" s="269" t="n"/>
      <c r="O409" s="269" t="n"/>
      <c r="P409" s="269" t="n"/>
      <c r="Q409" s="269" t="n"/>
      <c r="R409" s="269" t="n"/>
      <c r="S409" s="269" t="n"/>
      <c r="T409" s="269" t="n"/>
      <c r="U409" s="269" t="n"/>
      <c r="V409" s="269" t="n"/>
      <c r="W409" s="270" t="n"/>
    </row>
    <row r="410" customFormat="1" s="163">
      <c r="A410" s="282" t="n"/>
      <c r="B410" s="277" t="n"/>
      <c r="C410" s="278" t="n"/>
      <c r="D410" s="269" t="n"/>
      <c r="E410" s="269" t="n"/>
      <c r="F410" s="269" t="n"/>
      <c r="G410" s="269" t="n"/>
      <c r="H410" s="269" t="n"/>
      <c r="I410" s="269" t="n"/>
      <c r="J410" s="269" t="n"/>
      <c r="K410" s="269" t="n"/>
      <c r="L410" s="269" t="n"/>
      <c r="M410" s="269" t="n"/>
      <c r="N410" s="269" t="n"/>
      <c r="O410" s="269" t="n"/>
      <c r="P410" s="269" t="n"/>
      <c r="Q410" s="269" t="n"/>
      <c r="R410" s="269" t="n"/>
      <c r="S410" s="269" t="n"/>
      <c r="T410" s="269" t="n"/>
      <c r="U410" s="269" t="n"/>
      <c r="V410" s="269" t="n"/>
      <c r="W410" s="270" t="n"/>
    </row>
    <row r="411" customFormat="1" s="163">
      <c r="A411" s="282" t="n"/>
      <c r="B411" s="277" t="n"/>
      <c r="C411" s="278" t="n"/>
      <c r="D411" s="269" t="n"/>
      <c r="E411" s="269" t="n"/>
      <c r="F411" s="269" t="n"/>
      <c r="G411" s="269" t="n"/>
      <c r="H411" s="269" t="n"/>
      <c r="I411" s="269" t="n"/>
      <c r="J411" s="269" t="n"/>
      <c r="K411" s="269" t="n"/>
      <c r="L411" s="269" t="n"/>
      <c r="M411" s="269" t="n"/>
      <c r="N411" s="269" t="n"/>
      <c r="O411" s="269" t="n"/>
      <c r="P411" s="269" t="n"/>
      <c r="Q411" s="269" t="n"/>
      <c r="R411" s="269" t="n"/>
      <c r="S411" s="269" t="n"/>
      <c r="T411" s="269" t="n"/>
      <c r="U411" s="269" t="n"/>
      <c r="V411" s="269" t="n"/>
      <c r="W411" s="270" t="n"/>
    </row>
    <row r="412" customFormat="1" s="163">
      <c r="A412" s="282" t="n"/>
      <c r="B412" s="277" t="n"/>
      <c r="C412" s="278" t="n"/>
      <c r="D412" s="269" t="n"/>
      <c r="E412" s="269" t="n"/>
      <c r="F412" s="269" t="n"/>
      <c r="G412" s="269" t="n"/>
      <c r="H412" s="269" t="n"/>
      <c r="I412" s="269" t="n"/>
      <c r="J412" s="269" t="n"/>
      <c r="K412" s="269" t="n"/>
      <c r="L412" s="269" t="n"/>
      <c r="M412" s="269" t="n"/>
      <c r="N412" s="269" t="n"/>
      <c r="O412" s="269" t="n"/>
      <c r="P412" s="269" t="n"/>
      <c r="Q412" s="269" t="n"/>
      <c r="R412" s="269" t="n"/>
      <c r="S412" s="269" t="n"/>
      <c r="T412" s="269" t="n"/>
      <c r="U412" s="269" t="n"/>
      <c r="V412" s="269" t="n"/>
      <c r="W412" s="270" t="n"/>
    </row>
    <row r="413" customFormat="1" s="163">
      <c r="A413" s="282" t="n"/>
      <c r="B413" s="277" t="n"/>
      <c r="C413" s="278" t="n"/>
      <c r="D413" s="269" t="n"/>
      <c r="E413" s="269" t="n"/>
      <c r="F413" s="269" t="n"/>
      <c r="G413" s="269" t="n"/>
      <c r="H413" s="269" t="n"/>
      <c r="I413" s="269" t="n"/>
      <c r="J413" s="269" t="n"/>
      <c r="K413" s="269" t="n"/>
      <c r="L413" s="269" t="n"/>
      <c r="M413" s="269" t="n"/>
      <c r="N413" s="269" t="n"/>
      <c r="O413" s="269" t="n"/>
      <c r="P413" s="269" t="n"/>
      <c r="Q413" s="269" t="n"/>
      <c r="R413" s="269" t="n"/>
      <c r="S413" s="269" t="n"/>
      <c r="T413" s="269" t="n"/>
      <c r="U413" s="269" t="n"/>
      <c r="V413" s="269" t="n"/>
      <c r="W413" s="270" t="n"/>
    </row>
    <row r="414" customFormat="1" s="163">
      <c r="A414" s="282" t="n"/>
      <c r="B414" s="277" t="n"/>
      <c r="C414" s="278" t="n"/>
      <c r="D414" s="269" t="n"/>
      <c r="E414" s="269" t="n"/>
      <c r="F414" s="269" t="n"/>
      <c r="G414" s="269" t="n"/>
      <c r="H414" s="269" t="n"/>
      <c r="I414" s="269" t="n"/>
      <c r="J414" s="269" t="n"/>
      <c r="K414" s="269" t="n"/>
      <c r="L414" s="269" t="n"/>
      <c r="M414" s="269" t="n"/>
      <c r="N414" s="269" t="n"/>
      <c r="O414" s="269" t="n"/>
      <c r="P414" s="269" t="n"/>
      <c r="Q414" s="269" t="n"/>
      <c r="R414" s="269" t="n"/>
      <c r="S414" s="269" t="n"/>
      <c r="T414" s="269" t="n"/>
      <c r="U414" s="269" t="n"/>
      <c r="V414" s="269" t="n"/>
      <c r="W414" s="270" t="n"/>
    </row>
    <row r="415" customFormat="1" s="163">
      <c r="A415" s="282" t="n"/>
      <c r="B415" s="277" t="n"/>
      <c r="C415" s="278" t="n"/>
      <c r="D415" s="269" t="n"/>
      <c r="E415" s="269" t="n"/>
      <c r="F415" s="269" t="n"/>
      <c r="G415" s="269" t="n"/>
      <c r="H415" s="269" t="n"/>
      <c r="I415" s="269" t="n"/>
      <c r="J415" s="269" t="n"/>
      <c r="K415" s="269" t="n"/>
      <c r="L415" s="269" t="n"/>
      <c r="M415" s="269" t="n"/>
      <c r="N415" s="269" t="n"/>
      <c r="O415" s="269" t="n"/>
      <c r="P415" s="269" t="n"/>
      <c r="Q415" s="269" t="n"/>
      <c r="R415" s="269" t="n"/>
      <c r="S415" s="269" t="n"/>
      <c r="T415" s="269" t="n"/>
      <c r="U415" s="269" t="n"/>
      <c r="V415" s="269" t="n"/>
      <c r="W415" s="270" t="n"/>
    </row>
    <row r="416" customFormat="1" s="163">
      <c r="A416" s="282" t="n"/>
      <c r="B416" s="277" t="n"/>
      <c r="C416" s="278" t="n"/>
      <c r="D416" s="269" t="n"/>
      <c r="E416" s="269" t="n"/>
      <c r="F416" s="269" t="n"/>
      <c r="G416" s="269" t="n"/>
      <c r="H416" s="269" t="n"/>
      <c r="I416" s="269" t="n"/>
      <c r="J416" s="269" t="n"/>
      <c r="K416" s="269" t="n"/>
      <c r="L416" s="269" t="n"/>
      <c r="M416" s="269" t="n"/>
      <c r="N416" s="269" t="n"/>
      <c r="O416" s="269" t="n"/>
      <c r="P416" s="269" t="n"/>
      <c r="Q416" s="269" t="n"/>
      <c r="R416" s="269" t="n"/>
      <c r="S416" s="269" t="n"/>
      <c r="T416" s="269" t="n"/>
      <c r="U416" s="269" t="n"/>
      <c r="V416" s="269" t="n"/>
      <c r="W416" s="270" t="n"/>
    </row>
    <row r="417" customFormat="1" s="163">
      <c r="A417" s="282" t="n"/>
      <c r="B417" s="277" t="n"/>
      <c r="C417" s="278" t="n"/>
      <c r="D417" s="269" t="n"/>
      <c r="E417" s="269" t="n"/>
      <c r="F417" s="269" t="n"/>
      <c r="G417" s="269" t="n"/>
      <c r="H417" s="269" t="n"/>
      <c r="I417" s="269" t="n"/>
      <c r="J417" s="269" t="n"/>
      <c r="K417" s="269" t="n"/>
      <c r="L417" s="269" t="n"/>
      <c r="M417" s="269" t="n"/>
      <c r="N417" s="269" t="n"/>
      <c r="O417" s="269" t="n"/>
      <c r="P417" s="269" t="n"/>
      <c r="Q417" s="269" t="n"/>
      <c r="R417" s="269" t="n"/>
      <c r="S417" s="269" t="n"/>
      <c r="T417" s="269" t="n"/>
      <c r="U417" s="269" t="n"/>
      <c r="V417" s="269" t="n"/>
      <c r="W417" s="270" t="n"/>
    </row>
    <row r="418" customFormat="1" s="163">
      <c r="A418" s="282" t="n"/>
      <c r="B418" s="277" t="n"/>
      <c r="C418" s="278" t="n"/>
      <c r="D418" s="269" t="n"/>
      <c r="E418" s="269" t="n"/>
      <c r="F418" s="269" t="n"/>
      <c r="G418" s="269" t="n"/>
      <c r="H418" s="269" t="n"/>
      <c r="I418" s="269" t="n"/>
      <c r="J418" s="269" t="n"/>
      <c r="K418" s="269" t="n"/>
      <c r="L418" s="269" t="n"/>
      <c r="M418" s="269" t="n"/>
      <c r="N418" s="269" t="n"/>
      <c r="O418" s="269" t="n"/>
      <c r="P418" s="269" t="n"/>
      <c r="Q418" s="269" t="n"/>
      <c r="R418" s="269" t="n"/>
      <c r="S418" s="269" t="n"/>
      <c r="T418" s="269" t="n"/>
      <c r="U418" s="269" t="n"/>
      <c r="V418" s="269" t="n"/>
      <c r="W418" s="270" t="n"/>
    </row>
    <row r="419" customFormat="1" s="163">
      <c r="A419" s="282" t="n"/>
      <c r="B419" s="277" t="n"/>
      <c r="C419" s="278" t="n"/>
      <c r="D419" s="269" t="n"/>
      <c r="E419" s="269" t="n"/>
      <c r="F419" s="269" t="n"/>
      <c r="G419" s="269" t="n"/>
      <c r="H419" s="269" t="n"/>
      <c r="I419" s="269" t="n"/>
      <c r="J419" s="269" t="n"/>
      <c r="K419" s="269" t="n"/>
      <c r="L419" s="269" t="n"/>
      <c r="M419" s="269" t="n"/>
      <c r="N419" s="269" t="n"/>
      <c r="O419" s="269" t="n"/>
      <c r="P419" s="269" t="n"/>
      <c r="Q419" s="269" t="n"/>
      <c r="R419" s="269" t="n"/>
      <c r="S419" s="269" t="n"/>
      <c r="T419" s="269" t="n"/>
      <c r="U419" s="269" t="n"/>
      <c r="V419" s="269" t="n"/>
      <c r="W419" s="270" t="n"/>
    </row>
    <row r="420" customFormat="1" s="163">
      <c r="A420" s="282" t="n"/>
      <c r="B420" s="277" t="n"/>
      <c r="C420" s="278" t="n"/>
      <c r="D420" s="269" t="n"/>
      <c r="E420" s="269" t="n"/>
      <c r="F420" s="269" t="n"/>
      <c r="G420" s="269" t="n"/>
      <c r="H420" s="269" t="n"/>
      <c r="I420" s="269" t="n"/>
      <c r="J420" s="269" t="n"/>
      <c r="K420" s="269" t="n"/>
      <c r="L420" s="269" t="n"/>
      <c r="M420" s="269" t="n"/>
      <c r="N420" s="269" t="n"/>
      <c r="O420" s="269" t="n"/>
      <c r="P420" s="269" t="n"/>
      <c r="Q420" s="269" t="n"/>
      <c r="R420" s="269" t="n"/>
      <c r="S420" s="269" t="n"/>
      <c r="T420" s="269" t="n"/>
      <c r="U420" s="269" t="n"/>
      <c r="V420" s="269" t="n"/>
      <c r="W420" s="270" t="n"/>
    </row>
    <row r="421" customFormat="1" s="163">
      <c r="A421" s="282" t="n"/>
      <c r="B421" s="277" t="n"/>
      <c r="C421" s="278" t="n"/>
      <c r="D421" s="269" t="n"/>
      <c r="E421" s="269" t="n"/>
      <c r="F421" s="269" t="n"/>
      <c r="G421" s="269" t="n"/>
      <c r="H421" s="269" t="n"/>
      <c r="I421" s="269" t="n"/>
      <c r="J421" s="269" t="n"/>
      <c r="K421" s="269" t="n"/>
      <c r="L421" s="269" t="n"/>
      <c r="M421" s="269" t="n"/>
      <c r="N421" s="269" t="n"/>
      <c r="O421" s="269" t="n"/>
      <c r="P421" s="269" t="n"/>
      <c r="Q421" s="269" t="n"/>
      <c r="R421" s="269" t="n"/>
      <c r="S421" s="269" t="n"/>
      <c r="T421" s="269" t="n"/>
      <c r="U421" s="269" t="n"/>
      <c r="V421" s="269" t="n"/>
      <c r="W421" s="270" t="n"/>
    </row>
    <row r="422" customFormat="1" s="163">
      <c r="A422" s="282" t="n"/>
      <c r="B422" s="277" t="n"/>
      <c r="C422" s="278" t="n"/>
      <c r="D422" s="269" t="n"/>
      <c r="E422" s="269" t="n"/>
      <c r="F422" s="269" t="n"/>
      <c r="G422" s="269" t="n"/>
      <c r="H422" s="269" t="n"/>
      <c r="I422" s="269" t="n"/>
      <c r="J422" s="269" t="n"/>
      <c r="K422" s="269" t="n"/>
      <c r="L422" s="269" t="n"/>
      <c r="M422" s="269" t="n"/>
      <c r="N422" s="269" t="n"/>
      <c r="O422" s="269" t="n"/>
      <c r="P422" s="269" t="n"/>
      <c r="Q422" s="269" t="n"/>
      <c r="R422" s="269" t="n"/>
      <c r="S422" s="269" t="n"/>
      <c r="T422" s="269" t="n"/>
      <c r="U422" s="269" t="n"/>
      <c r="V422" s="269" t="n"/>
      <c r="W422" s="270" t="n"/>
    </row>
    <row r="423" customFormat="1" s="163">
      <c r="A423" s="282" t="n"/>
      <c r="B423" s="277" t="n"/>
      <c r="C423" s="278" t="n"/>
      <c r="D423" s="269" t="n"/>
      <c r="E423" s="269" t="n"/>
      <c r="F423" s="269" t="n"/>
      <c r="G423" s="269" t="n"/>
      <c r="H423" s="269" t="n"/>
      <c r="I423" s="269" t="n"/>
      <c r="J423" s="269" t="n"/>
      <c r="K423" s="269" t="n"/>
      <c r="L423" s="269" t="n"/>
      <c r="M423" s="269" t="n"/>
      <c r="N423" s="269" t="n"/>
      <c r="O423" s="269" t="n"/>
      <c r="P423" s="269" t="n"/>
      <c r="Q423" s="269" t="n"/>
      <c r="R423" s="269" t="n"/>
      <c r="S423" s="269" t="n"/>
      <c r="T423" s="269" t="n"/>
      <c r="U423" s="269" t="n"/>
      <c r="V423" s="269" t="n"/>
      <c r="W423" s="270" t="n"/>
    </row>
    <row r="424" customFormat="1" s="163">
      <c r="A424" s="282" t="n"/>
      <c r="B424" s="277" t="n"/>
      <c r="C424" s="278" t="n"/>
      <c r="D424" s="269" t="n"/>
      <c r="E424" s="269" t="n"/>
      <c r="F424" s="269" t="n"/>
      <c r="G424" s="269" t="n"/>
      <c r="H424" s="269" t="n"/>
      <c r="I424" s="269" t="n"/>
      <c r="J424" s="269" t="n"/>
      <c r="K424" s="269" t="n"/>
      <c r="L424" s="269" t="n"/>
      <c r="M424" s="269" t="n"/>
      <c r="N424" s="269" t="n"/>
      <c r="O424" s="269" t="n"/>
      <c r="P424" s="269" t="n"/>
      <c r="Q424" s="269" t="n"/>
      <c r="R424" s="269" t="n"/>
      <c r="S424" s="269" t="n"/>
      <c r="T424" s="269" t="n"/>
      <c r="U424" s="269" t="n"/>
      <c r="V424" s="269" t="n"/>
      <c r="W424" s="270" t="n"/>
    </row>
    <row r="425" customFormat="1" s="163">
      <c r="A425" s="282" t="n"/>
      <c r="B425" s="277" t="n"/>
      <c r="C425" s="278" t="n"/>
      <c r="D425" s="269" t="n"/>
      <c r="E425" s="269" t="n"/>
      <c r="F425" s="269" t="n"/>
      <c r="G425" s="269" t="n"/>
      <c r="H425" s="269" t="n"/>
      <c r="I425" s="269" t="n"/>
      <c r="J425" s="269" t="n"/>
      <c r="K425" s="269" t="n"/>
      <c r="L425" s="269" t="n"/>
      <c r="M425" s="269" t="n"/>
      <c r="N425" s="269" t="n"/>
      <c r="O425" s="269" t="n"/>
      <c r="P425" s="269" t="n"/>
      <c r="Q425" s="269" t="n"/>
      <c r="R425" s="269" t="n"/>
      <c r="S425" s="269" t="n"/>
      <c r="T425" s="269" t="n"/>
      <c r="U425" s="269" t="n"/>
      <c r="V425" s="269" t="n"/>
      <c r="W425" s="270" t="n"/>
    </row>
    <row r="426" customFormat="1" s="163">
      <c r="A426" s="282" t="n"/>
      <c r="B426" s="277" t="n"/>
      <c r="C426" s="278" t="n"/>
      <c r="D426" s="269" t="n"/>
      <c r="E426" s="269" t="n"/>
      <c r="F426" s="269" t="n"/>
      <c r="G426" s="269" t="n"/>
      <c r="H426" s="269" t="n"/>
      <c r="I426" s="269" t="n"/>
      <c r="J426" s="269" t="n"/>
      <c r="K426" s="269" t="n"/>
      <c r="L426" s="269" t="n"/>
      <c r="M426" s="269" t="n"/>
      <c r="N426" s="269" t="n"/>
      <c r="O426" s="269" t="n"/>
      <c r="P426" s="269" t="n"/>
      <c r="Q426" s="269" t="n"/>
      <c r="R426" s="269" t="n"/>
      <c r="S426" s="269" t="n"/>
      <c r="T426" s="269" t="n"/>
      <c r="U426" s="269" t="n"/>
      <c r="V426" s="269" t="n"/>
      <c r="W426" s="270" t="n"/>
    </row>
    <row r="427" customFormat="1" s="163">
      <c r="A427" s="282" t="n"/>
      <c r="B427" s="277" t="n"/>
      <c r="C427" s="278" t="n"/>
      <c r="D427" s="269" t="n"/>
      <c r="E427" s="269" t="n"/>
      <c r="F427" s="269" t="n"/>
      <c r="G427" s="269" t="n"/>
      <c r="H427" s="269" t="n"/>
      <c r="I427" s="269" t="n"/>
      <c r="J427" s="269" t="n"/>
      <c r="K427" s="269" t="n"/>
      <c r="L427" s="269" t="n"/>
      <c r="M427" s="269" t="n"/>
      <c r="N427" s="269" t="n"/>
      <c r="O427" s="269" t="n"/>
      <c r="P427" s="269" t="n"/>
      <c r="Q427" s="269" t="n"/>
      <c r="R427" s="269" t="n"/>
      <c r="S427" s="269" t="n"/>
      <c r="T427" s="269" t="n"/>
      <c r="U427" s="269" t="n"/>
      <c r="V427" s="269" t="n"/>
      <c r="W427" s="270" t="n"/>
    </row>
    <row r="428" customFormat="1" s="163">
      <c r="A428" s="282" t="n"/>
      <c r="B428" s="277" t="n"/>
      <c r="C428" s="278" t="n"/>
      <c r="D428" s="269" t="n"/>
      <c r="E428" s="269" t="n"/>
      <c r="F428" s="269" t="n"/>
      <c r="G428" s="269" t="n"/>
      <c r="H428" s="269" t="n"/>
      <c r="I428" s="269" t="n"/>
      <c r="J428" s="269" t="n"/>
      <c r="K428" s="269" t="n"/>
      <c r="L428" s="269" t="n"/>
      <c r="M428" s="269" t="n"/>
      <c r="N428" s="269" t="n"/>
      <c r="O428" s="269" t="n"/>
      <c r="P428" s="269" t="n"/>
      <c r="Q428" s="269" t="n"/>
      <c r="R428" s="269" t="n"/>
      <c r="S428" s="269" t="n"/>
      <c r="T428" s="269" t="n"/>
      <c r="U428" s="269" t="n"/>
      <c r="V428" s="269" t="n"/>
      <c r="W428" s="270" t="n"/>
    </row>
    <row r="429" customFormat="1" s="163">
      <c r="A429" s="282" t="n"/>
      <c r="B429" s="277" t="n"/>
      <c r="C429" s="278" t="n"/>
      <c r="D429" s="269" t="n"/>
      <c r="E429" s="269" t="n"/>
      <c r="F429" s="269" t="n"/>
      <c r="G429" s="269" t="n"/>
      <c r="H429" s="269" t="n"/>
      <c r="I429" s="269" t="n"/>
      <c r="J429" s="269" t="n"/>
      <c r="K429" s="269" t="n"/>
      <c r="L429" s="269" t="n"/>
      <c r="M429" s="269" t="n"/>
      <c r="N429" s="269" t="n"/>
      <c r="O429" s="269" t="n"/>
      <c r="P429" s="269" t="n"/>
      <c r="Q429" s="269" t="n"/>
      <c r="R429" s="269" t="n"/>
      <c r="S429" s="269" t="n"/>
      <c r="T429" s="269" t="n"/>
      <c r="U429" s="269" t="n"/>
      <c r="V429" s="269" t="n"/>
      <c r="W429" s="270" t="n"/>
    </row>
    <row r="430" customFormat="1" s="163">
      <c r="A430" s="282" t="n"/>
      <c r="B430" s="277" t="n"/>
      <c r="C430" s="278" t="n"/>
      <c r="D430" s="269" t="n"/>
      <c r="E430" s="269" t="n"/>
      <c r="F430" s="269" t="n"/>
      <c r="G430" s="269" t="n"/>
      <c r="H430" s="269" t="n"/>
      <c r="I430" s="269" t="n"/>
      <c r="J430" s="269" t="n"/>
      <c r="K430" s="269" t="n"/>
      <c r="L430" s="269" t="n"/>
      <c r="M430" s="269" t="n"/>
      <c r="N430" s="269" t="n"/>
      <c r="O430" s="269" t="n"/>
      <c r="P430" s="269" t="n"/>
      <c r="Q430" s="269" t="n"/>
      <c r="R430" s="269" t="n"/>
      <c r="S430" s="269" t="n"/>
      <c r="T430" s="269" t="n"/>
      <c r="U430" s="269" t="n"/>
      <c r="V430" s="269" t="n"/>
      <c r="W430" s="270" t="n"/>
    </row>
    <row r="431" customFormat="1" s="163">
      <c r="A431" s="282" t="n"/>
      <c r="B431" s="277" t="n"/>
      <c r="C431" s="278" t="n"/>
      <c r="D431" s="269" t="n"/>
      <c r="E431" s="269" t="n"/>
      <c r="F431" s="269" t="n"/>
      <c r="G431" s="269" t="n"/>
      <c r="H431" s="269" t="n"/>
      <c r="I431" s="269" t="n"/>
      <c r="J431" s="269" t="n"/>
      <c r="K431" s="269" t="n"/>
      <c r="L431" s="269" t="n"/>
      <c r="M431" s="269" t="n"/>
      <c r="N431" s="269" t="n"/>
      <c r="O431" s="269" t="n"/>
      <c r="P431" s="269" t="n"/>
      <c r="Q431" s="269" t="n"/>
      <c r="R431" s="269" t="n"/>
      <c r="S431" s="269" t="n"/>
      <c r="T431" s="269" t="n"/>
      <c r="U431" s="269" t="n"/>
      <c r="V431" s="269" t="n"/>
      <c r="W431" s="270" t="n"/>
    </row>
    <row r="432" customFormat="1" s="163">
      <c r="A432" s="282" t="n"/>
      <c r="B432" s="277" t="n"/>
      <c r="C432" s="278" t="n"/>
      <c r="D432" s="269" t="n"/>
      <c r="E432" s="269" t="n"/>
      <c r="F432" s="269" t="n"/>
      <c r="G432" s="269" t="n"/>
      <c r="H432" s="269" t="n"/>
      <c r="I432" s="269" t="n"/>
      <c r="J432" s="269" t="n"/>
      <c r="K432" s="269" t="n"/>
      <c r="L432" s="269" t="n"/>
      <c r="M432" s="269" t="n"/>
      <c r="N432" s="269" t="n"/>
      <c r="O432" s="269" t="n"/>
      <c r="P432" s="269" t="n"/>
      <c r="Q432" s="269" t="n"/>
      <c r="R432" s="269" t="n"/>
      <c r="S432" s="269" t="n"/>
      <c r="T432" s="269" t="n"/>
      <c r="U432" s="269" t="n"/>
      <c r="V432" s="269" t="n"/>
      <c r="W432" s="270" t="n"/>
    </row>
    <row r="433" customFormat="1" s="163">
      <c r="A433" s="282" t="n"/>
      <c r="B433" s="277" t="n"/>
      <c r="C433" s="278" t="n"/>
      <c r="D433" s="269" t="n"/>
      <c r="E433" s="269" t="n"/>
      <c r="F433" s="269" t="n"/>
      <c r="G433" s="269" t="n"/>
      <c r="H433" s="269" t="n"/>
      <c r="I433" s="269" t="n"/>
      <c r="J433" s="269" t="n"/>
      <c r="K433" s="269" t="n"/>
      <c r="L433" s="269" t="n"/>
      <c r="M433" s="269" t="n"/>
      <c r="N433" s="269" t="n"/>
      <c r="O433" s="269" t="n"/>
      <c r="P433" s="269" t="n"/>
      <c r="Q433" s="269" t="n"/>
      <c r="R433" s="269" t="n"/>
      <c r="S433" s="269" t="n"/>
      <c r="T433" s="269" t="n"/>
      <c r="U433" s="269" t="n"/>
      <c r="V433" s="269" t="n"/>
      <c r="W433" s="270" t="n"/>
    </row>
    <row r="434" customFormat="1" s="163">
      <c r="A434" s="282" t="n"/>
      <c r="B434" s="277" t="n"/>
      <c r="C434" s="278" t="n"/>
      <c r="D434" s="269" t="n"/>
      <c r="E434" s="269" t="n"/>
      <c r="F434" s="269" t="n"/>
      <c r="G434" s="269" t="n"/>
      <c r="H434" s="269" t="n"/>
      <c r="I434" s="269" t="n"/>
      <c r="J434" s="269" t="n"/>
      <c r="K434" s="269" t="n"/>
      <c r="L434" s="269" t="n"/>
      <c r="M434" s="269" t="n"/>
      <c r="N434" s="269" t="n"/>
      <c r="O434" s="269" t="n"/>
      <c r="P434" s="269" t="n"/>
      <c r="Q434" s="269" t="n"/>
      <c r="R434" s="269" t="n"/>
      <c r="S434" s="269" t="n"/>
      <c r="T434" s="269" t="n"/>
      <c r="U434" s="269" t="n"/>
      <c r="V434" s="269" t="n"/>
      <c r="W434" s="270" t="n"/>
    </row>
    <row r="435" customFormat="1" s="163">
      <c r="A435" s="282" t="n"/>
      <c r="B435" s="277" t="n"/>
      <c r="C435" s="278" t="n"/>
      <c r="D435" s="269" t="n"/>
      <c r="E435" s="269" t="n"/>
      <c r="F435" s="269" t="n"/>
      <c r="G435" s="269" t="n"/>
      <c r="H435" s="269" t="n"/>
      <c r="I435" s="269" t="n"/>
      <c r="J435" s="269" t="n"/>
      <c r="K435" s="269" t="n"/>
      <c r="L435" s="269" t="n"/>
      <c r="M435" s="269" t="n"/>
      <c r="N435" s="269" t="n"/>
      <c r="O435" s="269" t="n"/>
      <c r="P435" s="269" t="n"/>
      <c r="Q435" s="269" t="n"/>
      <c r="R435" s="269" t="n"/>
      <c r="S435" s="269" t="n"/>
      <c r="T435" s="269" t="n"/>
      <c r="U435" s="269" t="n"/>
      <c r="V435" s="269" t="n"/>
      <c r="W435" s="270" t="n"/>
    </row>
    <row r="436" customFormat="1" s="163">
      <c r="A436" s="282" t="n"/>
      <c r="B436" s="277" t="n"/>
      <c r="C436" s="278" t="n"/>
      <c r="D436" s="269" t="n"/>
      <c r="E436" s="269" t="n"/>
      <c r="F436" s="269" t="n"/>
      <c r="G436" s="269" t="n"/>
      <c r="H436" s="269" t="n"/>
      <c r="I436" s="269" t="n"/>
      <c r="J436" s="269" t="n"/>
      <c r="K436" s="269" t="n"/>
      <c r="L436" s="269" t="n"/>
      <c r="M436" s="269" t="n"/>
      <c r="N436" s="269" t="n"/>
      <c r="O436" s="269" t="n"/>
      <c r="P436" s="269" t="n"/>
      <c r="Q436" s="269" t="n"/>
      <c r="R436" s="269" t="n"/>
      <c r="S436" s="269" t="n"/>
      <c r="T436" s="269" t="n"/>
      <c r="U436" s="269" t="n"/>
      <c r="V436" s="269" t="n"/>
      <c r="W436" s="270" t="n"/>
    </row>
    <row r="437" customFormat="1" s="163">
      <c r="A437" s="282" t="n"/>
      <c r="B437" s="277" t="n"/>
      <c r="C437" s="278" t="n"/>
      <c r="D437" s="269" t="n"/>
      <c r="E437" s="269" t="n"/>
      <c r="F437" s="269" t="n"/>
      <c r="G437" s="269" t="n"/>
      <c r="H437" s="269" t="n"/>
      <c r="I437" s="269" t="n"/>
      <c r="J437" s="269" t="n"/>
      <c r="K437" s="269" t="n"/>
      <c r="L437" s="269" t="n"/>
      <c r="M437" s="269" t="n"/>
      <c r="N437" s="269" t="n"/>
      <c r="O437" s="269" t="n"/>
      <c r="P437" s="269" t="n"/>
      <c r="Q437" s="269" t="n"/>
      <c r="R437" s="269" t="n"/>
      <c r="S437" s="269" t="n"/>
      <c r="T437" s="269" t="n"/>
      <c r="U437" s="269" t="n"/>
      <c r="V437" s="269" t="n"/>
      <c r="W437" s="270" t="n"/>
    </row>
    <row r="438" customFormat="1" s="163">
      <c r="A438" s="282" t="n"/>
      <c r="B438" s="277" t="n"/>
      <c r="C438" s="278" t="n"/>
      <c r="D438" s="269" t="n"/>
      <c r="E438" s="269" t="n"/>
      <c r="F438" s="269" t="n"/>
      <c r="G438" s="269" t="n"/>
      <c r="H438" s="269" t="n"/>
      <c r="I438" s="269" t="n"/>
      <c r="J438" s="269" t="n"/>
      <c r="K438" s="269" t="n"/>
      <c r="L438" s="269" t="n"/>
      <c r="M438" s="269" t="n"/>
      <c r="N438" s="269" t="n"/>
      <c r="O438" s="269" t="n"/>
      <c r="P438" s="269" t="n"/>
      <c r="Q438" s="269" t="n"/>
      <c r="R438" s="269" t="n"/>
      <c r="S438" s="269" t="n"/>
      <c r="T438" s="269" t="n"/>
      <c r="U438" s="269" t="n"/>
      <c r="V438" s="269" t="n"/>
      <c r="W438" s="270" t="n"/>
    </row>
    <row r="439" customFormat="1" s="163">
      <c r="A439" s="282" t="n"/>
      <c r="B439" s="277" t="n"/>
      <c r="C439" s="278" t="n"/>
      <c r="D439" s="269" t="n"/>
      <c r="E439" s="269" t="n"/>
      <c r="F439" s="269" t="n"/>
      <c r="G439" s="269" t="n"/>
      <c r="H439" s="269" t="n"/>
      <c r="I439" s="269" t="n"/>
      <c r="J439" s="269" t="n"/>
      <c r="K439" s="269" t="n"/>
      <c r="L439" s="269" t="n"/>
      <c r="M439" s="269" t="n"/>
      <c r="N439" s="269" t="n"/>
      <c r="O439" s="269" t="n"/>
      <c r="P439" s="269" t="n"/>
      <c r="Q439" s="269" t="n"/>
      <c r="R439" s="269" t="n"/>
      <c r="S439" s="269" t="n"/>
      <c r="T439" s="269" t="n"/>
      <c r="U439" s="269" t="n"/>
      <c r="V439" s="269" t="n"/>
      <c r="W439" s="270" t="n"/>
    </row>
    <row r="440" customFormat="1" s="163">
      <c r="A440" s="282" t="n"/>
      <c r="B440" s="277" t="n"/>
      <c r="C440" s="278" t="n"/>
      <c r="D440" s="269" t="n"/>
      <c r="E440" s="269" t="n"/>
      <c r="F440" s="269" t="n"/>
      <c r="G440" s="269" t="n"/>
      <c r="H440" s="269" t="n"/>
      <c r="I440" s="269" t="n"/>
      <c r="J440" s="269" t="n"/>
      <c r="K440" s="269" t="n"/>
      <c r="L440" s="269" t="n"/>
      <c r="M440" s="269" t="n"/>
      <c r="N440" s="269" t="n"/>
      <c r="O440" s="269" t="n"/>
      <c r="P440" s="269" t="n"/>
      <c r="Q440" s="269" t="n"/>
      <c r="R440" s="269" t="n"/>
      <c r="S440" s="269" t="n"/>
      <c r="T440" s="269" t="n"/>
      <c r="U440" s="269" t="n"/>
      <c r="V440" s="269" t="n"/>
      <c r="W440" s="270" t="n"/>
    </row>
    <row r="441" customFormat="1" s="163">
      <c r="A441" s="282" t="n"/>
      <c r="B441" s="277" t="n"/>
      <c r="C441" s="278" t="n"/>
      <c r="D441" s="269" t="n"/>
      <c r="E441" s="269" t="n"/>
      <c r="F441" s="269" t="n"/>
      <c r="G441" s="269" t="n"/>
      <c r="H441" s="269" t="n"/>
      <c r="I441" s="269" t="n"/>
      <c r="J441" s="269" t="n"/>
      <c r="K441" s="269" t="n"/>
      <c r="L441" s="269" t="n"/>
      <c r="M441" s="269" t="n"/>
      <c r="N441" s="269" t="n"/>
      <c r="O441" s="269" t="n"/>
      <c r="P441" s="269" t="n"/>
      <c r="Q441" s="269" t="n"/>
      <c r="R441" s="269" t="n"/>
      <c r="S441" s="269" t="n"/>
      <c r="T441" s="269" t="n"/>
      <c r="U441" s="269" t="n"/>
      <c r="V441" s="269" t="n"/>
      <c r="W441" s="270" t="n"/>
    </row>
    <row r="442" customFormat="1" s="163">
      <c r="A442" s="282" t="n"/>
      <c r="B442" s="277" t="n"/>
      <c r="C442" s="278" t="n"/>
      <c r="D442" s="269" t="n"/>
      <c r="E442" s="269" t="n"/>
      <c r="F442" s="269" t="n"/>
      <c r="G442" s="269" t="n"/>
      <c r="H442" s="269" t="n"/>
      <c r="I442" s="269" t="n"/>
      <c r="J442" s="269" t="n"/>
      <c r="K442" s="269" t="n"/>
      <c r="L442" s="269" t="n"/>
      <c r="M442" s="269" t="n"/>
      <c r="N442" s="269" t="n"/>
      <c r="O442" s="269" t="n"/>
      <c r="P442" s="269" t="n"/>
      <c r="Q442" s="269" t="n"/>
      <c r="R442" s="269" t="n"/>
      <c r="S442" s="269" t="n"/>
      <c r="T442" s="269" t="n"/>
      <c r="U442" s="269" t="n"/>
      <c r="V442" s="269" t="n"/>
      <c r="W442" s="270" t="n"/>
    </row>
    <row r="443" customFormat="1" s="163">
      <c r="A443" s="282" t="n"/>
      <c r="B443" s="277" t="n"/>
      <c r="C443" s="278" t="n"/>
      <c r="D443" s="269" t="n"/>
      <c r="E443" s="269" t="n"/>
      <c r="F443" s="269" t="n"/>
      <c r="G443" s="269" t="n"/>
      <c r="H443" s="269" t="n"/>
      <c r="I443" s="269" t="n"/>
      <c r="J443" s="269" t="n"/>
      <c r="K443" s="269" t="n"/>
      <c r="L443" s="269" t="n"/>
      <c r="M443" s="269" t="n"/>
      <c r="N443" s="269" t="n"/>
      <c r="O443" s="269" t="n"/>
      <c r="P443" s="269" t="n"/>
      <c r="Q443" s="269" t="n"/>
      <c r="R443" s="269" t="n"/>
      <c r="S443" s="269" t="n"/>
      <c r="T443" s="269" t="n"/>
      <c r="U443" s="269" t="n"/>
      <c r="V443" s="269" t="n"/>
      <c r="W443" s="270" t="n"/>
    </row>
    <row r="444" customFormat="1" s="163">
      <c r="A444" s="282" t="n"/>
      <c r="B444" s="277" t="n"/>
      <c r="C444" s="278" t="n"/>
      <c r="D444" s="269" t="n"/>
      <c r="E444" s="269" t="n"/>
      <c r="F444" s="269" t="n"/>
      <c r="G444" s="269" t="n"/>
      <c r="H444" s="269" t="n"/>
      <c r="I444" s="269" t="n"/>
      <c r="J444" s="269" t="n"/>
      <c r="K444" s="269" t="n"/>
      <c r="L444" s="269" t="n"/>
      <c r="M444" s="269" t="n"/>
      <c r="N444" s="269" t="n"/>
      <c r="O444" s="269" t="n"/>
      <c r="P444" s="269" t="n"/>
      <c r="Q444" s="269" t="n"/>
      <c r="R444" s="269" t="n"/>
      <c r="S444" s="269" t="n"/>
      <c r="T444" s="269" t="n"/>
      <c r="U444" s="269" t="n"/>
      <c r="V444" s="269" t="n"/>
      <c r="W444" s="270" t="n"/>
    </row>
    <row r="445" customFormat="1" s="163">
      <c r="A445" s="282" t="n"/>
      <c r="B445" s="277" t="n"/>
      <c r="C445" s="278" t="n"/>
      <c r="D445" s="269" t="n"/>
      <c r="E445" s="269" t="n"/>
      <c r="F445" s="269" t="n"/>
      <c r="G445" s="269" t="n"/>
      <c r="H445" s="269" t="n"/>
      <c r="I445" s="269" t="n"/>
      <c r="J445" s="269" t="n"/>
      <c r="K445" s="269" t="n"/>
      <c r="L445" s="269" t="n"/>
      <c r="M445" s="269" t="n"/>
      <c r="N445" s="269" t="n"/>
      <c r="O445" s="269" t="n"/>
      <c r="P445" s="269" t="n"/>
      <c r="Q445" s="269" t="n"/>
      <c r="R445" s="269" t="n"/>
      <c r="S445" s="269" t="n"/>
      <c r="T445" s="269" t="n"/>
      <c r="U445" s="269" t="n"/>
      <c r="V445" s="269" t="n"/>
      <c r="W445" s="270" t="n"/>
    </row>
    <row r="446" customFormat="1" s="163">
      <c r="A446" s="282" t="n"/>
      <c r="B446" s="277" t="n"/>
      <c r="C446" s="278" t="n"/>
      <c r="D446" s="269" t="n"/>
      <c r="E446" s="269" t="n"/>
      <c r="F446" s="269" t="n"/>
      <c r="G446" s="269" t="n"/>
      <c r="H446" s="269" t="n"/>
      <c r="I446" s="269" t="n"/>
      <c r="J446" s="269" t="n"/>
      <c r="K446" s="269" t="n"/>
      <c r="L446" s="269" t="n"/>
      <c r="M446" s="269" t="n"/>
      <c r="N446" s="269" t="n"/>
      <c r="O446" s="269" t="n"/>
      <c r="P446" s="269" t="n"/>
      <c r="Q446" s="269" t="n"/>
      <c r="R446" s="269" t="n"/>
      <c r="S446" s="269" t="n"/>
      <c r="T446" s="269" t="n"/>
      <c r="U446" s="269" t="n"/>
      <c r="V446" s="269" t="n"/>
      <c r="W446" s="270" t="n"/>
    </row>
    <row r="447" customFormat="1" s="163">
      <c r="A447" s="282" t="n"/>
      <c r="B447" s="277" t="n"/>
      <c r="C447" s="278" t="n"/>
      <c r="D447" s="269" t="n"/>
      <c r="E447" s="269" t="n"/>
      <c r="F447" s="269" t="n"/>
      <c r="G447" s="269" t="n"/>
      <c r="H447" s="269" t="n"/>
      <c r="I447" s="269" t="n"/>
      <c r="J447" s="269" t="n"/>
      <c r="K447" s="269" t="n"/>
      <c r="L447" s="269" t="n"/>
      <c r="M447" s="269" t="n"/>
      <c r="N447" s="269" t="n"/>
      <c r="O447" s="269" t="n"/>
      <c r="P447" s="269" t="n"/>
      <c r="Q447" s="269" t="n"/>
      <c r="R447" s="269" t="n"/>
      <c r="S447" s="269" t="n"/>
      <c r="T447" s="269" t="n"/>
      <c r="U447" s="269" t="n"/>
      <c r="V447" s="269" t="n"/>
      <c r="W447" s="270" t="n"/>
    </row>
    <row r="448" customFormat="1" s="163">
      <c r="A448" s="282" t="n"/>
      <c r="B448" s="277" t="n"/>
      <c r="C448" s="278" t="n"/>
      <c r="D448" s="269" t="n"/>
      <c r="E448" s="269" t="n"/>
      <c r="F448" s="269" t="n"/>
      <c r="G448" s="269" t="n"/>
      <c r="H448" s="269" t="n"/>
      <c r="I448" s="269" t="n"/>
      <c r="J448" s="269" t="n"/>
      <c r="K448" s="269" t="n"/>
      <c r="L448" s="269" t="n"/>
      <c r="M448" s="269" t="n"/>
      <c r="N448" s="269" t="n"/>
      <c r="O448" s="269" t="n"/>
      <c r="P448" s="269" t="n"/>
      <c r="Q448" s="269" t="n"/>
      <c r="R448" s="269" t="n"/>
      <c r="S448" s="269" t="n"/>
      <c r="T448" s="269" t="n"/>
      <c r="U448" s="269" t="n"/>
      <c r="V448" s="269" t="n"/>
      <c r="W448" s="270" t="n"/>
    </row>
    <row r="449" customFormat="1" s="163">
      <c r="A449" s="282" t="n"/>
      <c r="B449" s="277" t="n"/>
      <c r="C449" s="278" t="n"/>
      <c r="D449" s="269" t="n"/>
      <c r="E449" s="269" t="n"/>
      <c r="F449" s="269" t="n"/>
      <c r="G449" s="269" t="n"/>
      <c r="H449" s="269" t="n"/>
      <c r="I449" s="269" t="n"/>
      <c r="J449" s="269" t="n"/>
      <c r="K449" s="269" t="n"/>
      <c r="L449" s="269" t="n"/>
      <c r="M449" s="269" t="n"/>
      <c r="N449" s="269" t="n"/>
      <c r="O449" s="269" t="n"/>
      <c r="P449" s="269" t="n"/>
      <c r="Q449" s="269" t="n"/>
      <c r="R449" s="269" t="n"/>
      <c r="S449" s="269" t="n"/>
      <c r="T449" s="269" t="n"/>
      <c r="U449" s="269" t="n"/>
      <c r="V449" s="269" t="n"/>
      <c r="W449" s="270" t="n"/>
    </row>
    <row r="450" customFormat="1" s="163">
      <c r="A450" s="282" t="n"/>
      <c r="B450" s="277" t="n"/>
      <c r="C450" s="278" t="n"/>
      <c r="D450" s="269" t="n"/>
      <c r="E450" s="269" t="n"/>
      <c r="F450" s="269" t="n"/>
      <c r="G450" s="269" t="n"/>
      <c r="H450" s="269" t="n"/>
      <c r="I450" s="269" t="n"/>
      <c r="J450" s="269" t="n"/>
      <c r="K450" s="269" t="n"/>
      <c r="L450" s="269" t="n"/>
      <c r="M450" s="269" t="n"/>
      <c r="N450" s="269" t="n"/>
      <c r="O450" s="269" t="n"/>
      <c r="P450" s="269" t="n"/>
      <c r="Q450" s="269" t="n"/>
      <c r="R450" s="269" t="n"/>
      <c r="S450" s="269" t="n"/>
      <c r="T450" s="269" t="n"/>
      <c r="U450" s="269" t="n"/>
      <c r="V450" s="269" t="n"/>
      <c r="W450" s="270" t="n"/>
    </row>
    <row r="451" customFormat="1" s="163">
      <c r="A451" s="282" t="n"/>
      <c r="B451" s="277" t="n"/>
      <c r="C451" s="278" t="n"/>
      <c r="D451" s="269" t="n"/>
      <c r="E451" s="269" t="n"/>
      <c r="F451" s="269" t="n"/>
      <c r="G451" s="269" t="n"/>
      <c r="H451" s="269" t="n"/>
      <c r="I451" s="269" t="n"/>
      <c r="J451" s="269" t="n"/>
      <c r="K451" s="269" t="n"/>
      <c r="L451" s="269" t="n"/>
      <c r="M451" s="269" t="n"/>
      <c r="N451" s="269" t="n"/>
      <c r="O451" s="269" t="n"/>
      <c r="P451" s="269" t="n"/>
      <c r="Q451" s="269" t="n"/>
      <c r="R451" s="269" t="n"/>
      <c r="S451" s="269" t="n"/>
      <c r="T451" s="269" t="n"/>
      <c r="U451" s="269" t="n"/>
      <c r="V451" s="269" t="n"/>
      <c r="W451" s="270" t="n"/>
    </row>
    <row r="452" customFormat="1" s="163">
      <c r="A452" s="282" t="n"/>
      <c r="B452" s="277" t="n"/>
      <c r="C452" s="278" t="n"/>
      <c r="D452" s="269" t="n"/>
      <c r="E452" s="269" t="n"/>
      <c r="F452" s="269" t="n"/>
      <c r="G452" s="269" t="n"/>
      <c r="H452" s="269" t="n"/>
      <c r="I452" s="269" t="n"/>
      <c r="J452" s="269" t="n"/>
      <c r="K452" s="269" t="n"/>
      <c r="L452" s="269" t="n"/>
      <c r="M452" s="269" t="n"/>
      <c r="N452" s="269" t="n"/>
      <c r="O452" s="269" t="n"/>
      <c r="P452" s="269" t="n"/>
      <c r="Q452" s="269" t="n"/>
      <c r="R452" s="269" t="n"/>
      <c r="S452" s="269" t="n"/>
      <c r="T452" s="269" t="n"/>
      <c r="U452" s="269" t="n"/>
      <c r="V452" s="269" t="n"/>
      <c r="W452" s="270" t="n"/>
    </row>
    <row r="453" customFormat="1" s="163">
      <c r="A453" s="282" t="n"/>
      <c r="B453" s="277" t="n"/>
      <c r="C453" s="278" t="n"/>
      <c r="D453" s="269" t="n"/>
      <c r="E453" s="269" t="n"/>
      <c r="F453" s="269" t="n"/>
      <c r="G453" s="269" t="n"/>
      <c r="H453" s="269" t="n"/>
      <c r="I453" s="269" t="n"/>
      <c r="J453" s="269" t="n"/>
      <c r="K453" s="269" t="n"/>
      <c r="L453" s="269" t="n"/>
      <c r="M453" s="269" t="n"/>
      <c r="N453" s="269" t="n"/>
      <c r="O453" s="269" t="n"/>
      <c r="P453" s="269" t="n"/>
      <c r="Q453" s="269" t="n"/>
      <c r="R453" s="269" t="n"/>
      <c r="S453" s="269" t="n"/>
      <c r="T453" s="269" t="n"/>
      <c r="U453" s="269" t="n"/>
      <c r="V453" s="269" t="n"/>
      <c r="W453" s="270" t="n"/>
    </row>
    <row r="454" customFormat="1" s="163">
      <c r="A454" s="282" t="n"/>
      <c r="B454" s="277" t="n"/>
      <c r="C454" s="278" t="n"/>
      <c r="D454" s="269" t="n"/>
      <c r="E454" s="269" t="n"/>
      <c r="F454" s="269" t="n"/>
      <c r="G454" s="269" t="n"/>
      <c r="H454" s="269" t="n"/>
      <c r="I454" s="269" t="n"/>
      <c r="J454" s="269" t="n"/>
      <c r="K454" s="269" t="n"/>
      <c r="L454" s="269" t="n"/>
      <c r="M454" s="269" t="n"/>
      <c r="N454" s="269" t="n"/>
      <c r="O454" s="269" t="n"/>
      <c r="P454" s="269" t="n"/>
      <c r="Q454" s="269" t="n"/>
      <c r="R454" s="269" t="n"/>
      <c r="S454" s="269" t="n"/>
      <c r="T454" s="269" t="n"/>
      <c r="U454" s="269" t="n"/>
      <c r="V454" s="269" t="n"/>
      <c r="W454" s="270" t="n"/>
    </row>
    <row r="455" customFormat="1" s="163">
      <c r="A455" s="282" t="n"/>
      <c r="B455" s="277" t="n"/>
      <c r="C455" s="278" t="n"/>
      <c r="D455" s="269" t="n"/>
      <c r="E455" s="269" t="n"/>
      <c r="F455" s="269" t="n"/>
      <c r="G455" s="269" t="n"/>
      <c r="H455" s="269" t="n"/>
      <c r="I455" s="269" t="n"/>
      <c r="J455" s="269" t="n"/>
      <c r="K455" s="269" t="n"/>
      <c r="L455" s="269" t="n"/>
      <c r="M455" s="269" t="n"/>
      <c r="N455" s="269" t="n"/>
      <c r="O455" s="269" t="n"/>
      <c r="P455" s="269" t="n"/>
      <c r="Q455" s="269" t="n"/>
      <c r="R455" s="269" t="n"/>
      <c r="S455" s="269" t="n"/>
      <c r="T455" s="269" t="n"/>
      <c r="U455" s="269" t="n"/>
      <c r="V455" s="269" t="n"/>
      <c r="W455" s="270" t="n"/>
    </row>
    <row r="456" customFormat="1" s="163">
      <c r="A456" s="282" t="n"/>
      <c r="B456" s="277" t="n"/>
      <c r="C456" s="278" t="n"/>
      <c r="D456" s="269" t="n"/>
      <c r="E456" s="269" t="n"/>
      <c r="F456" s="269" t="n"/>
      <c r="G456" s="269" t="n"/>
      <c r="H456" s="269" t="n"/>
      <c r="I456" s="269" t="n"/>
      <c r="J456" s="269" t="n"/>
      <c r="K456" s="269" t="n"/>
      <c r="L456" s="269" t="n"/>
      <c r="M456" s="269" t="n"/>
      <c r="N456" s="269" t="n"/>
      <c r="O456" s="269" t="n"/>
      <c r="P456" s="269" t="n"/>
      <c r="Q456" s="269" t="n"/>
      <c r="R456" s="269" t="n"/>
      <c r="S456" s="269" t="n"/>
      <c r="T456" s="269" t="n"/>
      <c r="U456" s="269" t="n"/>
      <c r="V456" s="269" t="n"/>
      <c r="W456" s="270" t="n"/>
    </row>
    <row r="457" customFormat="1" s="163">
      <c r="A457" s="282" t="n"/>
      <c r="B457" s="277" t="n"/>
      <c r="C457" s="278" t="n"/>
      <c r="D457" s="269" t="n"/>
      <c r="E457" s="269" t="n"/>
      <c r="F457" s="269" t="n"/>
      <c r="G457" s="269" t="n"/>
      <c r="H457" s="269" t="n"/>
      <c r="I457" s="269" t="n"/>
      <c r="J457" s="269" t="n"/>
      <c r="K457" s="269" t="n"/>
      <c r="L457" s="269" t="n"/>
      <c r="M457" s="269" t="n"/>
      <c r="N457" s="269" t="n"/>
      <c r="O457" s="269" t="n"/>
      <c r="P457" s="269" t="n"/>
      <c r="Q457" s="269" t="n"/>
      <c r="R457" s="269" t="n"/>
      <c r="S457" s="269" t="n"/>
      <c r="T457" s="269" t="n"/>
      <c r="U457" s="269" t="n"/>
      <c r="V457" s="269" t="n"/>
      <c r="W457" s="270" t="n"/>
    </row>
    <row r="458" customFormat="1" s="163">
      <c r="A458" s="282" t="n"/>
      <c r="B458" s="277" t="n"/>
      <c r="C458" s="278" t="n"/>
      <c r="D458" s="269" t="n"/>
      <c r="E458" s="269" t="n"/>
      <c r="F458" s="269" t="n"/>
      <c r="G458" s="269" t="n"/>
      <c r="H458" s="269" t="n"/>
      <c r="I458" s="269" t="n"/>
      <c r="J458" s="269" t="n"/>
      <c r="K458" s="269" t="n"/>
      <c r="L458" s="269" t="n"/>
      <c r="M458" s="269" t="n"/>
      <c r="N458" s="269" t="n"/>
      <c r="O458" s="269" t="n"/>
      <c r="P458" s="269" t="n"/>
      <c r="Q458" s="269" t="n"/>
      <c r="R458" s="269" t="n"/>
      <c r="S458" s="269" t="n"/>
      <c r="T458" s="269" t="n"/>
      <c r="U458" s="269" t="n"/>
      <c r="V458" s="269" t="n"/>
      <c r="W458" s="270" t="n"/>
    </row>
    <row r="459" customFormat="1" s="163">
      <c r="A459" s="282" t="n"/>
      <c r="B459" s="277" t="n"/>
      <c r="C459" s="278" t="n"/>
      <c r="D459" s="269" t="n"/>
      <c r="E459" s="269" t="n"/>
      <c r="F459" s="269" t="n"/>
      <c r="G459" s="269" t="n"/>
      <c r="H459" s="269" t="n"/>
      <c r="I459" s="269" t="n"/>
      <c r="J459" s="269" t="n"/>
      <c r="K459" s="269" t="n"/>
      <c r="L459" s="269" t="n"/>
      <c r="M459" s="269" t="n"/>
      <c r="N459" s="269" t="n"/>
      <c r="O459" s="269" t="n"/>
      <c r="P459" s="269" t="n"/>
      <c r="Q459" s="269" t="n"/>
      <c r="R459" s="269" t="n"/>
      <c r="S459" s="269" t="n"/>
      <c r="T459" s="269" t="n"/>
      <c r="U459" s="269" t="n"/>
      <c r="V459" s="269" t="n"/>
      <c r="W459" s="270" t="n"/>
    </row>
    <row r="460" customFormat="1" s="163">
      <c r="A460" s="282" t="n"/>
      <c r="B460" s="277" t="n"/>
      <c r="C460" s="278" t="n"/>
      <c r="D460" s="269" t="n"/>
      <c r="E460" s="269" t="n"/>
      <c r="F460" s="269" t="n"/>
      <c r="G460" s="269" t="n"/>
      <c r="H460" s="269" t="n"/>
      <c r="I460" s="269" t="n"/>
      <c r="J460" s="269" t="n"/>
      <c r="K460" s="269" t="n"/>
      <c r="L460" s="269" t="n"/>
      <c r="M460" s="269" t="n"/>
      <c r="N460" s="269" t="n"/>
      <c r="O460" s="269" t="n"/>
      <c r="P460" s="269" t="n"/>
      <c r="Q460" s="269" t="n"/>
      <c r="R460" s="269" t="n"/>
      <c r="S460" s="269" t="n"/>
      <c r="T460" s="269" t="n"/>
      <c r="U460" s="269" t="n"/>
      <c r="V460" s="269" t="n"/>
      <c r="W460" s="270" t="n"/>
    </row>
    <row r="461" customFormat="1" s="163">
      <c r="A461" s="282" t="n"/>
      <c r="B461" s="277" t="n"/>
      <c r="C461" s="278" t="n"/>
      <c r="D461" s="269" t="n"/>
      <c r="E461" s="269" t="n"/>
      <c r="F461" s="269" t="n"/>
      <c r="G461" s="269" t="n"/>
      <c r="H461" s="269" t="n"/>
      <c r="I461" s="269" t="n"/>
      <c r="J461" s="269" t="n"/>
      <c r="K461" s="269" t="n"/>
      <c r="L461" s="269" t="n"/>
      <c r="M461" s="269" t="n"/>
      <c r="N461" s="269" t="n"/>
      <c r="O461" s="269" t="n"/>
      <c r="P461" s="269" t="n"/>
      <c r="Q461" s="269" t="n"/>
      <c r="R461" s="269" t="n"/>
      <c r="S461" s="269" t="n"/>
      <c r="T461" s="269" t="n"/>
      <c r="U461" s="269" t="n"/>
      <c r="V461" s="269" t="n"/>
      <c r="W461" s="270" t="n"/>
    </row>
    <row r="462" customFormat="1" s="163">
      <c r="A462" s="282" t="n"/>
      <c r="B462" s="277" t="n"/>
      <c r="C462" s="278" t="n"/>
      <c r="D462" s="269" t="n"/>
      <c r="E462" s="269" t="n"/>
      <c r="F462" s="269" t="n"/>
      <c r="G462" s="269" t="n"/>
      <c r="H462" s="269" t="n"/>
      <c r="I462" s="269" t="n"/>
      <c r="J462" s="269" t="n"/>
      <c r="K462" s="269" t="n"/>
      <c r="L462" s="269" t="n"/>
      <c r="M462" s="269" t="n"/>
      <c r="N462" s="269" t="n"/>
      <c r="O462" s="269" t="n"/>
      <c r="P462" s="269" t="n"/>
      <c r="Q462" s="269" t="n"/>
      <c r="R462" s="269" t="n"/>
      <c r="S462" s="269" t="n"/>
      <c r="T462" s="269" t="n"/>
      <c r="U462" s="269" t="n"/>
      <c r="V462" s="269" t="n"/>
      <c r="W462" s="270" t="n"/>
    </row>
    <row r="463" customFormat="1" s="163">
      <c r="A463" s="282" t="n"/>
      <c r="B463" s="277" t="n"/>
      <c r="C463" s="278" t="n"/>
      <c r="D463" s="269" t="n"/>
      <c r="E463" s="269" t="n"/>
      <c r="F463" s="269" t="n"/>
      <c r="G463" s="269" t="n"/>
      <c r="H463" s="269" t="n"/>
      <c r="I463" s="269" t="n"/>
      <c r="J463" s="269" t="n"/>
      <c r="K463" s="269" t="n"/>
      <c r="L463" s="269" t="n"/>
      <c r="M463" s="269" t="n"/>
      <c r="N463" s="269" t="n"/>
      <c r="O463" s="269" t="n"/>
      <c r="P463" s="269" t="n"/>
      <c r="Q463" s="269" t="n"/>
      <c r="R463" s="269" t="n"/>
      <c r="S463" s="269" t="n"/>
      <c r="T463" s="269" t="n"/>
      <c r="U463" s="269" t="n"/>
      <c r="V463" s="269" t="n"/>
      <c r="W463" s="270" t="n"/>
    </row>
    <row r="464" customFormat="1" s="163">
      <c r="A464" s="282" t="n"/>
      <c r="B464" s="277" t="n"/>
      <c r="C464" s="278" t="n"/>
      <c r="D464" s="269" t="n"/>
      <c r="E464" s="269" t="n"/>
      <c r="F464" s="269" t="n"/>
      <c r="G464" s="269" t="n"/>
      <c r="H464" s="269" t="n"/>
      <c r="I464" s="269" t="n"/>
      <c r="J464" s="269" t="n"/>
      <c r="K464" s="269" t="n"/>
      <c r="L464" s="269" t="n"/>
      <c r="M464" s="269" t="n"/>
      <c r="N464" s="269" t="n"/>
      <c r="O464" s="269" t="n"/>
      <c r="P464" s="269" t="n"/>
      <c r="Q464" s="269" t="n"/>
      <c r="R464" s="269" t="n"/>
      <c r="S464" s="269" t="n"/>
      <c r="T464" s="269" t="n"/>
      <c r="U464" s="269" t="n"/>
      <c r="V464" s="269" t="n"/>
      <c r="W464" s="270" t="n"/>
    </row>
    <row r="465" customFormat="1" s="163">
      <c r="A465" s="282" t="n"/>
      <c r="B465" s="277" t="n"/>
      <c r="C465" s="278" t="n"/>
      <c r="D465" s="269" t="n"/>
      <c r="E465" s="269" t="n"/>
      <c r="F465" s="269" t="n"/>
      <c r="G465" s="269" t="n"/>
      <c r="H465" s="269" t="n"/>
      <c r="I465" s="269" t="n"/>
      <c r="J465" s="269" t="n"/>
      <c r="K465" s="269" t="n"/>
      <c r="L465" s="269" t="n"/>
      <c r="M465" s="269" t="n"/>
      <c r="N465" s="269" t="n"/>
      <c r="O465" s="269" t="n"/>
      <c r="P465" s="269" t="n"/>
      <c r="Q465" s="269" t="n"/>
      <c r="R465" s="269" t="n"/>
      <c r="S465" s="269" t="n"/>
      <c r="T465" s="269" t="n"/>
      <c r="U465" s="269" t="n"/>
      <c r="V465" s="269" t="n"/>
      <c r="W465" s="270" t="n"/>
    </row>
    <row r="466" customFormat="1" s="163">
      <c r="A466" s="282" t="n"/>
      <c r="B466" s="277" t="n"/>
      <c r="C466" s="278" t="n"/>
      <c r="D466" s="269" t="n"/>
      <c r="E466" s="269" t="n"/>
      <c r="F466" s="269" t="n"/>
      <c r="G466" s="269" t="n"/>
      <c r="H466" s="269" t="n"/>
      <c r="I466" s="269" t="n"/>
      <c r="J466" s="269" t="n"/>
      <c r="K466" s="269" t="n"/>
      <c r="L466" s="269" t="n"/>
      <c r="M466" s="269" t="n"/>
      <c r="N466" s="269" t="n"/>
      <c r="O466" s="269" t="n"/>
      <c r="P466" s="269" t="n"/>
      <c r="Q466" s="269" t="n"/>
      <c r="R466" s="269" t="n"/>
      <c r="S466" s="269" t="n"/>
      <c r="T466" s="269" t="n"/>
      <c r="U466" s="269" t="n"/>
      <c r="V466" s="269" t="n"/>
      <c r="W466" s="270" t="n"/>
    </row>
    <row r="467" customFormat="1" s="163">
      <c r="A467" s="282" t="n"/>
      <c r="B467" s="277" t="n"/>
      <c r="C467" s="278" t="n"/>
      <c r="D467" s="269" t="n"/>
      <c r="E467" s="269" t="n"/>
      <c r="F467" s="269" t="n"/>
      <c r="G467" s="269" t="n"/>
      <c r="H467" s="269" t="n"/>
      <c r="I467" s="269" t="n"/>
      <c r="J467" s="269" t="n"/>
      <c r="K467" s="269" t="n"/>
      <c r="L467" s="269" t="n"/>
      <c r="M467" s="269" t="n"/>
      <c r="N467" s="269" t="n"/>
      <c r="O467" s="269" t="n"/>
      <c r="P467" s="269" t="n"/>
      <c r="Q467" s="269" t="n"/>
      <c r="R467" s="269" t="n"/>
      <c r="S467" s="269" t="n"/>
      <c r="T467" s="269" t="n"/>
      <c r="U467" s="269" t="n"/>
      <c r="V467" s="269" t="n"/>
      <c r="W467" s="270" t="n"/>
    </row>
    <row r="468" customFormat="1" s="163">
      <c r="A468" s="282" t="n"/>
      <c r="B468" s="277" t="n"/>
      <c r="C468" s="278" t="n"/>
      <c r="D468" s="269" t="n"/>
      <c r="E468" s="269" t="n"/>
      <c r="F468" s="269" t="n"/>
      <c r="G468" s="269" t="n"/>
      <c r="H468" s="269" t="n"/>
      <c r="I468" s="269" t="n"/>
      <c r="J468" s="269" t="n"/>
      <c r="K468" s="269" t="n"/>
      <c r="L468" s="269" t="n"/>
      <c r="M468" s="269" t="n"/>
      <c r="N468" s="269" t="n"/>
      <c r="O468" s="269" t="n"/>
      <c r="P468" s="269" t="n"/>
      <c r="Q468" s="269" t="n"/>
      <c r="R468" s="269" t="n"/>
      <c r="S468" s="269" t="n"/>
      <c r="T468" s="269" t="n"/>
      <c r="U468" s="269" t="n"/>
      <c r="V468" s="269" t="n"/>
      <c r="W468" s="270" t="n"/>
    </row>
    <row r="469" customFormat="1" s="163">
      <c r="A469" s="282" t="n"/>
      <c r="B469" s="277" t="n"/>
      <c r="C469" s="278" t="n"/>
      <c r="D469" s="269" t="n"/>
      <c r="E469" s="269" t="n"/>
      <c r="F469" s="269" t="n"/>
      <c r="G469" s="269" t="n"/>
      <c r="H469" s="269" t="n"/>
      <c r="I469" s="269" t="n"/>
      <c r="J469" s="269" t="n"/>
      <c r="K469" s="269" t="n"/>
      <c r="L469" s="269" t="n"/>
      <c r="M469" s="269" t="n"/>
      <c r="N469" s="269" t="n"/>
      <c r="O469" s="269" t="n"/>
      <c r="P469" s="269" t="n"/>
      <c r="Q469" s="269" t="n"/>
      <c r="R469" s="269" t="n"/>
      <c r="S469" s="269" t="n"/>
      <c r="T469" s="269" t="n"/>
      <c r="U469" s="269" t="n"/>
      <c r="V469" s="269" t="n"/>
      <c r="W469" s="270" t="n"/>
    </row>
    <row r="470" customFormat="1" s="163">
      <c r="A470" s="282" t="n"/>
      <c r="B470" s="277" t="n"/>
      <c r="C470" s="278" t="n"/>
      <c r="D470" s="269" t="n"/>
      <c r="E470" s="269" t="n"/>
      <c r="F470" s="269" t="n"/>
      <c r="G470" s="269" t="n"/>
      <c r="H470" s="269" t="n"/>
      <c r="I470" s="269" t="n"/>
      <c r="J470" s="269" t="n"/>
      <c r="K470" s="269" t="n"/>
      <c r="L470" s="269" t="n"/>
      <c r="M470" s="269" t="n"/>
      <c r="N470" s="269" t="n"/>
      <c r="O470" s="269" t="n"/>
      <c r="P470" s="269" t="n"/>
      <c r="Q470" s="269" t="n"/>
      <c r="R470" s="269" t="n"/>
      <c r="S470" s="269" t="n"/>
      <c r="T470" s="269" t="n"/>
      <c r="U470" s="269" t="n"/>
      <c r="V470" s="269" t="n"/>
      <c r="W470" s="270" t="n"/>
    </row>
    <row r="471" customFormat="1" s="163">
      <c r="A471" s="282" t="n"/>
      <c r="B471" s="277" t="n"/>
      <c r="C471" s="278" t="n"/>
      <c r="D471" s="269" t="n"/>
      <c r="E471" s="269" t="n"/>
      <c r="F471" s="269" t="n"/>
      <c r="G471" s="269" t="n"/>
      <c r="H471" s="269" t="n"/>
      <c r="I471" s="269" t="n"/>
      <c r="J471" s="269" t="n"/>
      <c r="K471" s="269" t="n"/>
      <c r="L471" s="269" t="n"/>
      <c r="M471" s="269" t="n"/>
      <c r="N471" s="269" t="n"/>
      <c r="O471" s="269" t="n"/>
      <c r="P471" s="269" t="n"/>
      <c r="Q471" s="269" t="n"/>
      <c r="R471" s="269" t="n"/>
      <c r="S471" s="269" t="n"/>
      <c r="T471" s="269" t="n"/>
      <c r="U471" s="269" t="n"/>
      <c r="V471" s="269" t="n"/>
      <c r="W471" s="270" t="n"/>
    </row>
    <row r="472" customFormat="1" s="163">
      <c r="A472" s="282" t="n"/>
      <c r="B472" s="277" t="n"/>
      <c r="C472" s="278" t="n"/>
      <c r="D472" s="269" t="n"/>
      <c r="E472" s="269" t="n"/>
      <c r="F472" s="269" t="n"/>
      <c r="G472" s="269" t="n"/>
      <c r="H472" s="269" t="n"/>
      <c r="I472" s="269" t="n"/>
      <c r="J472" s="269" t="n"/>
      <c r="K472" s="269" t="n"/>
      <c r="L472" s="269" t="n"/>
      <c r="M472" s="269" t="n"/>
      <c r="N472" s="269" t="n"/>
      <c r="O472" s="269" t="n"/>
      <c r="P472" s="269" t="n"/>
      <c r="Q472" s="269" t="n"/>
      <c r="R472" s="269" t="n"/>
      <c r="S472" s="269" t="n"/>
      <c r="T472" s="269" t="n"/>
      <c r="U472" s="269" t="n"/>
      <c r="V472" s="269" t="n"/>
      <c r="W472" s="270" t="n"/>
    </row>
    <row r="473" customFormat="1" s="163">
      <c r="A473" s="282" t="n"/>
      <c r="B473" s="277" t="n"/>
      <c r="C473" s="278" t="n"/>
      <c r="D473" s="269" t="n"/>
      <c r="E473" s="269" t="n"/>
      <c r="F473" s="269" t="n"/>
      <c r="G473" s="269" t="n"/>
      <c r="H473" s="269" t="n"/>
      <c r="I473" s="269" t="n"/>
      <c r="J473" s="269" t="n"/>
      <c r="K473" s="269" t="n"/>
      <c r="L473" s="269" t="n"/>
      <c r="M473" s="269" t="n"/>
      <c r="N473" s="269" t="n"/>
      <c r="O473" s="269" t="n"/>
      <c r="P473" s="269" t="n"/>
      <c r="Q473" s="269" t="n"/>
      <c r="R473" s="269" t="n"/>
      <c r="S473" s="269" t="n"/>
      <c r="T473" s="269" t="n"/>
      <c r="U473" s="269" t="n"/>
      <c r="V473" s="269" t="n"/>
      <c r="W473" s="270" t="n"/>
    </row>
    <row r="474" customFormat="1" s="163">
      <c r="A474" s="282" t="n"/>
      <c r="B474" s="277" t="n"/>
      <c r="C474" s="278" t="n"/>
      <c r="D474" s="269" t="n"/>
      <c r="E474" s="269" t="n"/>
      <c r="F474" s="269" t="n"/>
      <c r="G474" s="269" t="n"/>
      <c r="H474" s="269" t="n"/>
      <c r="I474" s="269" t="n"/>
      <c r="J474" s="269" t="n"/>
      <c r="K474" s="269" t="n"/>
      <c r="L474" s="269" t="n"/>
      <c r="M474" s="269" t="n"/>
      <c r="N474" s="269" t="n"/>
      <c r="O474" s="269" t="n"/>
      <c r="P474" s="269" t="n"/>
      <c r="Q474" s="269" t="n"/>
      <c r="R474" s="269" t="n"/>
      <c r="S474" s="269" t="n"/>
      <c r="T474" s="269" t="n"/>
      <c r="U474" s="269" t="n"/>
      <c r="V474" s="269" t="n"/>
      <c r="W474" s="270" t="n"/>
    </row>
    <row r="475" customFormat="1" s="163">
      <c r="A475" s="282" t="n"/>
      <c r="B475" s="277" t="n"/>
      <c r="C475" s="278" t="n"/>
      <c r="D475" s="269" t="n"/>
      <c r="E475" s="269" t="n"/>
      <c r="F475" s="269" t="n"/>
      <c r="G475" s="269" t="n"/>
      <c r="H475" s="269" t="n"/>
      <c r="I475" s="269" t="n"/>
      <c r="J475" s="269" t="n"/>
      <c r="K475" s="269" t="n"/>
      <c r="L475" s="269" t="n"/>
      <c r="M475" s="269" t="n"/>
      <c r="N475" s="269" t="n"/>
      <c r="O475" s="269" t="n"/>
      <c r="P475" s="269" t="n"/>
      <c r="Q475" s="269" t="n"/>
      <c r="R475" s="269" t="n"/>
      <c r="S475" s="269" t="n"/>
      <c r="T475" s="269" t="n"/>
      <c r="U475" s="269" t="n"/>
      <c r="V475" s="269" t="n"/>
      <c r="W475" s="270" t="n"/>
    </row>
    <row r="476" customFormat="1" s="163">
      <c r="A476" s="282" t="n"/>
      <c r="B476" s="277" t="n"/>
      <c r="C476" s="278" t="n"/>
      <c r="D476" s="269" t="n"/>
      <c r="E476" s="269" t="n"/>
      <c r="F476" s="269" t="n"/>
      <c r="G476" s="269" t="n"/>
      <c r="H476" s="269" t="n"/>
      <c r="I476" s="269" t="n"/>
      <c r="J476" s="269" t="n"/>
      <c r="K476" s="269" t="n"/>
      <c r="L476" s="269" t="n"/>
      <c r="M476" s="269" t="n"/>
      <c r="N476" s="269" t="n"/>
      <c r="O476" s="269" t="n"/>
      <c r="P476" s="269" t="n"/>
      <c r="Q476" s="269" t="n"/>
      <c r="R476" s="269" t="n"/>
      <c r="S476" s="269" t="n"/>
      <c r="T476" s="269" t="n"/>
      <c r="U476" s="269" t="n"/>
      <c r="V476" s="269" t="n"/>
      <c r="W476" s="270" t="n"/>
    </row>
    <row r="477" customFormat="1" s="163">
      <c r="A477" s="282" t="n"/>
      <c r="B477" s="277" t="n"/>
      <c r="C477" s="278" t="n"/>
      <c r="D477" s="269" t="n"/>
      <c r="E477" s="269" t="n"/>
      <c r="F477" s="269" t="n"/>
      <c r="G477" s="269" t="n"/>
      <c r="H477" s="269" t="n"/>
      <c r="I477" s="269" t="n"/>
      <c r="J477" s="269" t="n"/>
      <c r="K477" s="269" t="n"/>
      <c r="L477" s="269" t="n"/>
      <c r="M477" s="269" t="n"/>
      <c r="N477" s="269" t="n"/>
      <c r="O477" s="269" t="n"/>
      <c r="P477" s="269" t="n"/>
      <c r="Q477" s="269" t="n"/>
      <c r="R477" s="269" t="n"/>
      <c r="S477" s="269" t="n"/>
      <c r="T477" s="269" t="n"/>
      <c r="U477" s="269" t="n"/>
      <c r="V477" s="269" t="n"/>
      <c r="W477" s="270" t="n"/>
    </row>
    <row r="478" customFormat="1" s="163">
      <c r="A478" s="282" t="n"/>
      <c r="B478" s="277" t="n"/>
      <c r="C478" s="278" t="n"/>
      <c r="D478" s="269" t="n"/>
      <c r="E478" s="269" t="n"/>
      <c r="F478" s="269" t="n"/>
      <c r="G478" s="269" t="n"/>
      <c r="H478" s="269" t="n"/>
      <c r="I478" s="269" t="n"/>
      <c r="J478" s="269" t="n"/>
      <c r="K478" s="269" t="n"/>
      <c r="L478" s="269" t="n"/>
      <c r="M478" s="269" t="n"/>
      <c r="N478" s="269" t="n"/>
      <c r="O478" s="269" t="n"/>
      <c r="P478" s="269" t="n"/>
      <c r="Q478" s="269" t="n"/>
      <c r="R478" s="269" t="n"/>
      <c r="S478" s="269" t="n"/>
      <c r="T478" s="269" t="n"/>
      <c r="U478" s="269" t="n"/>
      <c r="V478" s="269" t="n"/>
      <c r="W478" s="270" t="n"/>
    </row>
    <row r="479" customFormat="1" s="163">
      <c r="A479" s="282" t="n"/>
      <c r="B479" s="277" t="n"/>
      <c r="C479" s="278" t="n"/>
      <c r="D479" s="269" t="n"/>
      <c r="E479" s="269" t="n"/>
      <c r="F479" s="269" t="n"/>
      <c r="G479" s="269" t="n"/>
      <c r="H479" s="269" t="n"/>
      <c r="I479" s="269" t="n"/>
      <c r="J479" s="269" t="n"/>
      <c r="K479" s="269" t="n"/>
      <c r="L479" s="269" t="n"/>
      <c r="M479" s="269" t="n"/>
      <c r="N479" s="269" t="n"/>
      <c r="O479" s="269" t="n"/>
      <c r="P479" s="269" t="n"/>
      <c r="Q479" s="269" t="n"/>
      <c r="R479" s="269" t="n"/>
      <c r="S479" s="269" t="n"/>
      <c r="T479" s="269" t="n"/>
      <c r="U479" s="269" t="n"/>
      <c r="V479" s="269" t="n"/>
      <c r="W479" s="270" t="n"/>
    </row>
    <row r="480" customFormat="1" s="163">
      <c r="A480" s="282" t="n"/>
      <c r="B480" s="277" t="n"/>
      <c r="C480" s="278" t="n"/>
      <c r="D480" s="269" t="n"/>
      <c r="E480" s="269" t="n"/>
      <c r="F480" s="269" t="n"/>
      <c r="G480" s="269" t="n"/>
      <c r="H480" s="269" t="n"/>
      <c r="I480" s="269" t="n"/>
      <c r="J480" s="269" t="n"/>
      <c r="K480" s="269" t="n"/>
      <c r="L480" s="269" t="n"/>
      <c r="M480" s="269" t="n"/>
      <c r="N480" s="269" t="n"/>
      <c r="O480" s="269" t="n"/>
      <c r="P480" s="269" t="n"/>
      <c r="Q480" s="269" t="n"/>
      <c r="R480" s="269" t="n"/>
      <c r="S480" s="269" t="n"/>
      <c r="T480" s="269" t="n"/>
      <c r="U480" s="269" t="n"/>
      <c r="V480" s="269" t="n"/>
      <c r="W480" s="270" t="n"/>
    </row>
    <row r="481" customFormat="1" s="163">
      <c r="A481" s="282" t="n"/>
      <c r="B481" s="277" t="n"/>
      <c r="C481" s="278" t="n"/>
      <c r="D481" s="269" t="n"/>
      <c r="E481" s="269" t="n"/>
      <c r="F481" s="269" t="n"/>
      <c r="G481" s="269" t="n"/>
      <c r="H481" s="269" t="n"/>
      <c r="I481" s="269" t="n"/>
      <c r="J481" s="269" t="n"/>
      <c r="K481" s="269" t="n"/>
      <c r="L481" s="269" t="n"/>
      <c r="M481" s="269" t="n"/>
      <c r="N481" s="269" t="n"/>
      <c r="O481" s="269" t="n"/>
      <c r="P481" s="269" t="n"/>
      <c r="Q481" s="269" t="n"/>
      <c r="R481" s="269" t="n"/>
      <c r="S481" s="269" t="n"/>
      <c r="T481" s="269" t="n"/>
      <c r="U481" s="269" t="n"/>
      <c r="V481" s="269" t="n"/>
      <c r="W481" s="270" t="n"/>
    </row>
    <row r="482" customFormat="1" s="163">
      <c r="A482" s="282" t="n"/>
      <c r="B482" s="277" t="n"/>
      <c r="C482" s="278" t="n"/>
      <c r="D482" s="269" t="n"/>
      <c r="E482" s="269" t="n"/>
      <c r="F482" s="269" t="n"/>
      <c r="G482" s="269" t="n"/>
      <c r="H482" s="269" t="n"/>
      <c r="I482" s="269" t="n"/>
      <c r="J482" s="269" t="n"/>
      <c r="K482" s="269" t="n"/>
      <c r="L482" s="269" t="n"/>
      <c r="M482" s="269" t="n"/>
      <c r="N482" s="269" t="n"/>
      <c r="O482" s="269" t="n"/>
      <c r="P482" s="269" t="n"/>
      <c r="Q482" s="269" t="n"/>
      <c r="R482" s="269" t="n"/>
      <c r="S482" s="269" t="n"/>
      <c r="T482" s="269" t="n"/>
      <c r="U482" s="269" t="n"/>
      <c r="V482" s="269" t="n"/>
      <c r="W482" s="270" t="n"/>
    </row>
    <row r="483" customFormat="1" s="163">
      <c r="A483" s="282" t="n"/>
      <c r="B483" s="277" t="n"/>
      <c r="C483" s="278" t="n"/>
      <c r="D483" s="269" t="n"/>
      <c r="E483" s="269" t="n"/>
      <c r="F483" s="269" t="n"/>
      <c r="G483" s="269" t="n"/>
      <c r="H483" s="269" t="n"/>
      <c r="I483" s="269" t="n"/>
      <c r="J483" s="269" t="n"/>
      <c r="K483" s="269" t="n"/>
      <c r="L483" s="269" t="n"/>
      <c r="M483" s="269" t="n"/>
      <c r="N483" s="269" t="n"/>
      <c r="O483" s="269" t="n"/>
      <c r="P483" s="269" t="n"/>
      <c r="Q483" s="269" t="n"/>
      <c r="R483" s="269" t="n"/>
      <c r="S483" s="269" t="n"/>
      <c r="T483" s="269" t="n"/>
      <c r="U483" s="269" t="n"/>
      <c r="V483" s="269" t="n"/>
      <c r="W483" s="270" t="n"/>
    </row>
    <row r="484" customFormat="1" s="163">
      <c r="A484" s="282" t="n"/>
      <c r="B484" s="277" t="n"/>
      <c r="C484" s="278" t="n"/>
      <c r="D484" s="269" t="n"/>
      <c r="E484" s="269" t="n"/>
      <c r="F484" s="269" t="n"/>
      <c r="G484" s="269" t="n"/>
      <c r="H484" s="269" t="n"/>
      <c r="I484" s="269" t="n"/>
      <c r="J484" s="269" t="n"/>
      <c r="K484" s="269" t="n"/>
      <c r="L484" s="269" t="n"/>
      <c r="M484" s="269" t="n"/>
      <c r="N484" s="269" t="n"/>
      <c r="O484" s="269" t="n"/>
      <c r="P484" s="269" t="n"/>
      <c r="Q484" s="269" t="n"/>
      <c r="R484" s="269" t="n"/>
      <c r="S484" s="269" t="n"/>
      <c r="T484" s="269" t="n"/>
      <c r="U484" s="269" t="n"/>
      <c r="V484" s="269" t="n"/>
      <c r="W484" s="270" t="n"/>
    </row>
    <row r="485" customFormat="1" s="163">
      <c r="A485" s="282" t="n"/>
      <c r="B485" s="277" t="n"/>
      <c r="C485" s="278" t="n"/>
      <c r="D485" s="269" t="n"/>
      <c r="E485" s="269" t="n"/>
      <c r="F485" s="269" t="n"/>
      <c r="G485" s="269" t="n"/>
      <c r="H485" s="269" t="n"/>
      <c r="I485" s="269" t="n"/>
      <c r="J485" s="269" t="n"/>
      <c r="K485" s="269" t="n"/>
      <c r="L485" s="269" t="n"/>
      <c r="M485" s="269" t="n"/>
      <c r="N485" s="269" t="n"/>
      <c r="O485" s="269" t="n"/>
      <c r="P485" s="269" t="n"/>
      <c r="Q485" s="269" t="n"/>
      <c r="R485" s="269" t="n"/>
      <c r="S485" s="269" t="n"/>
      <c r="T485" s="269" t="n"/>
      <c r="U485" s="269" t="n"/>
      <c r="V485" s="269" t="n"/>
      <c r="W485" s="270" t="n"/>
    </row>
    <row r="486" customFormat="1" s="163">
      <c r="A486" s="282" t="n"/>
      <c r="B486" s="277" t="n"/>
      <c r="C486" s="278" t="n"/>
      <c r="D486" s="269" t="n"/>
      <c r="E486" s="269" t="n"/>
      <c r="F486" s="269" t="n"/>
      <c r="G486" s="269" t="n"/>
      <c r="H486" s="269" t="n"/>
      <c r="I486" s="269" t="n"/>
      <c r="J486" s="269" t="n"/>
      <c r="K486" s="269" t="n"/>
      <c r="L486" s="269" t="n"/>
      <c r="M486" s="269" t="n"/>
      <c r="N486" s="269" t="n"/>
      <c r="O486" s="269" t="n"/>
      <c r="P486" s="269" t="n"/>
      <c r="Q486" s="269" t="n"/>
      <c r="R486" s="269" t="n"/>
      <c r="S486" s="269" t="n"/>
      <c r="T486" s="269" t="n"/>
      <c r="U486" s="269" t="n"/>
      <c r="V486" s="269" t="n"/>
      <c r="W486" s="270" t="n"/>
    </row>
    <row r="487" customFormat="1" s="163">
      <c r="A487" s="282" t="n"/>
      <c r="B487" s="277" t="n"/>
      <c r="C487" s="278" t="n"/>
      <c r="D487" s="269" t="n"/>
      <c r="E487" s="269" t="n"/>
      <c r="F487" s="269" t="n"/>
      <c r="G487" s="269" t="n"/>
      <c r="H487" s="269" t="n"/>
      <c r="I487" s="269" t="n"/>
      <c r="J487" s="269" t="n"/>
      <c r="K487" s="269" t="n"/>
      <c r="L487" s="269" t="n"/>
      <c r="M487" s="269" t="n"/>
      <c r="N487" s="269" t="n"/>
      <c r="O487" s="269" t="n"/>
      <c r="P487" s="269" t="n"/>
      <c r="Q487" s="269" t="n"/>
      <c r="R487" s="269" t="n"/>
      <c r="S487" s="269" t="n"/>
      <c r="T487" s="269" t="n"/>
      <c r="U487" s="269" t="n"/>
      <c r="V487" s="269" t="n"/>
      <c r="W487" s="270" t="n"/>
    </row>
    <row r="488" customFormat="1" s="163">
      <c r="A488" s="282" t="n"/>
      <c r="B488" s="277" t="n"/>
      <c r="C488" s="278" t="n"/>
      <c r="D488" s="269" t="n"/>
      <c r="E488" s="269" t="n"/>
      <c r="F488" s="269" t="n"/>
      <c r="G488" s="269" t="n"/>
      <c r="H488" s="269" t="n"/>
      <c r="I488" s="269" t="n"/>
      <c r="J488" s="269" t="n"/>
      <c r="K488" s="269" t="n"/>
      <c r="L488" s="269" t="n"/>
      <c r="M488" s="269" t="n"/>
      <c r="N488" s="269" t="n"/>
      <c r="O488" s="269" t="n"/>
      <c r="P488" s="269" t="n"/>
      <c r="Q488" s="269" t="n"/>
      <c r="R488" s="269" t="n"/>
      <c r="S488" s="269" t="n"/>
      <c r="T488" s="269" t="n"/>
      <c r="U488" s="269" t="n"/>
      <c r="V488" s="269" t="n"/>
      <c r="W488" s="270" t="n"/>
    </row>
    <row r="489" customFormat="1" s="163">
      <c r="A489" s="282" t="n"/>
      <c r="B489" s="277" t="n"/>
      <c r="C489" s="278" t="n"/>
      <c r="D489" s="269" t="n"/>
      <c r="E489" s="269" t="n"/>
      <c r="F489" s="269" t="n"/>
      <c r="G489" s="269" t="n"/>
      <c r="H489" s="269" t="n"/>
      <c r="I489" s="269" t="n"/>
      <c r="J489" s="269" t="n"/>
      <c r="K489" s="269" t="n"/>
      <c r="L489" s="269" t="n"/>
      <c r="M489" s="269" t="n"/>
      <c r="N489" s="269" t="n"/>
      <c r="O489" s="269" t="n"/>
      <c r="P489" s="269" t="n"/>
      <c r="Q489" s="269" t="n"/>
      <c r="R489" s="269" t="n"/>
      <c r="S489" s="269" t="n"/>
      <c r="T489" s="269" t="n"/>
      <c r="U489" s="269" t="n"/>
      <c r="V489" s="269" t="n"/>
      <c r="W489" s="270" t="n"/>
    </row>
    <row r="490" customFormat="1" s="163">
      <c r="A490" s="282" t="n"/>
      <c r="B490" s="277" t="n"/>
      <c r="C490" s="278" t="n"/>
      <c r="D490" s="269" t="n"/>
      <c r="E490" s="269" t="n"/>
      <c r="F490" s="269" t="n"/>
      <c r="G490" s="269" t="n"/>
      <c r="H490" s="269" t="n"/>
      <c r="I490" s="269" t="n"/>
      <c r="J490" s="269" t="n"/>
      <c r="K490" s="269" t="n"/>
      <c r="L490" s="269" t="n"/>
      <c r="M490" s="269" t="n"/>
      <c r="N490" s="269" t="n"/>
      <c r="O490" s="269" t="n"/>
      <c r="P490" s="269" t="n"/>
      <c r="Q490" s="269" t="n"/>
      <c r="R490" s="269" t="n"/>
      <c r="S490" s="269" t="n"/>
      <c r="T490" s="269" t="n"/>
      <c r="U490" s="269" t="n"/>
      <c r="V490" s="269" t="n"/>
      <c r="W490" s="270" t="n"/>
    </row>
    <row r="491" customFormat="1" s="163">
      <c r="A491" s="282" t="n"/>
      <c r="B491" s="277" t="n"/>
      <c r="C491" s="278" t="n"/>
      <c r="D491" s="269" t="n"/>
      <c r="E491" s="269" t="n"/>
      <c r="F491" s="269" t="n"/>
      <c r="G491" s="269" t="n"/>
      <c r="H491" s="269" t="n"/>
      <c r="I491" s="269" t="n"/>
      <c r="J491" s="269" t="n"/>
      <c r="K491" s="269" t="n"/>
      <c r="L491" s="269" t="n"/>
      <c r="M491" s="269" t="n"/>
      <c r="N491" s="269" t="n"/>
      <c r="O491" s="269" t="n"/>
      <c r="P491" s="269" t="n"/>
      <c r="Q491" s="269" t="n"/>
      <c r="R491" s="269" t="n"/>
      <c r="S491" s="269" t="n"/>
      <c r="T491" s="269" t="n"/>
      <c r="U491" s="269" t="n"/>
      <c r="V491" s="269" t="n"/>
      <c r="W491" s="270" t="n"/>
    </row>
    <row r="492" customFormat="1" s="163">
      <c r="A492" s="282" t="n"/>
      <c r="B492" s="277" t="n"/>
      <c r="C492" s="278" t="n"/>
      <c r="D492" s="269" t="n"/>
      <c r="E492" s="269" t="n"/>
      <c r="F492" s="269" t="n"/>
      <c r="G492" s="269" t="n"/>
      <c r="H492" s="269" t="n"/>
      <c r="I492" s="269" t="n"/>
      <c r="J492" s="269" t="n"/>
      <c r="K492" s="269" t="n"/>
      <c r="L492" s="269" t="n"/>
      <c r="M492" s="269" t="n"/>
      <c r="N492" s="269" t="n"/>
      <c r="O492" s="269" t="n"/>
      <c r="P492" s="269" t="n"/>
      <c r="Q492" s="269" t="n"/>
      <c r="R492" s="269" t="n"/>
      <c r="S492" s="269" t="n"/>
      <c r="T492" s="269" t="n"/>
      <c r="U492" s="269" t="n"/>
      <c r="V492" s="269" t="n"/>
      <c r="W492" s="270" t="n"/>
    </row>
    <row r="493" customFormat="1" s="163">
      <c r="A493" s="282" t="n"/>
      <c r="B493" s="277" t="n"/>
      <c r="C493" s="278" t="n"/>
      <c r="D493" s="269" t="n"/>
      <c r="E493" s="269" t="n"/>
      <c r="F493" s="269" t="n"/>
      <c r="G493" s="269" t="n"/>
      <c r="H493" s="269" t="n"/>
      <c r="I493" s="269" t="n"/>
      <c r="J493" s="269" t="n"/>
      <c r="K493" s="269" t="n"/>
      <c r="L493" s="269" t="n"/>
      <c r="M493" s="269" t="n"/>
      <c r="N493" s="269" t="n"/>
      <c r="O493" s="269" t="n"/>
      <c r="P493" s="269" t="n"/>
      <c r="Q493" s="269" t="n"/>
      <c r="R493" s="269" t="n"/>
      <c r="S493" s="269" t="n"/>
      <c r="T493" s="269" t="n"/>
      <c r="U493" s="269" t="n"/>
      <c r="V493" s="269" t="n"/>
      <c r="W493" s="270" t="n"/>
    </row>
    <row r="494" customFormat="1" s="163">
      <c r="A494" s="282" t="n"/>
      <c r="B494" s="277" t="n"/>
      <c r="C494" s="278" t="n"/>
      <c r="D494" s="269" t="n"/>
      <c r="E494" s="269" t="n"/>
      <c r="F494" s="269" t="n"/>
      <c r="G494" s="269" t="n"/>
      <c r="H494" s="269" t="n"/>
      <c r="I494" s="269" t="n"/>
      <c r="J494" s="269" t="n"/>
      <c r="K494" s="269" t="n"/>
      <c r="L494" s="269" t="n"/>
      <c r="M494" s="269" t="n"/>
      <c r="N494" s="269" t="n"/>
      <c r="O494" s="269" t="n"/>
      <c r="P494" s="269" t="n"/>
      <c r="Q494" s="269" t="n"/>
      <c r="R494" s="269" t="n"/>
      <c r="S494" s="269" t="n"/>
      <c r="T494" s="269" t="n"/>
      <c r="U494" s="269" t="n"/>
      <c r="V494" s="269" t="n"/>
      <c r="W494" s="270" t="n"/>
    </row>
    <row r="495" customFormat="1" s="163">
      <c r="A495" s="282" t="n"/>
      <c r="B495" s="277" t="n"/>
      <c r="C495" s="278" t="n"/>
      <c r="D495" s="269" t="n"/>
      <c r="E495" s="269" t="n"/>
      <c r="F495" s="269" t="n"/>
      <c r="G495" s="269" t="n"/>
      <c r="H495" s="269" t="n"/>
      <c r="I495" s="269" t="n"/>
      <c r="J495" s="269" t="n"/>
      <c r="K495" s="269" t="n"/>
      <c r="L495" s="269" t="n"/>
      <c r="M495" s="269" t="n"/>
      <c r="N495" s="269" t="n"/>
      <c r="O495" s="269" t="n"/>
      <c r="P495" s="269" t="n"/>
      <c r="Q495" s="269" t="n"/>
      <c r="R495" s="269" t="n"/>
      <c r="S495" s="269" t="n"/>
      <c r="T495" s="269" t="n"/>
      <c r="U495" s="269" t="n"/>
      <c r="V495" s="269" t="n"/>
      <c r="W495" s="270" t="n"/>
    </row>
    <row r="496" customFormat="1" s="163">
      <c r="A496" s="282" t="n"/>
      <c r="B496" s="277" t="n"/>
      <c r="C496" s="278" t="n"/>
      <c r="D496" s="269" t="n"/>
      <c r="E496" s="269" t="n"/>
      <c r="F496" s="269" t="n"/>
      <c r="G496" s="269" t="n"/>
      <c r="H496" s="269" t="n"/>
      <c r="I496" s="269" t="n"/>
      <c r="J496" s="269" t="n"/>
      <c r="K496" s="269" t="n"/>
      <c r="L496" s="269" t="n"/>
      <c r="M496" s="269" t="n"/>
      <c r="N496" s="269" t="n"/>
      <c r="O496" s="269" t="n"/>
      <c r="P496" s="269" t="n"/>
      <c r="Q496" s="269" t="n"/>
      <c r="R496" s="269" t="n"/>
      <c r="S496" s="269" t="n"/>
      <c r="T496" s="269" t="n"/>
      <c r="U496" s="269" t="n"/>
      <c r="V496" s="269" t="n"/>
      <c r="W496" s="270" t="n"/>
    </row>
    <row r="497" customFormat="1" s="163">
      <c r="A497" s="282" t="n"/>
      <c r="B497" s="277" t="n"/>
      <c r="C497" s="278" t="n"/>
      <c r="D497" s="269" t="n"/>
      <c r="E497" s="269" t="n"/>
      <c r="F497" s="269" t="n"/>
      <c r="G497" s="269" t="n"/>
      <c r="H497" s="269" t="n"/>
      <c r="I497" s="269" t="n"/>
      <c r="J497" s="269" t="n"/>
      <c r="K497" s="269" t="n"/>
      <c r="L497" s="269" t="n"/>
      <c r="M497" s="269" t="n"/>
      <c r="N497" s="269" t="n"/>
      <c r="O497" s="269" t="n"/>
      <c r="P497" s="269" t="n"/>
      <c r="Q497" s="269" t="n"/>
      <c r="R497" s="269" t="n"/>
      <c r="S497" s="269" t="n"/>
      <c r="T497" s="269" t="n"/>
      <c r="U497" s="269" t="n"/>
      <c r="V497" s="269" t="n"/>
      <c r="W497" s="270" t="n"/>
    </row>
    <row r="498" customFormat="1" s="163">
      <c r="A498" s="282" t="n"/>
      <c r="B498" s="277" t="n"/>
      <c r="C498" s="278" t="n"/>
      <c r="D498" s="269" t="n"/>
      <c r="E498" s="269" t="n"/>
      <c r="F498" s="269" t="n"/>
      <c r="G498" s="269" t="n"/>
      <c r="H498" s="269" t="n"/>
      <c r="I498" s="269" t="n"/>
      <c r="J498" s="269" t="n"/>
      <c r="K498" s="269" t="n"/>
      <c r="L498" s="269" t="n"/>
      <c r="M498" s="269" t="n"/>
      <c r="N498" s="269" t="n"/>
      <c r="O498" s="269" t="n"/>
      <c r="P498" s="269" t="n"/>
      <c r="Q498" s="269" t="n"/>
      <c r="R498" s="269" t="n"/>
      <c r="S498" s="269" t="n"/>
      <c r="T498" s="269" t="n"/>
      <c r="U498" s="269" t="n"/>
      <c r="V498" s="269" t="n"/>
      <c r="W498" s="270" t="n"/>
    </row>
    <row r="499" customFormat="1" s="163">
      <c r="A499" s="282" t="n"/>
      <c r="B499" s="277" t="n"/>
      <c r="C499" s="278" t="n"/>
      <c r="D499" s="269" t="n"/>
      <c r="E499" s="269" t="n"/>
      <c r="F499" s="269" t="n"/>
      <c r="G499" s="269" t="n"/>
      <c r="H499" s="269" t="n"/>
      <c r="I499" s="269" t="n"/>
      <c r="J499" s="269" t="n"/>
      <c r="K499" s="269" t="n"/>
      <c r="L499" s="269" t="n"/>
      <c r="M499" s="269" t="n"/>
      <c r="N499" s="269" t="n"/>
      <c r="O499" s="269" t="n"/>
      <c r="P499" s="269" t="n"/>
      <c r="Q499" s="269" t="n"/>
      <c r="R499" s="269" t="n"/>
      <c r="S499" s="269" t="n"/>
      <c r="T499" s="269" t="n"/>
      <c r="U499" s="269" t="n"/>
      <c r="V499" s="269" t="n"/>
      <c r="W499" s="270" t="n"/>
    </row>
    <row r="500" customFormat="1" s="163">
      <c r="A500" s="282" t="n"/>
      <c r="B500" s="277" t="n"/>
      <c r="C500" s="278" t="n"/>
      <c r="D500" s="269" t="n"/>
      <c r="E500" s="269" t="n"/>
      <c r="F500" s="269" t="n"/>
      <c r="G500" s="269" t="n"/>
      <c r="H500" s="269" t="n"/>
      <c r="I500" s="269" t="n"/>
      <c r="J500" s="269" t="n"/>
      <c r="K500" s="269" t="n"/>
      <c r="L500" s="269" t="n"/>
      <c r="M500" s="269" t="n"/>
      <c r="N500" s="269" t="n"/>
      <c r="O500" s="269" t="n"/>
      <c r="P500" s="269" t="n"/>
      <c r="Q500" s="269" t="n"/>
      <c r="R500" s="269" t="n"/>
      <c r="S500" s="269" t="n"/>
      <c r="T500" s="269" t="n"/>
      <c r="U500" s="269" t="n"/>
      <c r="V500" s="269" t="n"/>
      <c r="W500" s="270" t="n"/>
    </row>
    <row r="501" customFormat="1" s="163">
      <c r="A501" s="282" t="n"/>
      <c r="B501" s="277" t="n"/>
      <c r="C501" s="278" t="n"/>
      <c r="D501" s="269" t="n"/>
      <c r="E501" s="269" t="n"/>
      <c r="F501" s="269" t="n"/>
      <c r="G501" s="269" t="n"/>
      <c r="H501" s="269" t="n"/>
      <c r="I501" s="269" t="n"/>
      <c r="J501" s="269" t="n"/>
      <c r="K501" s="269" t="n"/>
      <c r="L501" s="269" t="n"/>
      <c r="M501" s="269" t="n"/>
      <c r="N501" s="269" t="n"/>
      <c r="O501" s="269" t="n"/>
      <c r="P501" s="269" t="n"/>
      <c r="Q501" s="269" t="n"/>
      <c r="R501" s="269" t="n"/>
      <c r="S501" s="269" t="n"/>
      <c r="T501" s="269" t="n"/>
      <c r="U501" s="269" t="n"/>
      <c r="V501" s="269" t="n"/>
      <c r="W501" s="270" t="n"/>
    </row>
    <row r="502" customFormat="1" s="163">
      <c r="A502" s="282" t="n"/>
      <c r="B502" s="277" t="n"/>
      <c r="C502" s="278" t="n"/>
      <c r="D502" s="269" t="n"/>
      <c r="E502" s="269" t="n"/>
      <c r="F502" s="269" t="n"/>
      <c r="G502" s="269" t="n"/>
      <c r="H502" s="269" t="n"/>
      <c r="I502" s="269" t="n"/>
      <c r="J502" s="269" t="n"/>
      <c r="K502" s="269" t="n"/>
      <c r="L502" s="269" t="n"/>
      <c r="M502" s="269" t="n"/>
      <c r="N502" s="269" t="n"/>
      <c r="O502" s="269" t="n"/>
      <c r="P502" s="269" t="n"/>
      <c r="Q502" s="269" t="n"/>
      <c r="R502" s="269" t="n"/>
      <c r="S502" s="269" t="n"/>
      <c r="T502" s="269" t="n"/>
      <c r="U502" s="269" t="n"/>
      <c r="V502" s="269" t="n"/>
      <c r="W502" s="270" t="n"/>
    </row>
    <row r="503" customFormat="1" s="163">
      <c r="A503" s="282" t="n"/>
      <c r="B503" s="277" t="n"/>
      <c r="C503" s="278" t="n"/>
      <c r="D503" s="269" t="n"/>
      <c r="E503" s="269" t="n"/>
      <c r="F503" s="269" t="n"/>
      <c r="G503" s="269" t="n"/>
      <c r="H503" s="269" t="n"/>
      <c r="I503" s="269" t="n"/>
      <c r="J503" s="269" t="n"/>
      <c r="K503" s="269" t="n"/>
      <c r="L503" s="269" t="n"/>
      <c r="M503" s="269" t="n"/>
      <c r="N503" s="269" t="n"/>
      <c r="O503" s="269" t="n"/>
      <c r="P503" s="269" t="n"/>
      <c r="Q503" s="269" t="n"/>
      <c r="R503" s="269" t="n"/>
      <c r="S503" s="269" t="n"/>
      <c r="T503" s="269" t="n"/>
      <c r="U503" s="269" t="n"/>
      <c r="V503" s="269" t="n"/>
      <c r="W503" s="270" t="n"/>
    </row>
    <row r="504" customFormat="1" s="163">
      <c r="A504" s="282" t="n"/>
      <c r="B504" s="277" t="n"/>
      <c r="C504" s="278" t="n"/>
      <c r="D504" s="269" t="n"/>
      <c r="E504" s="269" t="n"/>
      <c r="F504" s="269" t="n"/>
      <c r="G504" s="269" t="n"/>
      <c r="H504" s="269" t="n"/>
      <c r="I504" s="269" t="n"/>
      <c r="J504" s="269" t="n"/>
      <c r="K504" s="269" t="n"/>
      <c r="L504" s="269" t="n"/>
      <c r="M504" s="269" t="n"/>
      <c r="N504" s="269" t="n"/>
      <c r="O504" s="269" t="n"/>
      <c r="P504" s="269" t="n"/>
      <c r="Q504" s="269" t="n"/>
      <c r="R504" s="269" t="n"/>
      <c r="S504" s="269" t="n"/>
      <c r="T504" s="269" t="n"/>
      <c r="U504" s="269" t="n"/>
      <c r="V504" s="269" t="n"/>
      <c r="W504" s="270" t="n"/>
    </row>
    <row r="505" customFormat="1" s="163">
      <c r="A505" s="282" t="n"/>
      <c r="B505" s="277" t="n"/>
      <c r="C505" s="278" t="n"/>
      <c r="D505" s="269" t="n"/>
      <c r="E505" s="269" t="n"/>
      <c r="F505" s="269" t="n"/>
      <c r="G505" s="269" t="n"/>
      <c r="H505" s="269" t="n"/>
      <c r="I505" s="269" t="n"/>
      <c r="J505" s="269" t="n"/>
      <c r="K505" s="269" t="n"/>
      <c r="L505" s="269" t="n"/>
      <c r="M505" s="269" t="n"/>
      <c r="N505" s="269" t="n"/>
      <c r="O505" s="269" t="n"/>
      <c r="P505" s="269" t="n"/>
      <c r="Q505" s="269" t="n"/>
      <c r="R505" s="269" t="n"/>
      <c r="S505" s="269" t="n"/>
      <c r="T505" s="269" t="n"/>
      <c r="U505" s="269" t="n"/>
      <c r="V505" s="269" t="n"/>
      <c r="W505" s="270" t="n"/>
    </row>
    <row r="506" customFormat="1" s="163">
      <c r="A506" s="282" t="n"/>
      <c r="B506" s="277" t="n"/>
      <c r="C506" s="278" t="n"/>
      <c r="D506" s="269" t="n"/>
      <c r="E506" s="269" t="n"/>
      <c r="F506" s="269" t="n"/>
      <c r="G506" s="269" t="n"/>
      <c r="H506" s="269" t="n"/>
      <c r="I506" s="269" t="n"/>
      <c r="J506" s="269" t="n"/>
      <c r="K506" s="269" t="n"/>
      <c r="L506" s="269" t="n"/>
      <c r="M506" s="269" t="n"/>
      <c r="N506" s="269" t="n"/>
      <c r="O506" s="269" t="n"/>
      <c r="P506" s="269" t="n"/>
      <c r="Q506" s="269" t="n"/>
      <c r="R506" s="269" t="n"/>
      <c r="S506" s="269" t="n"/>
      <c r="T506" s="269" t="n"/>
      <c r="U506" s="269" t="n"/>
      <c r="V506" s="269" t="n"/>
      <c r="W506" s="270" t="n"/>
    </row>
    <row r="507" customFormat="1" s="163">
      <c r="A507" s="282" t="n"/>
      <c r="B507" s="277" t="n"/>
      <c r="C507" s="278" t="n"/>
      <c r="D507" s="269" t="n"/>
      <c r="E507" s="269" t="n"/>
      <c r="F507" s="269" t="n"/>
      <c r="G507" s="269" t="n"/>
      <c r="H507" s="269" t="n"/>
      <c r="I507" s="269" t="n"/>
      <c r="J507" s="269" t="n"/>
      <c r="K507" s="269" t="n"/>
      <c r="L507" s="269" t="n"/>
      <c r="M507" s="269" t="n"/>
      <c r="N507" s="269" t="n"/>
      <c r="O507" s="269" t="n"/>
      <c r="P507" s="269" t="n"/>
      <c r="Q507" s="269" t="n"/>
      <c r="R507" s="269" t="n"/>
      <c r="S507" s="269" t="n"/>
      <c r="T507" s="269" t="n"/>
      <c r="U507" s="269" t="n"/>
      <c r="V507" s="269" t="n"/>
      <c r="W507" s="270" t="n"/>
    </row>
    <row r="508" customFormat="1" s="163">
      <c r="A508" s="282" t="n"/>
      <c r="B508" s="277" t="n"/>
      <c r="C508" s="278" t="n"/>
      <c r="D508" s="269" t="n"/>
      <c r="E508" s="269" t="n"/>
      <c r="F508" s="269" t="n"/>
      <c r="G508" s="269" t="n"/>
      <c r="H508" s="269" t="n"/>
      <c r="I508" s="269" t="n"/>
      <c r="J508" s="269" t="n"/>
      <c r="K508" s="269" t="n"/>
      <c r="L508" s="269" t="n"/>
      <c r="M508" s="269" t="n"/>
      <c r="N508" s="269" t="n"/>
      <c r="O508" s="269" t="n"/>
      <c r="P508" s="269" t="n"/>
      <c r="Q508" s="269" t="n"/>
      <c r="R508" s="269" t="n"/>
      <c r="S508" s="269" t="n"/>
      <c r="T508" s="269" t="n"/>
      <c r="U508" s="269" t="n"/>
      <c r="V508" s="269" t="n"/>
      <c r="W508" s="270" t="n"/>
    </row>
    <row r="509" customFormat="1" s="163">
      <c r="A509" s="282" t="n"/>
      <c r="B509" s="277" t="n"/>
      <c r="C509" s="278" t="n"/>
      <c r="D509" s="269" t="n"/>
      <c r="E509" s="269" t="n"/>
      <c r="F509" s="269" t="n"/>
      <c r="G509" s="269" t="n"/>
      <c r="H509" s="269" t="n"/>
      <c r="I509" s="269" t="n"/>
      <c r="J509" s="269" t="n"/>
      <c r="K509" s="269" t="n"/>
      <c r="L509" s="269" t="n"/>
      <c r="M509" s="269" t="n"/>
      <c r="N509" s="269" t="n"/>
      <c r="O509" s="269" t="n"/>
      <c r="P509" s="269" t="n"/>
      <c r="Q509" s="269" t="n"/>
      <c r="R509" s="269" t="n"/>
      <c r="S509" s="269" t="n"/>
      <c r="T509" s="269" t="n"/>
      <c r="U509" s="269" t="n"/>
      <c r="V509" s="269" t="n"/>
      <c r="W509" s="270" t="n"/>
    </row>
    <row r="510" customFormat="1" s="163">
      <c r="A510" s="282" t="n"/>
      <c r="B510" s="277" t="n"/>
      <c r="C510" s="278" t="n"/>
      <c r="D510" s="269" t="n"/>
      <c r="E510" s="269" t="n"/>
      <c r="F510" s="269" t="n"/>
      <c r="G510" s="269" t="n"/>
      <c r="H510" s="269" t="n"/>
      <c r="I510" s="269" t="n"/>
      <c r="J510" s="269" t="n"/>
      <c r="K510" s="269" t="n"/>
      <c r="L510" s="269" t="n"/>
      <c r="M510" s="269" t="n"/>
      <c r="N510" s="269" t="n"/>
      <c r="O510" s="269" t="n"/>
      <c r="P510" s="269" t="n"/>
      <c r="Q510" s="269" t="n"/>
      <c r="R510" s="269" t="n"/>
      <c r="S510" s="269" t="n"/>
      <c r="T510" s="269" t="n"/>
      <c r="U510" s="269" t="n"/>
      <c r="V510" s="269" t="n"/>
      <c r="W510" s="270" t="n"/>
    </row>
    <row r="511" customFormat="1" s="163">
      <c r="A511" s="282" t="n"/>
      <c r="B511" s="277" t="n"/>
      <c r="C511" s="278" t="n"/>
      <c r="D511" s="269" t="n"/>
      <c r="E511" s="269" t="n"/>
      <c r="F511" s="269" t="n"/>
      <c r="G511" s="269" t="n"/>
      <c r="H511" s="269" t="n"/>
      <c r="I511" s="269" t="n"/>
      <c r="J511" s="269" t="n"/>
      <c r="K511" s="269" t="n"/>
      <c r="L511" s="269" t="n"/>
      <c r="M511" s="269" t="n"/>
      <c r="N511" s="269" t="n"/>
      <c r="O511" s="269" t="n"/>
      <c r="P511" s="269" t="n"/>
      <c r="Q511" s="269" t="n"/>
      <c r="R511" s="269" t="n"/>
      <c r="S511" s="269" t="n"/>
      <c r="T511" s="269" t="n"/>
      <c r="U511" s="269" t="n"/>
      <c r="V511" s="269" t="n"/>
      <c r="W511" s="270" t="n"/>
    </row>
    <row r="512" customFormat="1" s="163">
      <c r="A512" s="282" t="n"/>
      <c r="B512" s="277" t="n"/>
      <c r="C512" s="278" t="n"/>
      <c r="D512" s="269" t="n"/>
      <c r="E512" s="269" t="n"/>
      <c r="F512" s="269" t="n"/>
      <c r="G512" s="269" t="n"/>
      <c r="H512" s="269" t="n"/>
      <c r="I512" s="269" t="n"/>
      <c r="J512" s="269" t="n"/>
      <c r="K512" s="269" t="n"/>
      <c r="L512" s="269" t="n"/>
      <c r="M512" s="269" t="n"/>
      <c r="N512" s="269" t="n"/>
      <c r="O512" s="269" t="n"/>
      <c r="P512" s="269" t="n"/>
      <c r="Q512" s="269" t="n"/>
      <c r="R512" s="269" t="n"/>
      <c r="S512" s="269" t="n"/>
      <c r="T512" s="269" t="n"/>
      <c r="U512" s="269" t="n"/>
      <c r="V512" s="269" t="n"/>
      <c r="W512" s="270" t="n"/>
    </row>
    <row r="513" customFormat="1" s="163">
      <c r="A513" s="282" t="n"/>
      <c r="B513" s="277" t="n"/>
      <c r="C513" s="278" t="n"/>
      <c r="D513" s="269" t="n"/>
      <c r="E513" s="269" t="n"/>
      <c r="F513" s="269" t="n"/>
      <c r="G513" s="269" t="n"/>
      <c r="H513" s="269" t="n"/>
      <c r="I513" s="269" t="n"/>
      <c r="J513" s="269" t="n"/>
      <c r="K513" s="269" t="n"/>
      <c r="L513" s="269" t="n"/>
      <c r="M513" s="269" t="n"/>
      <c r="N513" s="269" t="n"/>
      <c r="O513" s="269" t="n"/>
      <c r="P513" s="269" t="n"/>
      <c r="Q513" s="269" t="n"/>
      <c r="R513" s="269" t="n"/>
      <c r="S513" s="269" t="n"/>
      <c r="T513" s="269" t="n"/>
      <c r="U513" s="269" t="n"/>
      <c r="V513" s="269" t="n"/>
      <c r="W513" s="270" t="n"/>
    </row>
    <row r="514" customFormat="1" s="163">
      <c r="A514" s="282" t="n"/>
      <c r="B514" s="277" t="n"/>
      <c r="C514" s="278" t="n"/>
      <c r="D514" s="269" t="n"/>
      <c r="E514" s="269" t="n"/>
      <c r="F514" s="269" t="n"/>
      <c r="G514" s="269" t="n"/>
      <c r="H514" s="269" t="n"/>
      <c r="I514" s="269" t="n"/>
      <c r="J514" s="269" t="n"/>
      <c r="K514" s="269" t="n"/>
      <c r="L514" s="269" t="n"/>
      <c r="M514" s="269" t="n"/>
      <c r="N514" s="269" t="n"/>
      <c r="O514" s="269" t="n"/>
      <c r="P514" s="269" t="n"/>
      <c r="Q514" s="269" t="n"/>
      <c r="R514" s="269" t="n"/>
      <c r="S514" s="269" t="n"/>
      <c r="T514" s="269" t="n"/>
      <c r="U514" s="269" t="n"/>
      <c r="V514" s="269" t="n"/>
      <c r="W514" s="270" t="n"/>
    </row>
    <row r="515" customFormat="1" s="163">
      <c r="A515" s="282" t="n"/>
      <c r="B515" s="277" t="n"/>
      <c r="C515" s="278" t="n"/>
      <c r="D515" s="269" t="n"/>
      <c r="E515" s="269" t="n"/>
      <c r="F515" s="269" t="n"/>
      <c r="G515" s="269" t="n"/>
      <c r="H515" s="269" t="n"/>
      <c r="I515" s="269" t="n"/>
      <c r="J515" s="269" t="n"/>
      <c r="K515" s="269" t="n"/>
      <c r="L515" s="269" t="n"/>
      <c r="M515" s="269" t="n"/>
      <c r="N515" s="269" t="n"/>
      <c r="O515" s="269" t="n"/>
      <c r="P515" s="269" t="n"/>
      <c r="Q515" s="269" t="n"/>
      <c r="R515" s="269" t="n"/>
      <c r="S515" s="269" t="n"/>
      <c r="T515" s="269" t="n"/>
      <c r="U515" s="269" t="n"/>
      <c r="V515" s="269" t="n"/>
      <c r="W515" s="270" t="n"/>
    </row>
    <row r="516" customFormat="1" s="163">
      <c r="A516" s="282" t="n"/>
      <c r="B516" s="277" t="n"/>
      <c r="C516" s="278" t="n"/>
      <c r="D516" s="269" t="n"/>
      <c r="E516" s="269" t="n"/>
      <c r="F516" s="269" t="n"/>
      <c r="G516" s="269" t="n"/>
      <c r="H516" s="269" t="n"/>
      <c r="I516" s="269" t="n"/>
      <c r="J516" s="269" t="n"/>
      <c r="K516" s="269" t="n"/>
      <c r="L516" s="269" t="n"/>
      <c r="M516" s="269" t="n"/>
      <c r="N516" s="269" t="n"/>
      <c r="O516" s="269" t="n"/>
      <c r="P516" s="269" t="n"/>
      <c r="Q516" s="269" t="n"/>
      <c r="R516" s="269" t="n"/>
      <c r="S516" s="269" t="n"/>
      <c r="T516" s="269" t="n"/>
      <c r="U516" s="269" t="n"/>
      <c r="V516" s="269" t="n"/>
      <c r="W516" s="270" t="n"/>
    </row>
    <row r="517" customFormat="1" s="163">
      <c r="A517" s="282" t="n"/>
      <c r="B517" s="277" t="n"/>
      <c r="C517" s="278" t="n"/>
      <c r="D517" s="269" t="n"/>
      <c r="E517" s="269" t="n"/>
      <c r="F517" s="269" t="n"/>
      <c r="G517" s="269" t="n"/>
      <c r="H517" s="269" t="n"/>
      <c r="I517" s="269" t="n"/>
      <c r="J517" s="269" t="n"/>
      <c r="K517" s="269" t="n"/>
      <c r="L517" s="269" t="n"/>
      <c r="M517" s="269" t="n"/>
      <c r="N517" s="269" t="n"/>
      <c r="O517" s="269" t="n"/>
      <c r="P517" s="269" t="n"/>
      <c r="Q517" s="269" t="n"/>
      <c r="R517" s="269" t="n"/>
      <c r="S517" s="269" t="n"/>
      <c r="T517" s="269" t="n"/>
      <c r="U517" s="269" t="n"/>
      <c r="V517" s="269" t="n"/>
      <c r="W517" s="270" t="n"/>
    </row>
    <row r="518" customFormat="1" s="163">
      <c r="A518" s="282" t="n"/>
      <c r="B518" s="277" t="n"/>
      <c r="C518" s="278" t="n"/>
      <c r="D518" s="269" t="n"/>
      <c r="E518" s="269" t="n"/>
      <c r="F518" s="269" t="n"/>
      <c r="G518" s="269" t="n"/>
      <c r="H518" s="269" t="n"/>
      <c r="I518" s="269" t="n"/>
      <c r="J518" s="269" t="n"/>
      <c r="K518" s="269" t="n"/>
      <c r="L518" s="269" t="n"/>
      <c r="M518" s="269" t="n"/>
      <c r="N518" s="269" t="n"/>
      <c r="O518" s="269" t="n"/>
      <c r="P518" s="269" t="n"/>
      <c r="Q518" s="269" t="n"/>
      <c r="R518" s="269" t="n"/>
      <c r="S518" s="269" t="n"/>
      <c r="T518" s="269" t="n"/>
      <c r="U518" s="269" t="n"/>
      <c r="V518" s="269" t="n"/>
      <c r="W518" s="270" t="n"/>
    </row>
    <row r="519" customFormat="1" s="163">
      <c r="A519" s="282" t="n"/>
      <c r="B519" s="277" t="n"/>
      <c r="C519" s="278" t="n"/>
      <c r="D519" s="269" t="n"/>
      <c r="E519" s="269" t="n"/>
      <c r="F519" s="269" t="n"/>
      <c r="G519" s="269" t="n"/>
      <c r="H519" s="269" t="n"/>
      <c r="I519" s="269" t="n"/>
      <c r="J519" s="269" t="n"/>
      <c r="K519" s="269" t="n"/>
      <c r="L519" s="269" t="n"/>
      <c r="M519" s="269" t="n"/>
      <c r="N519" s="269" t="n"/>
      <c r="O519" s="269" t="n"/>
      <c r="P519" s="269" t="n"/>
      <c r="Q519" s="269" t="n"/>
      <c r="R519" s="269" t="n"/>
      <c r="S519" s="269" t="n"/>
      <c r="T519" s="269" t="n"/>
      <c r="U519" s="269" t="n"/>
      <c r="V519" s="269" t="n"/>
      <c r="W519" s="270" t="n"/>
    </row>
    <row r="520" customFormat="1" s="163">
      <c r="A520" s="282" t="n"/>
      <c r="B520" s="277" t="n"/>
      <c r="C520" s="278" t="n"/>
      <c r="D520" s="269" t="n"/>
      <c r="E520" s="269" t="n"/>
      <c r="F520" s="269" t="n"/>
      <c r="G520" s="269" t="n"/>
      <c r="H520" s="269" t="n"/>
      <c r="I520" s="269" t="n"/>
      <c r="J520" s="269" t="n"/>
      <c r="K520" s="269" t="n"/>
      <c r="L520" s="269" t="n"/>
      <c r="M520" s="269" t="n"/>
      <c r="N520" s="269" t="n"/>
      <c r="O520" s="269" t="n"/>
      <c r="P520" s="269" t="n"/>
      <c r="Q520" s="269" t="n"/>
      <c r="R520" s="269" t="n"/>
      <c r="S520" s="269" t="n"/>
      <c r="T520" s="269" t="n"/>
      <c r="U520" s="269" t="n"/>
      <c r="V520" s="269" t="n"/>
      <c r="W520" s="270" t="n"/>
    </row>
    <row r="521" customFormat="1" s="163">
      <c r="A521" s="282" t="n"/>
      <c r="B521" s="277" t="n"/>
      <c r="C521" s="278" t="n"/>
      <c r="D521" s="269" t="n"/>
      <c r="E521" s="269" t="n"/>
      <c r="F521" s="269" t="n"/>
      <c r="G521" s="269" t="n"/>
      <c r="H521" s="269" t="n"/>
      <c r="I521" s="269" t="n"/>
      <c r="J521" s="269" t="n"/>
      <c r="K521" s="269" t="n"/>
      <c r="L521" s="269" t="n"/>
      <c r="M521" s="269" t="n"/>
      <c r="N521" s="269" t="n"/>
      <c r="O521" s="269" t="n"/>
      <c r="P521" s="269" t="n"/>
      <c r="Q521" s="269" t="n"/>
      <c r="R521" s="269" t="n"/>
      <c r="S521" s="269" t="n"/>
      <c r="T521" s="269" t="n"/>
      <c r="U521" s="269" t="n"/>
      <c r="V521" s="269" t="n"/>
      <c r="W521" s="270" t="n"/>
    </row>
    <row r="522" customFormat="1" s="163">
      <c r="A522" s="282" t="n"/>
      <c r="B522" s="277" t="n"/>
      <c r="C522" s="278" t="n"/>
      <c r="D522" s="269" t="n"/>
      <c r="E522" s="269" t="n"/>
      <c r="F522" s="269" t="n"/>
      <c r="G522" s="269" t="n"/>
      <c r="H522" s="269" t="n"/>
      <c r="I522" s="269" t="n"/>
      <c r="J522" s="269" t="n"/>
      <c r="K522" s="269" t="n"/>
      <c r="L522" s="269" t="n"/>
      <c r="M522" s="269" t="n"/>
      <c r="N522" s="269" t="n"/>
      <c r="O522" s="269" t="n"/>
      <c r="P522" s="269" t="n"/>
      <c r="Q522" s="269" t="n"/>
      <c r="R522" s="269" t="n"/>
      <c r="S522" s="269" t="n"/>
      <c r="T522" s="269" t="n"/>
      <c r="U522" s="269" t="n"/>
      <c r="V522" s="269" t="n"/>
      <c r="W522" s="270" t="n"/>
    </row>
    <row r="523" customFormat="1" s="163">
      <c r="A523" s="282" t="n"/>
      <c r="B523" s="277" t="n"/>
      <c r="C523" s="278" t="n"/>
      <c r="D523" s="269" t="n"/>
      <c r="E523" s="269" t="n"/>
      <c r="F523" s="269" t="n"/>
      <c r="G523" s="269" t="n"/>
      <c r="H523" s="269" t="n"/>
      <c r="I523" s="269" t="n"/>
      <c r="J523" s="269" t="n"/>
      <c r="K523" s="269" t="n"/>
      <c r="L523" s="269" t="n"/>
      <c r="M523" s="269" t="n"/>
      <c r="N523" s="269" t="n"/>
      <c r="O523" s="269" t="n"/>
      <c r="P523" s="269" t="n"/>
      <c r="Q523" s="269" t="n"/>
      <c r="R523" s="269" t="n"/>
      <c r="S523" s="269" t="n"/>
      <c r="T523" s="269" t="n"/>
      <c r="U523" s="269" t="n"/>
      <c r="V523" s="269" t="n"/>
      <c r="W523" s="270" t="n"/>
    </row>
    <row r="524" customFormat="1" s="163">
      <c r="A524" s="282" t="n"/>
      <c r="B524" s="277" t="n"/>
      <c r="C524" s="278" t="n"/>
      <c r="D524" s="269" t="n"/>
      <c r="E524" s="269" t="n"/>
      <c r="F524" s="269" t="n"/>
      <c r="G524" s="269" t="n"/>
      <c r="H524" s="269" t="n"/>
      <c r="I524" s="269" t="n"/>
      <c r="J524" s="269" t="n"/>
      <c r="K524" s="269" t="n"/>
      <c r="L524" s="269" t="n"/>
      <c r="M524" s="269" t="n"/>
      <c r="N524" s="269" t="n"/>
      <c r="O524" s="269" t="n"/>
      <c r="P524" s="269" t="n"/>
      <c r="Q524" s="269" t="n"/>
      <c r="R524" s="269" t="n"/>
      <c r="S524" s="269" t="n"/>
      <c r="T524" s="269" t="n"/>
      <c r="U524" s="269" t="n"/>
      <c r="V524" s="269" t="n"/>
      <c r="W524" s="270" t="n"/>
    </row>
    <row r="525" customFormat="1" s="163">
      <c r="A525" s="282" t="n"/>
      <c r="B525" s="277" t="n"/>
      <c r="C525" s="278" t="n"/>
      <c r="D525" s="269" t="n"/>
      <c r="E525" s="269" t="n"/>
      <c r="F525" s="269" t="n"/>
      <c r="G525" s="269" t="n"/>
      <c r="H525" s="269" t="n"/>
      <c r="I525" s="269" t="n"/>
      <c r="J525" s="269" t="n"/>
      <c r="K525" s="269" t="n"/>
      <c r="L525" s="269" t="n"/>
      <c r="M525" s="269" t="n"/>
      <c r="N525" s="269" t="n"/>
      <c r="O525" s="269" t="n"/>
      <c r="P525" s="269" t="n"/>
      <c r="Q525" s="269" t="n"/>
      <c r="R525" s="269" t="n"/>
      <c r="S525" s="269" t="n"/>
      <c r="T525" s="269" t="n"/>
      <c r="U525" s="269" t="n"/>
      <c r="V525" s="269" t="n"/>
      <c r="W525" s="270" t="n"/>
    </row>
    <row r="526" customFormat="1" s="163">
      <c r="A526" s="282" t="n"/>
      <c r="B526" s="277" t="n"/>
      <c r="C526" s="278" t="n"/>
      <c r="D526" s="269" t="n"/>
      <c r="E526" s="269" t="n"/>
      <c r="F526" s="269" t="n"/>
      <c r="G526" s="269" t="n"/>
      <c r="H526" s="269" t="n"/>
      <c r="I526" s="269" t="n"/>
      <c r="J526" s="269" t="n"/>
      <c r="K526" s="269" t="n"/>
      <c r="L526" s="269" t="n"/>
      <c r="M526" s="269" t="n"/>
      <c r="N526" s="269" t="n"/>
      <c r="O526" s="269" t="n"/>
      <c r="P526" s="269" t="n"/>
      <c r="Q526" s="269" t="n"/>
      <c r="R526" s="269" t="n"/>
      <c r="S526" s="269" t="n"/>
      <c r="T526" s="269" t="n"/>
      <c r="U526" s="269" t="n"/>
      <c r="V526" s="269" t="n"/>
      <c r="W526" s="270" t="n"/>
    </row>
    <row r="527" customFormat="1" s="163">
      <c r="A527" s="282" t="n"/>
      <c r="B527" s="277" t="n"/>
      <c r="C527" s="278" t="n"/>
      <c r="D527" s="269" t="n"/>
      <c r="E527" s="269" t="n"/>
      <c r="F527" s="269" t="n"/>
      <c r="G527" s="269" t="n"/>
      <c r="H527" s="269" t="n"/>
      <c r="I527" s="269" t="n"/>
      <c r="J527" s="269" t="n"/>
      <c r="K527" s="269" t="n"/>
      <c r="L527" s="269" t="n"/>
      <c r="M527" s="269" t="n"/>
      <c r="N527" s="269" t="n"/>
      <c r="O527" s="269" t="n"/>
      <c r="P527" s="269" t="n"/>
      <c r="Q527" s="269" t="n"/>
      <c r="R527" s="269" t="n"/>
      <c r="S527" s="269" t="n"/>
      <c r="T527" s="269" t="n"/>
      <c r="U527" s="269" t="n"/>
      <c r="V527" s="269" t="n"/>
      <c r="W527" s="270" t="n"/>
    </row>
    <row r="528" customFormat="1" s="163">
      <c r="A528" s="282" t="n"/>
      <c r="B528" s="277" t="n"/>
      <c r="C528" s="278" t="n"/>
      <c r="D528" s="269" t="n"/>
      <c r="E528" s="269" t="n"/>
      <c r="F528" s="269" t="n"/>
      <c r="G528" s="269" t="n"/>
      <c r="H528" s="269" t="n"/>
      <c r="I528" s="269" t="n"/>
      <c r="J528" s="269" t="n"/>
      <c r="K528" s="269" t="n"/>
      <c r="L528" s="269" t="n"/>
      <c r="M528" s="269" t="n"/>
      <c r="N528" s="269" t="n"/>
      <c r="O528" s="269" t="n"/>
      <c r="P528" s="269" t="n"/>
      <c r="Q528" s="269" t="n"/>
      <c r="R528" s="269" t="n"/>
      <c r="S528" s="269" t="n"/>
      <c r="T528" s="269" t="n"/>
      <c r="U528" s="269" t="n"/>
      <c r="V528" s="269" t="n"/>
      <c r="W528" s="270" t="n"/>
    </row>
    <row r="529" customFormat="1" s="163">
      <c r="A529" s="282" t="n"/>
      <c r="B529" s="277" t="n"/>
      <c r="C529" s="278" t="n"/>
      <c r="D529" s="269" t="n"/>
      <c r="E529" s="269" t="n"/>
      <c r="F529" s="269" t="n"/>
      <c r="G529" s="269" t="n"/>
      <c r="H529" s="269" t="n"/>
      <c r="I529" s="269" t="n"/>
      <c r="J529" s="269" t="n"/>
      <c r="K529" s="269" t="n"/>
      <c r="L529" s="269" t="n"/>
      <c r="M529" s="269" t="n"/>
      <c r="N529" s="269" t="n"/>
      <c r="O529" s="269" t="n"/>
      <c r="P529" s="269" t="n"/>
      <c r="Q529" s="269" t="n"/>
      <c r="R529" s="269" t="n"/>
      <c r="S529" s="269" t="n"/>
      <c r="T529" s="269" t="n"/>
      <c r="U529" s="269" t="n"/>
      <c r="V529" s="269" t="n"/>
      <c r="W529" s="270" t="n"/>
    </row>
    <row r="530" customFormat="1" s="163">
      <c r="A530" s="282" t="n"/>
      <c r="B530" s="277" t="n"/>
      <c r="C530" s="278" t="n"/>
      <c r="D530" s="269" t="n"/>
      <c r="E530" s="269" t="n"/>
      <c r="F530" s="269" t="n"/>
      <c r="G530" s="269" t="n"/>
      <c r="H530" s="269" t="n"/>
      <c r="I530" s="269" t="n"/>
      <c r="J530" s="269" t="n"/>
      <c r="K530" s="269" t="n"/>
      <c r="L530" s="269" t="n"/>
      <c r="M530" s="269" t="n"/>
      <c r="N530" s="269" t="n"/>
      <c r="O530" s="269" t="n"/>
      <c r="P530" s="269" t="n"/>
      <c r="Q530" s="269" t="n"/>
      <c r="R530" s="269" t="n"/>
      <c r="S530" s="269" t="n"/>
      <c r="T530" s="269" t="n"/>
      <c r="U530" s="269" t="n"/>
      <c r="V530" s="269" t="n"/>
      <c r="W530" s="270" t="n"/>
    </row>
    <row r="531" customFormat="1" s="163">
      <c r="A531" s="282" t="n"/>
      <c r="B531" s="277" t="n"/>
      <c r="C531" s="278" t="n"/>
      <c r="D531" s="269" t="n"/>
      <c r="E531" s="269" t="n"/>
      <c r="F531" s="269" t="n"/>
      <c r="G531" s="269" t="n"/>
      <c r="H531" s="269" t="n"/>
      <c r="I531" s="269" t="n"/>
      <c r="J531" s="269" t="n"/>
      <c r="K531" s="269" t="n"/>
      <c r="L531" s="269" t="n"/>
      <c r="M531" s="269" t="n"/>
      <c r="N531" s="269" t="n"/>
      <c r="O531" s="269" t="n"/>
      <c r="P531" s="269" t="n"/>
      <c r="Q531" s="269" t="n"/>
      <c r="R531" s="269" t="n"/>
      <c r="S531" s="269" t="n"/>
      <c r="T531" s="269" t="n"/>
      <c r="U531" s="269" t="n"/>
      <c r="V531" s="269" t="n"/>
      <c r="W531" s="270" t="n"/>
    </row>
    <row r="532" customFormat="1" s="163">
      <c r="A532" s="282" t="n"/>
      <c r="B532" s="277" t="n"/>
      <c r="C532" s="278" t="n"/>
      <c r="D532" s="269" t="n"/>
      <c r="E532" s="269" t="n"/>
      <c r="F532" s="269" t="n"/>
      <c r="G532" s="269" t="n"/>
      <c r="H532" s="269" t="n"/>
      <c r="I532" s="269" t="n"/>
      <c r="J532" s="269" t="n"/>
      <c r="K532" s="269" t="n"/>
      <c r="L532" s="269" t="n"/>
      <c r="M532" s="269" t="n"/>
      <c r="N532" s="269" t="n"/>
      <c r="O532" s="269" t="n"/>
      <c r="P532" s="269" t="n"/>
      <c r="Q532" s="269" t="n"/>
      <c r="R532" s="269" t="n"/>
      <c r="S532" s="269" t="n"/>
      <c r="T532" s="269" t="n"/>
      <c r="U532" s="269" t="n"/>
      <c r="V532" s="269" t="n"/>
      <c r="W532" s="270" t="n"/>
    </row>
    <row r="533" customFormat="1" s="163">
      <c r="A533" s="282" t="n"/>
      <c r="B533" s="277" t="n"/>
      <c r="C533" s="278" t="n"/>
      <c r="D533" s="269" t="n"/>
      <c r="E533" s="269" t="n"/>
      <c r="F533" s="269" t="n"/>
      <c r="G533" s="269" t="n"/>
      <c r="H533" s="269" t="n"/>
      <c r="I533" s="269" t="n"/>
      <c r="J533" s="269" t="n"/>
      <c r="K533" s="269" t="n"/>
      <c r="L533" s="269" t="n"/>
      <c r="M533" s="269" t="n"/>
      <c r="N533" s="269" t="n"/>
      <c r="O533" s="269" t="n"/>
      <c r="P533" s="269" t="n"/>
      <c r="Q533" s="269" t="n"/>
      <c r="R533" s="269" t="n"/>
      <c r="S533" s="269" t="n"/>
      <c r="T533" s="269" t="n"/>
      <c r="U533" s="269" t="n"/>
      <c r="V533" s="269" t="n"/>
      <c r="W533" s="270" t="n"/>
    </row>
    <row r="534" customFormat="1" s="163">
      <c r="A534" s="282" t="n"/>
      <c r="B534" s="277" t="n"/>
      <c r="C534" s="278" t="n"/>
      <c r="D534" s="269" t="n"/>
      <c r="E534" s="269" t="n"/>
      <c r="F534" s="269" t="n"/>
      <c r="G534" s="269" t="n"/>
      <c r="H534" s="269" t="n"/>
      <c r="I534" s="269" t="n"/>
      <c r="J534" s="269" t="n"/>
      <c r="K534" s="269" t="n"/>
      <c r="L534" s="269" t="n"/>
      <c r="M534" s="269" t="n"/>
      <c r="N534" s="269" t="n"/>
      <c r="O534" s="269" t="n"/>
      <c r="P534" s="269" t="n"/>
      <c r="Q534" s="269" t="n"/>
      <c r="R534" s="269" t="n"/>
      <c r="S534" s="269" t="n"/>
      <c r="T534" s="269" t="n"/>
      <c r="U534" s="269" t="n"/>
      <c r="V534" s="269" t="n"/>
      <c r="W534" s="270" t="n"/>
    </row>
    <row r="535" customFormat="1" s="163">
      <c r="A535" s="282" t="n"/>
      <c r="B535" s="277" t="n"/>
      <c r="C535" s="278" t="n"/>
      <c r="D535" s="269" t="n"/>
      <c r="E535" s="269" t="n"/>
      <c r="F535" s="269" t="n"/>
      <c r="G535" s="269" t="n"/>
      <c r="H535" s="269" t="n"/>
      <c r="I535" s="269" t="n"/>
      <c r="J535" s="269" t="n"/>
      <c r="K535" s="269" t="n"/>
      <c r="L535" s="269" t="n"/>
      <c r="M535" s="269" t="n"/>
      <c r="N535" s="269" t="n"/>
      <c r="O535" s="269" t="n"/>
      <c r="P535" s="269" t="n"/>
      <c r="Q535" s="269" t="n"/>
      <c r="R535" s="269" t="n"/>
      <c r="S535" s="269" t="n"/>
      <c r="T535" s="269" t="n"/>
      <c r="U535" s="269" t="n"/>
      <c r="V535" s="269" t="n"/>
      <c r="W535" s="270" t="n"/>
    </row>
    <row r="536" customFormat="1" s="163">
      <c r="A536" s="282" t="n"/>
      <c r="B536" s="277" t="n"/>
      <c r="C536" s="278" t="n"/>
      <c r="D536" s="269" t="n"/>
      <c r="E536" s="269" t="n"/>
      <c r="F536" s="269" t="n"/>
      <c r="G536" s="269" t="n"/>
      <c r="H536" s="269" t="n"/>
      <c r="I536" s="269" t="n"/>
      <c r="J536" s="269" t="n"/>
      <c r="K536" s="269" t="n"/>
      <c r="L536" s="269" t="n"/>
      <c r="M536" s="269" t="n"/>
      <c r="N536" s="269" t="n"/>
      <c r="O536" s="269" t="n"/>
      <c r="P536" s="269" t="n"/>
      <c r="Q536" s="269" t="n"/>
      <c r="R536" s="269" t="n"/>
      <c r="S536" s="269" t="n"/>
      <c r="T536" s="269" t="n"/>
      <c r="U536" s="269" t="n"/>
      <c r="V536" s="269" t="n"/>
      <c r="W536" s="270" t="n"/>
    </row>
    <row r="537" customFormat="1" s="163">
      <c r="A537" s="282" t="n"/>
      <c r="B537" s="277" t="n"/>
      <c r="C537" s="278" t="n"/>
      <c r="D537" s="269" t="n"/>
      <c r="E537" s="269" t="n"/>
      <c r="F537" s="269" t="n"/>
      <c r="G537" s="269" t="n"/>
      <c r="H537" s="269" t="n"/>
      <c r="I537" s="269" t="n"/>
      <c r="J537" s="269" t="n"/>
      <c r="K537" s="269" t="n"/>
      <c r="L537" s="269" t="n"/>
      <c r="M537" s="269" t="n"/>
      <c r="N537" s="269" t="n"/>
      <c r="O537" s="269" t="n"/>
      <c r="P537" s="269" t="n"/>
      <c r="Q537" s="269" t="n"/>
      <c r="R537" s="269" t="n"/>
      <c r="S537" s="269" t="n"/>
      <c r="T537" s="269" t="n"/>
      <c r="U537" s="269" t="n"/>
      <c r="V537" s="269" t="n"/>
      <c r="W537" s="270" t="n"/>
    </row>
    <row r="538" customFormat="1" s="163">
      <c r="A538" s="282" t="n"/>
      <c r="B538" s="277" t="n"/>
      <c r="C538" s="278" t="n"/>
      <c r="D538" s="269" t="n"/>
      <c r="E538" s="269" t="n"/>
      <c r="F538" s="269" t="n"/>
      <c r="G538" s="269" t="n"/>
      <c r="H538" s="269" t="n"/>
      <c r="I538" s="269" t="n"/>
      <c r="J538" s="269" t="n"/>
      <c r="K538" s="269" t="n"/>
      <c r="L538" s="269" t="n"/>
      <c r="M538" s="269" t="n"/>
      <c r="N538" s="269" t="n"/>
      <c r="O538" s="269" t="n"/>
      <c r="P538" s="269" t="n"/>
      <c r="Q538" s="269" t="n"/>
      <c r="R538" s="269" t="n"/>
      <c r="S538" s="269" t="n"/>
      <c r="T538" s="269" t="n"/>
      <c r="U538" s="269" t="n"/>
      <c r="V538" s="269" t="n"/>
      <c r="W538" s="270" t="n"/>
    </row>
    <row r="539" customFormat="1" s="163">
      <c r="A539" s="282" t="n"/>
      <c r="B539" s="277" t="n"/>
      <c r="C539" s="278" t="n"/>
      <c r="D539" s="269" t="n"/>
      <c r="E539" s="269" t="n"/>
      <c r="F539" s="269" t="n"/>
      <c r="G539" s="269" t="n"/>
      <c r="H539" s="269" t="n"/>
      <c r="I539" s="269" t="n"/>
      <c r="J539" s="269" t="n"/>
      <c r="K539" s="269" t="n"/>
      <c r="L539" s="269" t="n"/>
      <c r="M539" s="269" t="n"/>
      <c r="N539" s="269" t="n"/>
      <c r="O539" s="269" t="n"/>
      <c r="P539" s="269" t="n"/>
      <c r="Q539" s="269" t="n"/>
      <c r="R539" s="269" t="n"/>
      <c r="S539" s="269" t="n"/>
      <c r="T539" s="269" t="n"/>
      <c r="U539" s="269" t="n"/>
      <c r="V539" s="269" t="n"/>
      <c r="W539" s="270" t="n"/>
    </row>
    <row r="540" customFormat="1" s="163">
      <c r="A540" s="282" t="n"/>
      <c r="B540" s="277" t="n"/>
      <c r="C540" s="278" t="n"/>
      <c r="D540" s="269" t="n"/>
      <c r="E540" s="269" t="n"/>
      <c r="F540" s="269" t="n"/>
      <c r="G540" s="269" t="n"/>
      <c r="H540" s="269" t="n"/>
      <c r="I540" s="269" t="n"/>
      <c r="J540" s="269" t="n"/>
      <c r="K540" s="269" t="n"/>
      <c r="L540" s="269" t="n"/>
      <c r="M540" s="269" t="n"/>
      <c r="N540" s="269" t="n"/>
      <c r="O540" s="269" t="n"/>
      <c r="P540" s="269" t="n"/>
      <c r="Q540" s="269" t="n"/>
      <c r="R540" s="269" t="n"/>
      <c r="S540" s="269" t="n"/>
      <c r="T540" s="269" t="n"/>
      <c r="U540" s="269" t="n"/>
      <c r="V540" s="269" t="n"/>
      <c r="W540" s="270" t="n"/>
    </row>
    <row r="541" customFormat="1" s="163">
      <c r="A541" s="282" t="n"/>
      <c r="B541" s="277" t="n"/>
      <c r="C541" s="278" t="n"/>
      <c r="D541" s="269" t="n"/>
      <c r="E541" s="269" t="n"/>
      <c r="F541" s="269" t="n"/>
      <c r="G541" s="269" t="n"/>
      <c r="H541" s="269" t="n"/>
      <c r="I541" s="269" t="n"/>
      <c r="J541" s="269" t="n"/>
      <c r="K541" s="269" t="n"/>
      <c r="L541" s="269" t="n"/>
      <c r="M541" s="269" t="n"/>
      <c r="N541" s="269" t="n"/>
      <c r="O541" s="269" t="n"/>
      <c r="P541" s="269" t="n"/>
      <c r="Q541" s="269" t="n"/>
      <c r="R541" s="269" t="n"/>
      <c r="S541" s="269" t="n"/>
      <c r="T541" s="269" t="n"/>
      <c r="U541" s="269" t="n"/>
      <c r="V541" s="269" t="n"/>
      <c r="W541" s="270" t="n"/>
    </row>
    <row r="542" customFormat="1" s="163">
      <c r="A542" s="282" t="n"/>
      <c r="B542" s="277" t="n"/>
      <c r="C542" s="278" t="n"/>
      <c r="D542" s="269" t="n"/>
      <c r="E542" s="269" t="n"/>
      <c r="F542" s="269" t="n"/>
      <c r="G542" s="269" t="n"/>
      <c r="H542" s="269" t="n"/>
      <c r="I542" s="269" t="n"/>
      <c r="J542" s="269" t="n"/>
      <c r="K542" s="269" t="n"/>
      <c r="L542" s="269" t="n"/>
      <c r="M542" s="269" t="n"/>
      <c r="N542" s="269" t="n"/>
      <c r="O542" s="269" t="n"/>
      <c r="P542" s="269" t="n"/>
      <c r="Q542" s="269" t="n"/>
      <c r="R542" s="269" t="n"/>
      <c r="S542" s="269" t="n"/>
      <c r="T542" s="269" t="n"/>
      <c r="U542" s="269" t="n"/>
      <c r="V542" s="269" t="n"/>
      <c r="W542" s="270" t="n"/>
    </row>
    <row r="543" customFormat="1" s="163">
      <c r="A543" s="282" t="n"/>
      <c r="B543" s="277" t="n"/>
      <c r="C543" s="278" t="n"/>
      <c r="D543" s="269" t="n"/>
      <c r="E543" s="269" t="n"/>
      <c r="F543" s="269" t="n"/>
      <c r="G543" s="269" t="n"/>
      <c r="H543" s="269" t="n"/>
      <c r="I543" s="269" t="n"/>
      <c r="J543" s="269" t="n"/>
      <c r="K543" s="269" t="n"/>
      <c r="L543" s="269" t="n"/>
      <c r="M543" s="269" t="n"/>
      <c r="N543" s="269" t="n"/>
      <c r="O543" s="269" t="n"/>
      <c r="P543" s="269" t="n"/>
      <c r="Q543" s="269" t="n"/>
      <c r="R543" s="269" t="n"/>
      <c r="S543" s="269" t="n"/>
      <c r="T543" s="269" t="n"/>
      <c r="U543" s="269" t="n"/>
      <c r="V543" s="269" t="n"/>
      <c r="W543" s="270" t="n"/>
    </row>
    <row r="544" customFormat="1" s="163">
      <c r="A544" s="282" t="n"/>
      <c r="B544" s="277" t="n"/>
      <c r="C544" s="278" t="n"/>
      <c r="D544" s="269" t="n"/>
      <c r="E544" s="269" t="n"/>
      <c r="F544" s="269" t="n"/>
      <c r="G544" s="269" t="n"/>
      <c r="H544" s="269" t="n"/>
      <c r="I544" s="269" t="n"/>
      <c r="J544" s="269" t="n"/>
      <c r="K544" s="269" t="n"/>
      <c r="L544" s="269" t="n"/>
      <c r="M544" s="269" t="n"/>
      <c r="N544" s="269" t="n"/>
      <c r="O544" s="269" t="n"/>
      <c r="P544" s="269" t="n"/>
      <c r="Q544" s="269" t="n"/>
      <c r="R544" s="269" t="n"/>
      <c r="S544" s="269" t="n"/>
      <c r="T544" s="269" t="n"/>
      <c r="U544" s="269" t="n"/>
      <c r="V544" s="269" t="n"/>
      <c r="W544" s="270" t="n"/>
    </row>
    <row r="545" customFormat="1" s="163">
      <c r="A545" s="282" t="n"/>
      <c r="B545" s="277" t="n"/>
      <c r="C545" s="278" t="n"/>
      <c r="D545" s="269" t="n"/>
      <c r="E545" s="269" t="n"/>
      <c r="F545" s="269" t="n"/>
      <c r="G545" s="269" t="n"/>
      <c r="H545" s="269" t="n"/>
      <c r="I545" s="269" t="n"/>
      <c r="J545" s="269" t="n"/>
      <c r="K545" s="269" t="n"/>
      <c r="L545" s="269" t="n"/>
      <c r="M545" s="269" t="n"/>
      <c r="N545" s="269" t="n"/>
      <c r="O545" s="269" t="n"/>
      <c r="P545" s="269" t="n"/>
      <c r="Q545" s="269" t="n"/>
      <c r="R545" s="269" t="n"/>
      <c r="S545" s="269" t="n"/>
      <c r="T545" s="269" t="n"/>
      <c r="U545" s="269" t="n"/>
      <c r="V545" s="269" t="n"/>
      <c r="W545" s="270" t="n"/>
    </row>
    <row r="546" customFormat="1" s="163">
      <c r="A546" s="282" t="n"/>
      <c r="B546" s="277" t="n"/>
      <c r="C546" s="278" t="n"/>
      <c r="D546" s="269" t="n"/>
      <c r="E546" s="269" t="n"/>
      <c r="F546" s="269" t="n"/>
      <c r="G546" s="269" t="n"/>
      <c r="H546" s="269" t="n"/>
      <c r="I546" s="269" t="n"/>
      <c r="J546" s="269" t="n"/>
      <c r="K546" s="269" t="n"/>
      <c r="L546" s="269" t="n"/>
      <c r="M546" s="269" t="n"/>
      <c r="N546" s="269" t="n"/>
      <c r="O546" s="269" t="n"/>
      <c r="P546" s="269" t="n"/>
      <c r="Q546" s="269" t="n"/>
      <c r="R546" s="269" t="n"/>
      <c r="S546" s="269" t="n"/>
      <c r="T546" s="269" t="n"/>
      <c r="U546" s="269" t="n"/>
      <c r="V546" s="269" t="n"/>
      <c r="W546" s="270" t="n"/>
    </row>
    <row r="547" customFormat="1" s="163">
      <c r="A547" s="282" t="n"/>
      <c r="B547" s="277" t="n"/>
      <c r="C547" s="278" t="n"/>
      <c r="D547" s="269" t="n"/>
      <c r="E547" s="269" t="n"/>
      <c r="F547" s="269" t="n"/>
      <c r="G547" s="269" t="n"/>
      <c r="H547" s="269" t="n"/>
      <c r="I547" s="269" t="n"/>
      <c r="J547" s="269" t="n"/>
      <c r="K547" s="269" t="n"/>
      <c r="L547" s="269" t="n"/>
      <c r="M547" s="269" t="n"/>
      <c r="N547" s="269" t="n"/>
      <c r="O547" s="269" t="n"/>
      <c r="P547" s="269" t="n"/>
      <c r="Q547" s="269" t="n"/>
      <c r="R547" s="269" t="n"/>
      <c r="S547" s="269" t="n"/>
      <c r="T547" s="269" t="n"/>
      <c r="U547" s="269" t="n"/>
      <c r="V547" s="269" t="n"/>
      <c r="W547" s="270" t="n"/>
    </row>
    <row r="548" customFormat="1" s="163">
      <c r="A548" s="282" t="n"/>
      <c r="B548" s="277" t="n"/>
      <c r="C548" s="278" t="n"/>
      <c r="D548" s="269" t="n"/>
      <c r="E548" s="269" t="n"/>
      <c r="F548" s="269" t="n"/>
      <c r="G548" s="269" t="n"/>
      <c r="H548" s="269" t="n"/>
      <c r="I548" s="269" t="n"/>
      <c r="J548" s="269" t="n"/>
      <c r="K548" s="269" t="n"/>
      <c r="L548" s="269" t="n"/>
      <c r="M548" s="269" t="n"/>
      <c r="N548" s="269" t="n"/>
      <c r="O548" s="269" t="n"/>
      <c r="P548" s="269" t="n"/>
      <c r="Q548" s="269" t="n"/>
      <c r="R548" s="269" t="n"/>
      <c r="S548" s="269" t="n"/>
      <c r="T548" s="269" t="n"/>
      <c r="U548" s="269" t="n"/>
      <c r="V548" s="269" t="n"/>
      <c r="W548" s="270" t="n"/>
    </row>
    <row r="549" customFormat="1" s="163">
      <c r="A549" s="282" t="n"/>
      <c r="B549" s="277" t="n"/>
      <c r="C549" s="278" t="n"/>
      <c r="D549" s="269" t="n"/>
      <c r="E549" s="269" t="n"/>
      <c r="F549" s="269" t="n"/>
      <c r="G549" s="269" t="n"/>
      <c r="H549" s="269" t="n"/>
      <c r="I549" s="269" t="n"/>
      <c r="J549" s="269" t="n"/>
      <c r="K549" s="269" t="n"/>
      <c r="L549" s="269" t="n"/>
      <c r="M549" s="269" t="n"/>
      <c r="N549" s="269" t="n"/>
      <c r="O549" s="269" t="n"/>
      <c r="P549" s="269" t="n"/>
      <c r="Q549" s="269" t="n"/>
      <c r="R549" s="269" t="n"/>
      <c r="S549" s="269" t="n"/>
      <c r="T549" s="269" t="n"/>
      <c r="U549" s="269" t="n"/>
      <c r="V549" s="269" t="n"/>
      <c r="W549" s="270" t="n"/>
    </row>
    <row r="550" customFormat="1" s="163">
      <c r="A550" s="282" t="n"/>
      <c r="B550" s="277" t="n"/>
      <c r="C550" s="278" t="n"/>
      <c r="D550" s="269" t="n"/>
      <c r="E550" s="269" t="n"/>
      <c r="F550" s="269" t="n"/>
      <c r="G550" s="269" t="n"/>
      <c r="H550" s="269" t="n"/>
      <c r="I550" s="269" t="n"/>
      <c r="J550" s="269" t="n"/>
      <c r="K550" s="269" t="n"/>
      <c r="L550" s="269" t="n"/>
      <c r="M550" s="269" t="n"/>
      <c r="N550" s="269" t="n"/>
      <c r="O550" s="269" t="n"/>
      <c r="P550" s="269" t="n"/>
      <c r="Q550" s="269" t="n"/>
      <c r="R550" s="269" t="n"/>
      <c r="S550" s="269" t="n"/>
      <c r="T550" s="269" t="n"/>
      <c r="U550" s="269" t="n"/>
      <c r="V550" s="269" t="n"/>
      <c r="W550" s="270" t="n"/>
    </row>
    <row r="551" customFormat="1" s="163">
      <c r="A551" s="282" t="n"/>
      <c r="B551" s="277" t="n"/>
      <c r="C551" s="278" t="n"/>
      <c r="D551" s="269" t="n"/>
      <c r="E551" s="269" t="n"/>
      <c r="F551" s="269" t="n"/>
      <c r="G551" s="269" t="n"/>
      <c r="H551" s="269" t="n"/>
      <c r="I551" s="269" t="n"/>
      <c r="J551" s="269" t="n"/>
      <c r="K551" s="269" t="n"/>
      <c r="L551" s="269" t="n"/>
      <c r="M551" s="269" t="n"/>
      <c r="N551" s="269" t="n"/>
      <c r="O551" s="269" t="n"/>
      <c r="P551" s="269" t="n"/>
      <c r="Q551" s="269" t="n"/>
      <c r="R551" s="269" t="n"/>
      <c r="S551" s="269" t="n"/>
      <c r="T551" s="269" t="n"/>
      <c r="U551" s="269" t="n"/>
      <c r="V551" s="269" t="n"/>
      <c r="W551" s="270" t="n"/>
    </row>
    <row r="552" customFormat="1" s="163">
      <c r="A552" s="282" t="n"/>
      <c r="B552" s="277" t="n"/>
      <c r="C552" s="278" t="n"/>
      <c r="D552" s="269" t="n"/>
      <c r="E552" s="269" t="n"/>
      <c r="F552" s="269" t="n"/>
      <c r="G552" s="269" t="n"/>
      <c r="H552" s="269" t="n"/>
      <c r="I552" s="269" t="n"/>
      <c r="J552" s="269" t="n"/>
      <c r="K552" s="269" t="n"/>
      <c r="L552" s="269" t="n"/>
      <c r="M552" s="269" t="n"/>
      <c r="N552" s="269" t="n"/>
      <c r="O552" s="269" t="n"/>
      <c r="P552" s="269" t="n"/>
      <c r="Q552" s="269" t="n"/>
      <c r="R552" s="269" t="n"/>
      <c r="S552" s="269" t="n"/>
      <c r="T552" s="269" t="n"/>
      <c r="U552" s="269" t="n"/>
      <c r="V552" s="269" t="n"/>
      <c r="W552" s="270" t="n"/>
    </row>
    <row r="553" customFormat="1" s="163">
      <c r="A553" s="282" t="n"/>
      <c r="B553" s="277" t="n"/>
      <c r="C553" s="278" t="n"/>
      <c r="D553" s="269" t="n"/>
      <c r="E553" s="269" t="n"/>
      <c r="F553" s="269" t="n"/>
      <c r="G553" s="269" t="n"/>
      <c r="H553" s="269" t="n"/>
      <c r="I553" s="269" t="n"/>
      <c r="J553" s="269" t="n"/>
      <c r="K553" s="269" t="n"/>
      <c r="L553" s="269" t="n"/>
      <c r="M553" s="269" t="n"/>
      <c r="N553" s="269" t="n"/>
      <c r="O553" s="269" t="n"/>
      <c r="P553" s="269" t="n"/>
      <c r="Q553" s="269" t="n"/>
      <c r="R553" s="269" t="n"/>
      <c r="S553" s="269" t="n"/>
      <c r="T553" s="269" t="n"/>
      <c r="U553" s="269" t="n"/>
      <c r="V553" s="269" t="n"/>
      <c r="W553" s="270" t="n"/>
    </row>
    <row r="554" customFormat="1" s="163">
      <c r="A554" s="282" t="n"/>
      <c r="B554" s="277" t="n"/>
      <c r="C554" s="278" t="n"/>
      <c r="D554" s="269" t="n"/>
      <c r="E554" s="269" t="n"/>
      <c r="F554" s="269" t="n"/>
      <c r="G554" s="269" t="n"/>
      <c r="H554" s="269" t="n"/>
      <c r="I554" s="269" t="n"/>
      <c r="J554" s="269" t="n"/>
      <c r="K554" s="269" t="n"/>
      <c r="L554" s="269" t="n"/>
      <c r="M554" s="269" t="n"/>
      <c r="N554" s="269" t="n"/>
      <c r="O554" s="269" t="n"/>
      <c r="P554" s="269" t="n"/>
      <c r="Q554" s="269" t="n"/>
      <c r="R554" s="269" t="n"/>
      <c r="S554" s="269" t="n"/>
      <c r="T554" s="269" t="n"/>
      <c r="U554" s="269" t="n"/>
      <c r="V554" s="269" t="n"/>
      <c r="W554" s="270" t="n"/>
    </row>
    <row r="555" customFormat="1" s="163">
      <c r="A555" s="282" t="n"/>
      <c r="B555" s="277" t="n"/>
      <c r="C555" s="278" t="n"/>
      <c r="D555" s="269" t="n"/>
      <c r="E555" s="269" t="n"/>
      <c r="F555" s="269" t="n"/>
      <c r="G555" s="269" t="n"/>
      <c r="H555" s="269" t="n"/>
      <c r="I555" s="269" t="n"/>
      <c r="J555" s="269" t="n"/>
      <c r="K555" s="269" t="n"/>
      <c r="L555" s="269" t="n"/>
      <c r="M555" s="269" t="n"/>
      <c r="N555" s="269" t="n"/>
      <c r="O555" s="269" t="n"/>
      <c r="P555" s="269" t="n"/>
      <c r="Q555" s="269" t="n"/>
      <c r="R555" s="269" t="n"/>
      <c r="S555" s="269" t="n"/>
      <c r="T555" s="269" t="n"/>
      <c r="U555" s="269" t="n"/>
      <c r="V555" s="269" t="n"/>
      <c r="W555" s="270" t="n"/>
    </row>
    <row r="556" customFormat="1" s="163">
      <c r="A556" s="282" t="n"/>
      <c r="B556" s="277" t="n"/>
      <c r="C556" s="278" t="n"/>
      <c r="D556" s="269" t="n"/>
      <c r="E556" s="269" t="n"/>
      <c r="F556" s="269" t="n"/>
      <c r="G556" s="269" t="n"/>
      <c r="H556" s="269" t="n"/>
      <c r="I556" s="269" t="n"/>
      <c r="J556" s="269" t="n"/>
      <c r="K556" s="269" t="n"/>
      <c r="L556" s="269" t="n"/>
      <c r="M556" s="269" t="n"/>
      <c r="N556" s="269" t="n"/>
      <c r="O556" s="269" t="n"/>
      <c r="P556" s="269" t="n"/>
      <c r="Q556" s="269" t="n"/>
      <c r="R556" s="269" t="n"/>
      <c r="S556" s="269" t="n"/>
      <c r="T556" s="269" t="n"/>
      <c r="U556" s="269" t="n"/>
      <c r="V556" s="269" t="n"/>
      <c r="W556" s="270" t="n"/>
    </row>
    <row r="557" customFormat="1" s="163">
      <c r="A557" s="282" t="n"/>
      <c r="B557" s="277" t="n"/>
      <c r="C557" s="278" t="n"/>
      <c r="D557" s="269" t="n"/>
      <c r="E557" s="269" t="n"/>
      <c r="F557" s="269" t="n"/>
      <c r="G557" s="269" t="n"/>
      <c r="H557" s="269" t="n"/>
      <c r="I557" s="269" t="n"/>
      <c r="J557" s="269" t="n"/>
      <c r="K557" s="269" t="n"/>
      <c r="L557" s="269" t="n"/>
      <c r="M557" s="269" t="n"/>
      <c r="N557" s="269" t="n"/>
      <c r="O557" s="269" t="n"/>
      <c r="P557" s="269" t="n"/>
      <c r="Q557" s="269" t="n"/>
      <c r="R557" s="269" t="n"/>
      <c r="S557" s="269" t="n"/>
      <c r="T557" s="269" t="n"/>
      <c r="U557" s="269" t="n"/>
      <c r="V557" s="269" t="n"/>
      <c r="W557" s="270" t="n"/>
    </row>
    <row r="558" customFormat="1" s="163">
      <c r="A558" s="282" t="n"/>
      <c r="B558" s="277" t="n"/>
      <c r="C558" s="278" t="n"/>
      <c r="D558" s="269" t="n"/>
      <c r="E558" s="269" t="n"/>
      <c r="F558" s="269" t="n"/>
      <c r="G558" s="269" t="n"/>
      <c r="H558" s="269" t="n"/>
      <c r="I558" s="269" t="n"/>
      <c r="J558" s="269" t="n"/>
      <c r="K558" s="269" t="n"/>
      <c r="L558" s="269" t="n"/>
      <c r="M558" s="269" t="n"/>
      <c r="N558" s="269" t="n"/>
      <c r="O558" s="269" t="n"/>
      <c r="P558" s="269" t="n"/>
      <c r="Q558" s="269" t="n"/>
      <c r="R558" s="269" t="n"/>
      <c r="S558" s="269" t="n"/>
      <c r="T558" s="269" t="n"/>
      <c r="U558" s="269" t="n"/>
      <c r="V558" s="269" t="n"/>
      <c r="W558" s="270" t="n"/>
    </row>
    <row r="559" customFormat="1" s="163">
      <c r="A559" s="282" t="n"/>
      <c r="B559" s="277" t="n"/>
      <c r="C559" s="278" t="n"/>
      <c r="D559" s="269" t="n"/>
      <c r="E559" s="269" t="n"/>
      <c r="F559" s="269" t="n"/>
      <c r="G559" s="269" t="n"/>
      <c r="H559" s="269" t="n"/>
      <c r="I559" s="269" t="n"/>
      <c r="J559" s="269" t="n"/>
      <c r="K559" s="269" t="n"/>
      <c r="L559" s="269" t="n"/>
      <c r="M559" s="269" t="n"/>
      <c r="N559" s="269" t="n"/>
      <c r="O559" s="269" t="n"/>
      <c r="P559" s="269" t="n"/>
      <c r="Q559" s="269" t="n"/>
      <c r="R559" s="269" t="n"/>
      <c r="S559" s="269" t="n"/>
      <c r="T559" s="269" t="n"/>
      <c r="U559" s="269" t="n"/>
      <c r="V559" s="269" t="n"/>
      <c r="W559" s="270" t="n"/>
    </row>
    <row r="560" customFormat="1" s="163">
      <c r="A560" s="282" t="n"/>
      <c r="B560" s="277" t="n"/>
      <c r="C560" s="278" t="n"/>
      <c r="D560" s="269" t="n"/>
      <c r="E560" s="269" t="n"/>
      <c r="F560" s="269" t="n"/>
      <c r="G560" s="269" t="n"/>
      <c r="H560" s="269" t="n"/>
      <c r="I560" s="269" t="n"/>
      <c r="J560" s="269" t="n"/>
      <c r="K560" s="269" t="n"/>
      <c r="L560" s="269" t="n"/>
      <c r="M560" s="269" t="n"/>
      <c r="N560" s="269" t="n"/>
      <c r="O560" s="269" t="n"/>
      <c r="P560" s="269" t="n"/>
      <c r="Q560" s="269" t="n"/>
      <c r="R560" s="269" t="n"/>
      <c r="S560" s="269" t="n"/>
      <c r="T560" s="269" t="n"/>
      <c r="U560" s="269" t="n"/>
      <c r="V560" s="269" t="n"/>
      <c r="W560" s="270" t="n"/>
    </row>
    <row r="561" customFormat="1" s="163">
      <c r="A561" s="282" t="n"/>
      <c r="B561" s="277" t="n"/>
      <c r="C561" s="278" t="n"/>
      <c r="D561" s="269" t="n"/>
      <c r="E561" s="269" t="n"/>
      <c r="F561" s="269" t="n"/>
      <c r="G561" s="269" t="n"/>
      <c r="H561" s="269" t="n"/>
      <c r="I561" s="269" t="n"/>
      <c r="J561" s="269" t="n"/>
      <c r="K561" s="269" t="n"/>
      <c r="L561" s="269" t="n"/>
      <c r="M561" s="269" t="n"/>
      <c r="N561" s="269" t="n"/>
      <c r="O561" s="269" t="n"/>
      <c r="P561" s="269" t="n"/>
      <c r="Q561" s="269" t="n"/>
      <c r="R561" s="269" t="n"/>
      <c r="S561" s="269" t="n"/>
      <c r="T561" s="269" t="n"/>
      <c r="U561" s="269" t="n"/>
      <c r="V561" s="269" t="n"/>
      <c r="W561" s="270" t="n"/>
    </row>
    <row r="562" customFormat="1" s="163">
      <c r="A562" s="282" t="n"/>
      <c r="B562" s="277" t="n"/>
      <c r="C562" s="278" t="n"/>
      <c r="D562" s="269" t="n"/>
      <c r="E562" s="269" t="n"/>
      <c r="F562" s="269" t="n"/>
      <c r="G562" s="269" t="n"/>
      <c r="H562" s="269" t="n"/>
      <c r="I562" s="269" t="n"/>
      <c r="J562" s="269" t="n"/>
      <c r="K562" s="269" t="n"/>
      <c r="L562" s="269" t="n"/>
      <c r="M562" s="269" t="n"/>
      <c r="N562" s="269" t="n"/>
      <c r="O562" s="269" t="n"/>
      <c r="P562" s="269" t="n"/>
      <c r="Q562" s="269" t="n"/>
      <c r="R562" s="269" t="n"/>
      <c r="S562" s="269" t="n"/>
      <c r="T562" s="269" t="n"/>
      <c r="U562" s="269" t="n"/>
      <c r="V562" s="269" t="n"/>
      <c r="W562" s="270" t="n"/>
    </row>
    <row r="563" customFormat="1" s="163">
      <c r="A563" s="282" t="n"/>
      <c r="B563" s="277" t="n"/>
      <c r="C563" s="278" t="n"/>
      <c r="D563" s="269" t="n"/>
      <c r="E563" s="269" t="n"/>
      <c r="F563" s="269" t="n"/>
      <c r="G563" s="269" t="n"/>
      <c r="H563" s="269" t="n"/>
      <c r="I563" s="269" t="n"/>
      <c r="J563" s="269" t="n"/>
      <c r="K563" s="269" t="n"/>
      <c r="L563" s="269" t="n"/>
      <c r="M563" s="269" t="n"/>
      <c r="N563" s="269" t="n"/>
      <c r="O563" s="269" t="n"/>
      <c r="P563" s="269" t="n"/>
      <c r="Q563" s="269" t="n"/>
      <c r="R563" s="269" t="n"/>
      <c r="S563" s="269" t="n"/>
      <c r="T563" s="269" t="n"/>
      <c r="U563" s="269" t="n"/>
      <c r="V563" s="269" t="n"/>
      <c r="W563" s="270" t="n"/>
    </row>
    <row r="564" customFormat="1" s="163">
      <c r="A564" s="282" t="n"/>
      <c r="B564" s="277" t="n"/>
      <c r="C564" s="278" t="n"/>
      <c r="D564" s="269" t="n"/>
      <c r="E564" s="269" t="n"/>
      <c r="F564" s="269" t="n"/>
      <c r="G564" s="269" t="n"/>
      <c r="H564" s="269" t="n"/>
      <c r="I564" s="269" t="n"/>
      <c r="J564" s="269" t="n"/>
      <c r="K564" s="269" t="n"/>
      <c r="L564" s="269" t="n"/>
      <c r="M564" s="269" t="n"/>
      <c r="N564" s="269" t="n"/>
      <c r="O564" s="269" t="n"/>
      <c r="P564" s="269" t="n"/>
      <c r="Q564" s="269" t="n"/>
      <c r="R564" s="269" t="n"/>
      <c r="S564" s="269" t="n"/>
      <c r="T564" s="269" t="n"/>
      <c r="U564" s="269" t="n"/>
      <c r="V564" s="269" t="n"/>
      <c r="W564" s="270" t="n"/>
    </row>
    <row r="565" customFormat="1" s="163">
      <c r="A565" s="282" t="n"/>
      <c r="B565" s="277" t="n"/>
      <c r="C565" s="278" t="n"/>
      <c r="D565" s="269" t="n"/>
      <c r="E565" s="269" t="n"/>
      <c r="F565" s="269" t="n"/>
      <c r="G565" s="269" t="n"/>
      <c r="H565" s="269" t="n"/>
      <c r="I565" s="269" t="n"/>
      <c r="J565" s="269" t="n"/>
      <c r="K565" s="269" t="n"/>
      <c r="L565" s="269" t="n"/>
      <c r="M565" s="269" t="n"/>
      <c r="N565" s="269" t="n"/>
      <c r="O565" s="269" t="n"/>
      <c r="P565" s="269" t="n"/>
      <c r="Q565" s="269" t="n"/>
      <c r="R565" s="269" t="n"/>
      <c r="S565" s="269" t="n"/>
      <c r="T565" s="269" t="n"/>
      <c r="U565" s="269" t="n"/>
      <c r="V565" s="269" t="n"/>
      <c r="W565" s="270" t="n"/>
    </row>
    <row r="566" customFormat="1" s="163">
      <c r="A566" s="282" t="n"/>
      <c r="B566" s="277" t="n"/>
      <c r="C566" s="278" t="n"/>
      <c r="D566" s="269" t="n"/>
      <c r="E566" s="269" t="n"/>
      <c r="F566" s="269" t="n"/>
      <c r="G566" s="269" t="n"/>
      <c r="H566" s="269" t="n"/>
      <c r="I566" s="269" t="n"/>
      <c r="J566" s="269" t="n"/>
      <c r="K566" s="269" t="n"/>
      <c r="L566" s="269" t="n"/>
      <c r="M566" s="269" t="n"/>
      <c r="N566" s="269" t="n"/>
      <c r="O566" s="269" t="n"/>
      <c r="P566" s="269" t="n"/>
      <c r="Q566" s="269" t="n"/>
      <c r="R566" s="269" t="n"/>
      <c r="S566" s="269" t="n"/>
      <c r="T566" s="269" t="n"/>
      <c r="U566" s="269" t="n"/>
      <c r="V566" s="269" t="n"/>
      <c r="W566" s="270" t="n"/>
    </row>
    <row r="567" customFormat="1" s="163">
      <c r="A567" s="282" t="n"/>
      <c r="B567" s="277" t="n"/>
      <c r="C567" s="278" t="n"/>
      <c r="D567" s="269" t="n"/>
      <c r="E567" s="269" t="n"/>
      <c r="F567" s="269" t="n"/>
      <c r="G567" s="269" t="n"/>
      <c r="H567" s="269" t="n"/>
      <c r="I567" s="269" t="n"/>
      <c r="J567" s="269" t="n"/>
      <c r="K567" s="269" t="n"/>
      <c r="L567" s="269" t="n"/>
      <c r="M567" s="269" t="n"/>
      <c r="N567" s="269" t="n"/>
      <c r="O567" s="269" t="n"/>
      <c r="P567" s="269" t="n"/>
      <c r="Q567" s="269" t="n"/>
      <c r="R567" s="269" t="n"/>
      <c r="S567" s="269" t="n"/>
      <c r="T567" s="269" t="n"/>
      <c r="U567" s="269" t="n"/>
      <c r="V567" s="269" t="n"/>
      <c r="W567" s="270" t="n"/>
    </row>
    <row r="568" customFormat="1" s="163">
      <c r="A568" s="282" t="n"/>
      <c r="B568" s="277" t="n"/>
      <c r="C568" s="278" t="n"/>
      <c r="D568" s="269" t="n"/>
      <c r="E568" s="269" t="n"/>
      <c r="F568" s="269" t="n"/>
      <c r="G568" s="269" t="n"/>
      <c r="H568" s="269" t="n"/>
      <c r="I568" s="269" t="n"/>
      <c r="J568" s="269" t="n"/>
      <c r="K568" s="269" t="n"/>
      <c r="L568" s="269" t="n"/>
      <c r="M568" s="269" t="n"/>
      <c r="N568" s="269" t="n"/>
      <c r="O568" s="269" t="n"/>
      <c r="P568" s="269" t="n"/>
      <c r="Q568" s="269" t="n"/>
      <c r="R568" s="269" t="n"/>
      <c r="S568" s="269" t="n"/>
      <c r="T568" s="269" t="n"/>
      <c r="U568" s="269" t="n"/>
      <c r="V568" s="269" t="n"/>
      <c r="W568" s="270" t="n"/>
    </row>
    <row r="569" customFormat="1" s="163">
      <c r="A569" s="282" t="n"/>
      <c r="B569" s="277" t="n"/>
      <c r="C569" s="278" t="n"/>
      <c r="D569" s="269" t="n"/>
      <c r="E569" s="269" t="n"/>
      <c r="F569" s="269" t="n"/>
      <c r="G569" s="269" t="n"/>
      <c r="H569" s="269" t="n"/>
      <c r="I569" s="269" t="n"/>
      <c r="J569" s="269" t="n"/>
      <c r="K569" s="269" t="n"/>
      <c r="L569" s="269" t="n"/>
      <c r="M569" s="269" t="n"/>
      <c r="N569" s="269" t="n"/>
      <c r="O569" s="269" t="n"/>
      <c r="P569" s="269" t="n"/>
      <c r="Q569" s="269" t="n"/>
      <c r="R569" s="269" t="n"/>
      <c r="S569" s="269" t="n"/>
      <c r="T569" s="269" t="n"/>
      <c r="U569" s="269" t="n"/>
      <c r="V569" s="269" t="n"/>
      <c r="W569" s="270" t="n"/>
    </row>
    <row r="570" customFormat="1" s="163">
      <c r="A570" s="282" t="n"/>
      <c r="B570" s="277" t="n"/>
      <c r="C570" s="278" t="n"/>
      <c r="D570" s="269" t="n"/>
      <c r="E570" s="269" t="n"/>
      <c r="F570" s="269" t="n"/>
      <c r="G570" s="269" t="n"/>
      <c r="H570" s="269" t="n"/>
      <c r="I570" s="269" t="n"/>
      <c r="J570" s="269" t="n"/>
      <c r="K570" s="269" t="n"/>
      <c r="L570" s="269" t="n"/>
      <c r="M570" s="269" t="n"/>
      <c r="N570" s="269" t="n"/>
      <c r="O570" s="269" t="n"/>
      <c r="P570" s="269" t="n"/>
      <c r="Q570" s="269" t="n"/>
      <c r="R570" s="269" t="n"/>
      <c r="S570" s="269" t="n"/>
      <c r="T570" s="269" t="n"/>
      <c r="U570" s="269" t="n"/>
      <c r="V570" s="269" t="n"/>
      <c r="W570" s="270" t="n"/>
    </row>
    <row r="571" customFormat="1" s="163">
      <c r="A571" s="282" t="n"/>
      <c r="B571" s="277" t="n"/>
      <c r="C571" s="278" t="n"/>
      <c r="D571" s="269" t="n"/>
      <c r="E571" s="269" t="n"/>
      <c r="F571" s="269" t="n"/>
      <c r="G571" s="269" t="n"/>
      <c r="H571" s="269" t="n"/>
      <c r="I571" s="269" t="n"/>
      <c r="J571" s="269" t="n"/>
      <c r="K571" s="269" t="n"/>
      <c r="L571" s="269" t="n"/>
      <c r="M571" s="269" t="n"/>
      <c r="N571" s="269" t="n"/>
      <c r="O571" s="269" t="n"/>
      <c r="P571" s="269" t="n"/>
      <c r="Q571" s="269" t="n"/>
      <c r="R571" s="269" t="n"/>
      <c r="S571" s="269" t="n"/>
      <c r="T571" s="269" t="n"/>
      <c r="U571" s="269" t="n"/>
      <c r="V571" s="269" t="n"/>
      <c r="W571" s="270" t="n"/>
    </row>
    <row r="572" customFormat="1" s="163">
      <c r="A572" s="282" t="n"/>
      <c r="B572" s="277" t="n"/>
      <c r="C572" s="278" t="n"/>
      <c r="D572" s="269" t="n"/>
      <c r="E572" s="269" t="n"/>
      <c r="F572" s="269" t="n"/>
      <c r="G572" s="269" t="n"/>
      <c r="H572" s="269" t="n"/>
      <c r="I572" s="269" t="n"/>
      <c r="J572" s="269" t="n"/>
      <c r="K572" s="269" t="n"/>
      <c r="L572" s="269" t="n"/>
      <c r="M572" s="269" t="n"/>
      <c r="N572" s="269" t="n"/>
      <c r="O572" s="269" t="n"/>
      <c r="P572" s="269" t="n"/>
      <c r="Q572" s="269" t="n"/>
      <c r="R572" s="269" t="n"/>
      <c r="S572" s="269" t="n"/>
      <c r="T572" s="269" t="n"/>
      <c r="U572" s="269" t="n"/>
      <c r="V572" s="269" t="n"/>
      <c r="W572" s="270" t="n"/>
    </row>
    <row r="573" customFormat="1" s="163">
      <c r="A573" s="282" t="n"/>
      <c r="B573" s="277" t="n"/>
      <c r="C573" s="278" t="n"/>
      <c r="D573" s="269" t="n"/>
      <c r="E573" s="269" t="n"/>
      <c r="F573" s="269" t="n"/>
      <c r="G573" s="269" t="n"/>
      <c r="H573" s="269" t="n"/>
      <c r="I573" s="269" t="n"/>
      <c r="J573" s="269" t="n"/>
      <c r="K573" s="269" t="n"/>
      <c r="L573" s="269" t="n"/>
      <c r="M573" s="269" t="n"/>
      <c r="N573" s="269" t="n"/>
      <c r="O573" s="269" t="n"/>
      <c r="P573" s="269" t="n"/>
      <c r="Q573" s="269" t="n"/>
      <c r="R573" s="269" t="n"/>
      <c r="S573" s="269" t="n"/>
      <c r="T573" s="269" t="n"/>
      <c r="U573" s="269" t="n"/>
      <c r="V573" s="269" t="n"/>
      <c r="W573" s="270" t="n"/>
    </row>
    <row r="574" customFormat="1" s="163">
      <c r="A574" s="282" t="n"/>
      <c r="B574" s="277" t="n"/>
      <c r="C574" s="278" t="n"/>
      <c r="D574" s="269" t="n"/>
      <c r="E574" s="269" t="n"/>
      <c r="F574" s="269" t="n"/>
      <c r="G574" s="269" t="n"/>
      <c r="H574" s="269" t="n"/>
      <c r="I574" s="269" t="n"/>
      <c r="J574" s="269" t="n"/>
      <c r="K574" s="269" t="n"/>
      <c r="L574" s="269" t="n"/>
      <c r="M574" s="269" t="n"/>
      <c r="N574" s="269" t="n"/>
      <c r="O574" s="269" t="n"/>
      <c r="P574" s="269" t="n"/>
      <c r="Q574" s="269" t="n"/>
      <c r="R574" s="269" t="n"/>
      <c r="S574" s="269" t="n"/>
      <c r="T574" s="269" t="n"/>
      <c r="U574" s="269" t="n"/>
      <c r="V574" s="269" t="n"/>
      <c r="W574" s="270" t="n"/>
    </row>
    <row r="575" customFormat="1" s="163">
      <c r="A575" s="282" t="n"/>
      <c r="B575" s="277" t="n"/>
      <c r="C575" s="278" t="n"/>
      <c r="D575" s="269" t="n"/>
      <c r="E575" s="269" t="n"/>
      <c r="F575" s="269" t="n"/>
      <c r="G575" s="269" t="n"/>
      <c r="H575" s="269" t="n"/>
      <c r="I575" s="269" t="n"/>
      <c r="J575" s="269" t="n"/>
      <c r="K575" s="269" t="n"/>
      <c r="L575" s="269" t="n"/>
      <c r="M575" s="269" t="n"/>
      <c r="N575" s="269" t="n"/>
      <c r="O575" s="269" t="n"/>
      <c r="P575" s="269" t="n"/>
      <c r="Q575" s="269" t="n"/>
      <c r="R575" s="269" t="n"/>
      <c r="S575" s="269" t="n"/>
      <c r="T575" s="269" t="n"/>
      <c r="U575" s="269" t="n"/>
      <c r="V575" s="269" t="n"/>
      <c r="W575" s="270" t="n"/>
    </row>
    <row r="576" customFormat="1" s="163">
      <c r="A576" s="282" t="n"/>
      <c r="B576" s="277" t="n"/>
      <c r="C576" s="278" t="n"/>
      <c r="D576" s="269" t="n"/>
      <c r="E576" s="269" t="n"/>
      <c r="F576" s="269" t="n"/>
      <c r="G576" s="269" t="n"/>
      <c r="H576" s="269" t="n"/>
      <c r="I576" s="269" t="n"/>
      <c r="J576" s="269" t="n"/>
      <c r="K576" s="269" t="n"/>
      <c r="L576" s="269" t="n"/>
      <c r="M576" s="269" t="n"/>
      <c r="N576" s="269" t="n"/>
      <c r="O576" s="269" t="n"/>
      <c r="P576" s="269" t="n"/>
      <c r="Q576" s="269" t="n"/>
      <c r="R576" s="269" t="n"/>
      <c r="S576" s="269" t="n"/>
      <c r="T576" s="269" t="n"/>
      <c r="U576" s="269" t="n"/>
      <c r="V576" s="269" t="n"/>
      <c r="W576" s="270" t="n"/>
    </row>
    <row r="577" customFormat="1" s="163">
      <c r="A577" s="282" t="n"/>
      <c r="B577" s="277" t="n"/>
      <c r="C577" s="278" t="n"/>
      <c r="D577" s="269" t="n"/>
      <c r="E577" s="269" t="n"/>
      <c r="F577" s="269" t="n"/>
      <c r="G577" s="269" t="n"/>
      <c r="H577" s="269" t="n"/>
      <c r="I577" s="269" t="n"/>
      <c r="J577" s="269" t="n"/>
      <c r="K577" s="269" t="n"/>
      <c r="L577" s="269" t="n"/>
      <c r="M577" s="269" t="n"/>
      <c r="N577" s="269" t="n"/>
      <c r="O577" s="269" t="n"/>
      <c r="P577" s="269" t="n"/>
      <c r="Q577" s="269" t="n"/>
      <c r="R577" s="269" t="n"/>
      <c r="S577" s="269" t="n"/>
      <c r="T577" s="269" t="n"/>
      <c r="U577" s="269" t="n"/>
      <c r="V577" s="269" t="n"/>
      <c r="W577" s="270" t="n"/>
    </row>
    <row r="578" customFormat="1" s="163">
      <c r="A578" s="282" t="n"/>
      <c r="B578" s="277" t="n"/>
      <c r="C578" s="278" t="n"/>
      <c r="D578" s="269" t="n"/>
      <c r="E578" s="269" t="n"/>
      <c r="F578" s="269" t="n"/>
      <c r="G578" s="269" t="n"/>
      <c r="H578" s="269" t="n"/>
      <c r="I578" s="269" t="n"/>
      <c r="J578" s="269" t="n"/>
      <c r="K578" s="269" t="n"/>
      <c r="L578" s="269" t="n"/>
      <c r="M578" s="269" t="n"/>
      <c r="N578" s="269" t="n"/>
      <c r="O578" s="269" t="n"/>
      <c r="P578" s="269" t="n"/>
      <c r="Q578" s="269" t="n"/>
      <c r="R578" s="269" t="n"/>
      <c r="S578" s="269" t="n"/>
      <c r="T578" s="269" t="n"/>
      <c r="U578" s="269" t="n"/>
      <c r="V578" s="269" t="n"/>
      <c r="W578" s="270" t="n"/>
    </row>
    <row r="579" customFormat="1" s="163">
      <c r="A579" s="282" t="n"/>
      <c r="B579" s="277" t="n"/>
      <c r="C579" s="278" t="n"/>
      <c r="D579" s="269" t="n"/>
      <c r="E579" s="269" t="n"/>
      <c r="F579" s="269" t="n"/>
      <c r="G579" s="269" t="n"/>
      <c r="H579" s="269" t="n"/>
      <c r="I579" s="269" t="n"/>
      <c r="J579" s="269" t="n"/>
      <c r="K579" s="269" t="n"/>
      <c r="L579" s="269" t="n"/>
      <c r="M579" s="269" t="n"/>
      <c r="N579" s="269" t="n"/>
      <c r="O579" s="269" t="n"/>
      <c r="P579" s="269" t="n"/>
      <c r="Q579" s="269" t="n"/>
      <c r="R579" s="269" t="n"/>
      <c r="S579" s="269" t="n"/>
      <c r="T579" s="269" t="n"/>
      <c r="U579" s="269" t="n"/>
      <c r="V579" s="269" t="n"/>
      <c r="W579" s="270" t="n"/>
    </row>
    <row r="580" customFormat="1" s="163">
      <c r="A580" s="282" t="n"/>
      <c r="B580" s="277" t="n"/>
      <c r="C580" s="278" t="n"/>
      <c r="D580" s="269" t="n"/>
      <c r="E580" s="269" t="n"/>
      <c r="F580" s="269" t="n"/>
      <c r="G580" s="269" t="n"/>
      <c r="H580" s="269" t="n"/>
      <c r="I580" s="269" t="n"/>
      <c r="J580" s="269" t="n"/>
      <c r="K580" s="269" t="n"/>
      <c r="L580" s="269" t="n"/>
      <c r="M580" s="269" t="n"/>
      <c r="N580" s="269" t="n"/>
      <c r="O580" s="269" t="n"/>
      <c r="P580" s="269" t="n"/>
      <c r="Q580" s="269" t="n"/>
      <c r="R580" s="269" t="n"/>
      <c r="S580" s="269" t="n"/>
      <c r="T580" s="269" t="n"/>
      <c r="U580" s="269" t="n"/>
      <c r="V580" s="269" t="n"/>
      <c r="W580" s="270" t="n"/>
    </row>
    <row r="581" customFormat="1" s="163">
      <c r="A581" s="282" t="n"/>
      <c r="B581" s="277" t="n"/>
      <c r="C581" s="278" t="n"/>
      <c r="D581" s="269" t="n"/>
      <c r="E581" s="269" t="n"/>
      <c r="F581" s="269" t="n"/>
      <c r="G581" s="269" t="n"/>
      <c r="H581" s="269" t="n"/>
      <c r="I581" s="269" t="n"/>
      <c r="J581" s="269" t="n"/>
      <c r="K581" s="269" t="n"/>
      <c r="L581" s="269" t="n"/>
      <c r="M581" s="269" t="n"/>
      <c r="N581" s="269" t="n"/>
      <c r="O581" s="269" t="n"/>
      <c r="P581" s="269" t="n"/>
      <c r="Q581" s="269" t="n"/>
      <c r="R581" s="269" t="n"/>
      <c r="S581" s="269" t="n"/>
      <c r="T581" s="269" t="n"/>
      <c r="U581" s="269" t="n"/>
      <c r="V581" s="269" t="n"/>
      <c r="W581" s="270" t="n"/>
    </row>
    <row r="582" customFormat="1" s="163">
      <c r="A582" s="282" t="n"/>
      <c r="B582" s="277" t="n"/>
      <c r="C582" s="278" t="n"/>
      <c r="D582" s="269" t="n"/>
      <c r="E582" s="269" t="n"/>
      <c r="F582" s="269" t="n"/>
      <c r="G582" s="269" t="n"/>
      <c r="H582" s="269" t="n"/>
      <c r="I582" s="269" t="n"/>
      <c r="J582" s="269" t="n"/>
      <c r="K582" s="269" t="n"/>
      <c r="L582" s="269" t="n"/>
      <c r="M582" s="269" t="n"/>
      <c r="N582" s="269" t="n"/>
      <c r="O582" s="269" t="n"/>
      <c r="P582" s="269" t="n"/>
      <c r="Q582" s="269" t="n"/>
      <c r="R582" s="269" t="n"/>
      <c r="S582" s="269" t="n"/>
      <c r="T582" s="269" t="n"/>
      <c r="U582" s="269" t="n"/>
      <c r="V582" s="269" t="n"/>
      <c r="W582" s="270" t="n"/>
    </row>
    <row r="583" customFormat="1" s="163">
      <c r="A583" s="282" t="n"/>
      <c r="B583" s="277" t="n"/>
      <c r="C583" s="278" t="n"/>
      <c r="D583" s="269" t="n"/>
      <c r="E583" s="269" t="n"/>
      <c r="F583" s="269" t="n"/>
      <c r="G583" s="269" t="n"/>
      <c r="H583" s="269" t="n"/>
      <c r="I583" s="269" t="n"/>
      <c r="J583" s="269" t="n"/>
      <c r="K583" s="269" t="n"/>
      <c r="L583" s="269" t="n"/>
      <c r="M583" s="269" t="n"/>
      <c r="N583" s="269" t="n"/>
      <c r="O583" s="269" t="n"/>
      <c r="P583" s="269" t="n"/>
      <c r="Q583" s="269" t="n"/>
      <c r="R583" s="269" t="n"/>
      <c r="S583" s="269" t="n"/>
      <c r="T583" s="269" t="n"/>
      <c r="U583" s="269" t="n"/>
      <c r="V583" s="269" t="n"/>
      <c r="W583" s="270" t="n"/>
    </row>
    <row r="584" customFormat="1" s="163">
      <c r="A584" s="282" t="n"/>
      <c r="B584" s="277" t="n"/>
      <c r="C584" s="278" t="n"/>
      <c r="D584" s="269" t="n"/>
      <c r="E584" s="269" t="n"/>
      <c r="F584" s="269" t="n"/>
      <c r="G584" s="269" t="n"/>
      <c r="H584" s="269" t="n"/>
      <c r="I584" s="269" t="n"/>
      <c r="J584" s="269" t="n"/>
      <c r="K584" s="269" t="n"/>
      <c r="L584" s="269" t="n"/>
      <c r="M584" s="269" t="n"/>
      <c r="N584" s="269" t="n"/>
      <c r="O584" s="269" t="n"/>
      <c r="P584" s="269" t="n"/>
      <c r="Q584" s="269" t="n"/>
      <c r="R584" s="269" t="n"/>
      <c r="S584" s="269" t="n"/>
      <c r="T584" s="269" t="n"/>
      <c r="U584" s="269" t="n"/>
      <c r="V584" s="269" t="n"/>
      <c r="W584" s="270" t="n"/>
    </row>
    <row r="585" customFormat="1" s="163">
      <c r="A585" s="282" t="n"/>
      <c r="B585" s="277" t="n"/>
      <c r="C585" s="278" t="n"/>
      <c r="D585" s="269" t="n"/>
      <c r="E585" s="269" t="n"/>
      <c r="F585" s="269" t="n"/>
      <c r="G585" s="269" t="n"/>
      <c r="H585" s="269" t="n"/>
      <c r="I585" s="269" t="n"/>
      <c r="J585" s="269" t="n"/>
      <c r="K585" s="269" t="n"/>
      <c r="L585" s="269" t="n"/>
      <c r="M585" s="269" t="n"/>
      <c r="N585" s="269" t="n"/>
      <c r="O585" s="269" t="n"/>
      <c r="P585" s="269" t="n"/>
      <c r="Q585" s="269" t="n"/>
      <c r="R585" s="269" t="n"/>
      <c r="S585" s="269" t="n"/>
      <c r="T585" s="269" t="n"/>
      <c r="U585" s="269" t="n"/>
      <c r="V585" s="269" t="n"/>
      <c r="W585" s="270" t="n"/>
    </row>
    <row r="586" customFormat="1" s="163">
      <c r="A586" s="282" t="n"/>
      <c r="B586" s="277" t="n"/>
      <c r="C586" s="278" t="n"/>
      <c r="D586" s="269" t="n"/>
      <c r="E586" s="269" t="n"/>
      <c r="F586" s="269" t="n"/>
      <c r="G586" s="269" t="n"/>
      <c r="H586" s="269" t="n"/>
      <c r="I586" s="269" t="n"/>
      <c r="J586" s="269" t="n"/>
      <c r="K586" s="269" t="n"/>
      <c r="L586" s="269" t="n"/>
      <c r="M586" s="269" t="n"/>
      <c r="N586" s="269" t="n"/>
      <c r="O586" s="269" t="n"/>
      <c r="P586" s="269" t="n"/>
      <c r="Q586" s="269" t="n"/>
      <c r="R586" s="269" t="n"/>
      <c r="S586" s="269" t="n"/>
      <c r="T586" s="269" t="n"/>
      <c r="U586" s="269" t="n"/>
      <c r="V586" s="269" t="n"/>
      <c r="W586" s="270" t="n"/>
    </row>
    <row r="587" customFormat="1" s="163">
      <c r="A587" s="282" t="n"/>
      <c r="B587" s="277" t="n"/>
      <c r="C587" s="278" t="n"/>
      <c r="D587" s="269" t="n"/>
      <c r="E587" s="269" t="n"/>
      <c r="F587" s="269" t="n"/>
      <c r="G587" s="269" t="n"/>
      <c r="H587" s="269" t="n"/>
      <c r="I587" s="269" t="n"/>
      <c r="J587" s="269" t="n"/>
      <c r="K587" s="269" t="n"/>
      <c r="L587" s="269" t="n"/>
      <c r="M587" s="269" t="n"/>
      <c r="N587" s="269" t="n"/>
      <c r="O587" s="269" t="n"/>
      <c r="P587" s="269" t="n"/>
      <c r="Q587" s="269" t="n"/>
      <c r="R587" s="269" t="n"/>
      <c r="S587" s="269" t="n"/>
      <c r="T587" s="269" t="n"/>
      <c r="U587" s="269" t="n"/>
      <c r="V587" s="269" t="n"/>
      <c r="W587" s="270" t="n"/>
    </row>
    <row r="588" customFormat="1" s="163">
      <c r="A588" s="282" t="n"/>
      <c r="B588" s="277" t="n"/>
      <c r="C588" s="278" t="n"/>
      <c r="D588" s="269" t="n"/>
      <c r="E588" s="269" t="n"/>
      <c r="F588" s="269" t="n"/>
      <c r="G588" s="269" t="n"/>
      <c r="H588" s="269" t="n"/>
      <c r="I588" s="269" t="n"/>
      <c r="J588" s="269" t="n"/>
      <c r="K588" s="269" t="n"/>
      <c r="L588" s="269" t="n"/>
      <c r="M588" s="269" t="n"/>
      <c r="N588" s="269" t="n"/>
      <c r="O588" s="269" t="n"/>
      <c r="P588" s="269" t="n"/>
      <c r="Q588" s="269" t="n"/>
      <c r="R588" s="269" t="n"/>
      <c r="S588" s="269" t="n"/>
      <c r="T588" s="269" t="n"/>
      <c r="U588" s="269" t="n"/>
      <c r="V588" s="269" t="n"/>
      <c r="W588" s="270" t="n"/>
    </row>
    <row r="589" customFormat="1" s="163">
      <c r="A589" s="282" t="n"/>
      <c r="B589" s="277" t="n"/>
      <c r="C589" s="278" t="n"/>
      <c r="D589" s="269" t="n"/>
      <c r="E589" s="269" t="n"/>
      <c r="F589" s="269" t="n"/>
      <c r="G589" s="269" t="n"/>
      <c r="H589" s="269" t="n"/>
      <c r="I589" s="269" t="n"/>
      <c r="J589" s="269" t="n"/>
      <c r="K589" s="269" t="n"/>
      <c r="L589" s="269" t="n"/>
      <c r="M589" s="269" t="n"/>
      <c r="N589" s="269" t="n"/>
      <c r="O589" s="269" t="n"/>
      <c r="P589" s="269" t="n"/>
      <c r="Q589" s="269" t="n"/>
      <c r="R589" s="269" t="n"/>
      <c r="S589" s="269" t="n"/>
      <c r="T589" s="269" t="n"/>
      <c r="U589" s="269" t="n"/>
      <c r="V589" s="269" t="n"/>
      <c r="W589" s="270" t="n"/>
    </row>
    <row r="590" customFormat="1" s="163">
      <c r="A590" s="282" t="n"/>
      <c r="B590" s="277" t="n"/>
      <c r="C590" s="278" t="n"/>
      <c r="D590" s="269" t="n"/>
      <c r="E590" s="269" t="n"/>
      <c r="F590" s="269" t="n"/>
      <c r="G590" s="269" t="n"/>
      <c r="H590" s="269" t="n"/>
      <c r="I590" s="269" t="n"/>
      <c r="J590" s="269" t="n"/>
      <c r="K590" s="269" t="n"/>
      <c r="L590" s="269" t="n"/>
      <c r="M590" s="269" t="n"/>
      <c r="N590" s="269" t="n"/>
      <c r="O590" s="269" t="n"/>
      <c r="P590" s="269" t="n"/>
      <c r="Q590" s="269" t="n"/>
      <c r="R590" s="269" t="n"/>
      <c r="S590" s="269" t="n"/>
      <c r="T590" s="269" t="n"/>
      <c r="U590" s="269" t="n"/>
      <c r="V590" s="269" t="n"/>
      <c r="W590" s="270" t="n"/>
    </row>
    <row r="591" customFormat="1" s="163">
      <c r="A591" s="282" t="n"/>
      <c r="B591" s="277" t="n"/>
      <c r="C591" s="278" t="n"/>
      <c r="D591" s="269" t="n"/>
      <c r="E591" s="269" t="n"/>
      <c r="F591" s="269" t="n"/>
      <c r="G591" s="269" t="n"/>
      <c r="H591" s="269" t="n"/>
      <c r="I591" s="269" t="n"/>
      <c r="J591" s="269" t="n"/>
      <c r="K591" s="269" t="n"/>
      <c r="L591" s="269" t="n"/>
      <c r="M591" s="269" t="n"/>
      <c r="N591" s="269" t="n"/>
      <c r="O591" s="269" t="n"/>
      <c r="P591" s="269" t="n"/>
      <c r="Q591" s="269" t="n"/>
      <c r="R591" s="269" t="n"/>
      <c r="S591" s="269" t="n"/>
      <c r="T591" s="269" t="n"/>
      <c r="U591" s="269" t="n"/>
      <c r="V591" s="269" t="n"/>
      <c r="W591" s="270" t="n"/>
    </row>
    <row r="592" customFormat="1" s="163">
      <c r="A592" s="282" t="n"/>
      <c r="B592" s="277" t="n"/>
      <c r="C592" s="278" t="n"/>
      <c r="D592" s="269" t="n"/>
      <c r="E592" s="269" t="n"/>
      <c r="F592" s="269" t="n"/>
      <c r="G592" s="269" t="n"/>
      <c r="H592" s="269" t="n"/>
      <c r="I592" s="269" t="n"/>
      <c r="J592" s="269" t="n"/>
      <c r="K592" s="269" t="n"/>
      <c r="L592" s="269" t="n"/>
      <c r="M592" s="269" t="n"/>
      <c r="N592" s="269" t="n"/>
      <c r="O592" s="269" t="n"/>
      <c r="P592" s="269" t="n"/>
      <c r="Q592" s="269" t="n"/>
      <c r="R592" s="269" t="n"/>
      <c r="S592" s="269" t="n"/>
      <c r="T592" s="269" t="n"/>
      <c r="U592" s="269" t="n"/>
      <c r="V592" s="269" t="n"/>
      <c r="W592" s="270" t="n"/>
    </row>
    <row r="593" customFormat="1" s="163">
      <c r="A593" s="282" t="n"/>
      <c r="B593" s="277" t="n"/>
      <c r="C593" s="278" t="n"/>
      <c r="D593" s="269" t="n"/>
      <c r="E593" s="269" t="n"/>
      <c r="F593" s="269" t="n"/>
      <c r="G593" s="269" t="n"/>
      <c r="H593" s="269" t="n"/>
      <c r="I593" s="269" t="n"/>
      <c r="J593" s="269" t="n"/>
      <c r="K593" s="269" t="n"/>
      <c r="L593" s="269" t="n"/>
      <c r="M593" s="269" t="n"/>
      <c r="N593" s="269" t="n"/>
      <c r="O593" s="269" t="n"/>
      <c r="P593" s="269" t="n"/>
      <c r="Q593" s="269" t="n"/>
      <c r="R593" s="269" t="n"/>
      <c r="S593" s="269" t="n"/>
      <c r="T593" s="269" t="n"/>
      <c r="U593" s="269" t="n"/>
      <c r="V593" s="269" t="n"/>
      <c r="W593" s="270" t="n"/>
    </row>
    <row r="594" customFormat="1" s="163">
      <c r="A594" s="282" t="n"/>
      <c r="B594" s="277" t="n"/>
      <c r="C594" s="278" t="n"/>
      <c r="D594" s="269" t="n"/>
      <c r="E594" s="269" t="n"/>
      <c r="F594" s="269" t="n"/>
      <c r="G594" s="269" t="n"/>
      <c r="H594" s="269" t="n"/>
      <c r="I594" s="269" t="n"/>
      <c r="J594" s="269" t="n"/>
      <c r="K594" s="269" t="n"/>
      <c r="L594" s="269" t="n"/>
      <c r="M594" s="269" t="n"/>
      <c r="N594" s="269" t="n"/>
      <c r="O594" s="269" t="n"/>
      <c r="P594" s="269" t="n"/>
      <c r="Q594" s="269" t="n"/>
      <c r="R594" s="269" t="n"/>
      <c r="S594" s="269" t="n"/>
      <c r="T594" s="269" t="n"/>
      <c r="U594" s="269" t="n"/>
      <c r="V594" s="269" t="n"/>
      <c r="W594" s="270" t="n"/>
    </row>
    <row r="595" customFormat="1" s="163">
      <c r="A595" s="282" t="n"/>
      <c r="B595" s="277" t="n"/>
      <c r="C595" s="278" t="n"/>
      <c r="D595" s="269" t="n"/>
      <c r="E595" s="269" t="n"/>
      <c r="F595" s="269" t="n"/>
      <c r="G595" s="269" t="n"/>
      <c r="H595" s="269" t="n"/>
      <c r="I595" s="269" t="n"/>
      <c r="J595" s="269" t="n"/>
      <c r="K595" s="269" t="n"/>
      <c r="L595" s="269" t="n"/>
      <c r="M595" s="269" t="n"/>
      <c r="N595" s="269" t="n"/>
      <c r="O595" s="269" t="n"/>
      <c r="P595" s="269" t="n"/>
      <c r="Q595" s="269" t="n"/>
      <c r="R595" s="269" t="n"/>
      <c r="S595" s="269" t="n"/>
      <c r="T595" s="269" t="n"/>
      <c r="U595" s="269" t="n"/>
      <c r="V595" s="269" t="n"/>
      <c r="W595" s="270" t="n"/>
    </row>
    <row r="596" customFormat="1" s="163">
      <c r="A596" s="282" t="n"/>
      <c r="B596" s="277" t="n"/>
      <c r="C596" s="278" t="n"/>
      <c r="D596" s="269" t="n"/>
      <c r="E596" s="269" t="n"/>
      <c r="F596" s="269" t="n"/>
      <c r="G596" s="269" t="n"/>
      <c r="H596" s="269" t="n"/>
      <c r="I596" s="269" t="n"/>
      <c r="J596" s="269" t="n"/>
      <c r="K596" s="269" t="n"/>
      <c r="L596" s="269" t="n"/>
      <c r="M596" s="269" t="n"/>
      <c r="N596" s="269" t="n"/>
      <c r="O596" s="269" t="n"/>
      <c r="P596" s="269" t="n"/>
      <c r="Q596" s="269" t="n"/>
      <c r="R596" s="269" t="n"/>
      <c r="S596" s="269" t="n"/>
      <c r="T596" s="269" t="n"/>
      <c r="U596" s="269" t="n"/>
      <c r="V596" s="269" t="n"/>
      <c r="W596" s="270" t="n"/>
    </row>
    <row r="597" customFormat="1" s="163">
      <c r="A597" s="282" t="n"/>
      <c r="B597" s="277" t="n"/>
      <c r="C597" s="278" t="n"/>
      <c r="D597" s="269" t="n"/>
      <c r="E597" s="269" t="n"/>
      <c r="F597" s="269" t="n"/>
      <c r="G597" s="269" t="n"/>
      <c r="H597" s="269" t="n"/>
      <c r="I597" s="269" t="n"/>
      <c r="J597" s="269" t="n"/>
      <c r="K597" s="269" t="n"/>
      <c r="L597" s="269" t="n"/>
      <c r="M597" s="269" t="n"/>
      <c r="N597" s="269" t="n"/>
      <c r="O597" s="269" t="n"/>
      <c r="P597" s="269" t="n"/>
      <c r="Q597" s="269" t="n"/>
      <c r="R597" s="269" t="n"/>
      <c r="S597" s="269" t="n"/>
      <c r="T597" s="269" t="n"/>
      <c r="U597" s="269" t="n"/>
      <c r="V597" s="269" t="n"/>
      <c r="W597" s="270" t="n"/>
    </row>
    <row r="598" customFormat="1" s="163">
      <c r="A598" s="282" t="n"/>
      <c r="B598" s="277" t="n"/>
      <c r="C598" s="278" t="n"/>
      <c r="D598" s="269" t="n"/>
      <c r="E598" s="269" t="n"/>
      <c r="F598" s="269" t="n"/>
      <c r="G598" s="269" t="n"/>
      <c r="H598" s="269" t="n"/>
      <c r="I598" s="269" t="n"/>
      <c r="J598" s="269" t="n"/>
      <c r="K598" s="269" t="n"/>
      <c r="L598" s="269" t="n"/>
      <c r="M598" s="269" t="n"/>
      <c r="N598" s="269" t="n"/>
      <c r="O598" s="269" t="n"/>
      <c r="P598" s="269" t="n"/>
      <c r="Q598" s="269" t="n"/>
      <c r="R598" s="269" t="n"/>
      <c r="S598" s="269" t="n"/>
      <c r="T598" s="269" t="n"/>
      <c r="U598" s="269" t="n"/>
      <c r="V598" s="269" t="n"/>
      <c r="W598" s="270" t="n"/>
    </row>
    <row r="599" customFormat="1" s="163">
      <c r="A599" s="282" t="n"/>
      <c r="B599" s="277" t="n"/>
      <c r="C599" s="278" t="n"/>
      <c r="D599" s="269" t="n"/>
      <c r="E599" s="269" t="n"/>
      <c r="F599" s="269" t="n"/>
      <c r="G599" s="269" t="n"/>
      <c r="H599" s="269" t="n"/>
      <c r="I599" s="269" t="n"/>
      <c r="J599" s="269" t="n"/>
      <c r="K599" s="269" t="n"/>
      <c r="L599" s="269" t="n"/>
      <c r="M599" s="269" t="n"/>
      <c r="N599" s="269" t="n"/>
      <c r="O599" s="269" t="n"/>
      <c r="P599" s="269" t="n"/>
      <c r="Q599" s="269" t="n"/>
      <c r="R599" s="269" t="n"/>
      <c r="S599" s="269" t="n"/>
      <c r="T599" s="269" t="n"/>
      <c r="U599" s="269" t="n"/>
      <c r="V599" s="269" t="n"/>
      <c r="W599" s="270" t="n"/>
    </row>
    <row r="600" customFormat="1" s="163">
      <c r="A600" s="282" t="n"/>
      <c r="B600" s="277" t="n"/>
      <c r="C600" s="278" t="n"/>
      <c r="D600" s="269" t="n"/>
      <c r="E600" s="269" t="n"/>
      <c r="F600" s="269" t="n"/>
      <c r="G600" s="269" t="n"/>
      <c r="H600" s="269" t="n"/>
      <c r="I600" s="269" t="n"/>
      <c r="J600" s="269" t="n"/>
      <c r="K600" s="269" t="n"/>
      <c r="L600" s="269" t="n"/>
      <c r="M600" s="269" t="n"/>
      <c r="N600" s="269" t="n"/>
      <c r="O600" s="269" t="n"/>
      <c r="P600" s="269" t="n"/>
      <c r="Q600" s="269" t="n"/>
      <c r="R600" s="269" t="n"/>
      <c r="S600" s="269" t="n"/>
      <c r="T600" s="269" t="n"/>
      <c r="U600" s="269" t="n"/>
      <c r="V600" s="269" t="n"/>
      <c r="W600" s="270" t="n"/>
    </row>
    <row r="601" customFormat="1" s="163">
      <c r="A601" s="282" t="n"/>
      <c r="B601" s="277" t="n"/>
      <c r="C601" s="278" t="n"/>
      <c r="D601" s="269" t="n"/>
      <c r="E601" s="269" t="n"/>
      <c r="F601" s="269" t="n"/>
      <c r="G601" s="269" t="n"/>
      <c r="H601" s="269" t="n"/>
      <c r="I601" s="269" t="n"/>
      <c r="J601" s="269" t="n"/>
      <c r="K601" s="269" t="n"/>
      <c r="L601" s="269" t="n"/>
      <c r="M601" s="269" t="n"/>
      <c r="N601" s="269" t="n"/>
      <c r="O601" s="269" t="n"/>
      <c r="P601" s="269" t="n"/>
      <c r="Q601" s="269" t="n"/>
      <c r="R601" s="269" t="n"/>
      <c r="S601" s="269" t="n"/>
      <c r="T601" s="269" t="n"/>
      <c r="U601" s="269" t="n"/>
      <c r="V601" s="269" t="n"/>
      <c r="W601" s="270" t="n"/>
    </row>
    <row r="602" customFormat="1" s="163">
      <c r="A602" s="282" t="n"/>
      <c r="B602" s="277" t="n"/>
      <c r="C602" s="278" t="n"/>
      <c r="D602" s="269" t="n"/>
      <c r="E602" s="269" t="n"/>
      <c r="F602" s="269" t="n"/>
      <c r="G602" s="269" t="n"/>
      <c r="H602" s="269" t="n"/>
      <c r="I602" s="269" t="n"/>
      <c r="J602" s="269" t="n"/>
      <c r="K602" s="269" t="n"/>
      <c r="L602" s="269" t="n"/>
      <c r="M602" s="269" t="n"/>
      <c r="N602" s="269" t="n"/>
      <c r="O602" s="269" t="n"/>
      <c r="P602" s="269" t="n"/>
      <c r="Q602" s="269" t="n"/>
      <c r="R602" s="269" t="n"/>
      <c r="S602" s="269" t="n"/>
      <c r="T602" s="269" t="n"/>
      <c r="U602" s="269" t="n"/>
      <c r="V602" s="269" t="n"/>
      <c r="W602" s="270" t="n"/>
    </row>
    <row r="603" customFormat="1" s="163">
      <c r="A603" s="282" t="n"/>
      <c r="B603" s="277" t="n"/>
      <c r="C603" s="278" t="n"/>
      <c r="D603" s="269" t="n"/>
      <c r="E603" s="269" t="n"/>
      <c r="F603" s="269" t="n"/>
      <c r="G603" s="269" t="n"/>
      <c r="H603" s="269" t="n"/>
      <c r="I603" s="269" t="n"/>
      <c r="J603" s="269" t="n"/>
      <c r="K603" s="269" t="n"/>
      <c r="L603" s="269" t="n"/>
      <c r="M603" s="269" t="n"/>
      <c r="N603" s="269" t="n"/>
      <c r="O603" s="269" t="n"/>
      <c r="P603" s="269" t="n"/>
      <c r="Q603" s="269" t="n"/>
      <c r="R603" s="269" t="n"/>
      <c r="S603" s="269" t="n"/>
      <c r="T603" s="269" t="n"/>
      <c r="U603" s="269" t="n"/>
      <c r="V603" s="269" t="n"/>
      <c r="W603" s="270" t="n"/>
    </row>
    <row r="604" customFormat="1" s="163">
      <c r="A604" s="282" t="n"/>
      <c r="B604" s="277" t="n"/>
      <c r="C604" s="278" t="n"/>
      <c r="D604" s="269" t="n"/>
      <c r="E604" s="269" t="n"/>
      <c r="F604" s="269" t="n"/>
      <c r="G604" s="269" t="n"/>
      <c r="H604" s="269" t="n"/>
      <c r="I604" s="269" t="n"/>
      <c r="J604" s="269" t="n"/>
      <c r="K604" s="269" t="n"/>
      <c r="L604" s="269" t="n"/>
      <c r="M604" s="269" t="n"/>
      <c r="N604" s="269" t="n"/>
      <c r="O604" s="269" t="n"/>
      <c r="P604" s="269" t="n"/>
      <c r="Q604" s="269" t="n"/>
      <c r="R604" s="269" t="n"/>
      <c r="S604" s="269" t="n"/>
      <c r="T604" s="269" t="n"/>
      <c r="U604" s="269" t="n"/>
      <c r="V604" s="269" t="n"/>
      <c r="W604" s="270" t="n"/>
    </row>
    <row r="605" customFormat="1" s="163">
      <c r="A605" s="282" t="n"/>
      <c r="B605" s="277" t="n"/>
      <c r="C605" s="278" t="n"/>
      <c r="D605" s="269" t="n"/>
      <c r="E605" s="269" t="n"/>
      <c r="F605" s="269" t="n"/>
      <c r="G605" s="269" t="n"/>
      <c r="H605" s="269" t="n"/>
      <c r="I605" s="269" t="n"/>
      <c r="J605" s="269" t="n"/>
      <c r="K605" s="269" t="n"/>
      <c r="L605" s="269" t="n"/>
      <c r="M605" s="269" t="n"/>
      <c r="N605" s="269" t="n"/>
      <c r="O605" s="269" t="n"/>
      <c r="P605" s="269" t="n"/>
      <c r="Q605" s="269" t="n"/>
      <c r="R605" s="269" t="n"/>
      <c r="S605" s="269" t="n"/>
      <c r="T605" s="269" t="n"/>
      <c r="U605" s="269" t="n"/>
      <c r="V605" s="269" t="n"/>
      <c r="W605" s="270" t="n"/>
    </row>
    <row r="606" customFormat="1" s="163">
      <c r="A606" s="282" t="n"/>
      <c r="B606" s="277" t="n"/>
      <c r="C606" s="278" t="n"/>
      <c r="D606" s="269" t="n"/>
      <c r="E606" s="269" t="n"/>
      <c r="F606" s="269" t="n"/>
      <c r="G606" s="269" t="n"/>
      <c r="H606" s="269" t="n"/>
      <c r="I606" s="269" t="n"/>
      <c r="J606" s="269" t="n"/>
      <c r="K606" s="269" t="n"/>
      <c r="L606" s="269" t="n"/>
      <c r="M606" s="269" t="n"/>
      <c r="N606" s="269" t="n"/>
      <c r="O606" s="269" t="n"/>
      <c r="P606" s="269" t="n"/>
      <c r="Q606" s="269" t="n"/>
      <c r="R606" s="269" t="n"/>
      <c r="S606" s="269" t="n"/>
      <c r="T606" s="269" t="n"/>
      <c r="U606" s="269" t="n"/>
      <c r="V606" s="269" t="n"/>
      <c r="W606" s="270" t="n"/>
    </row>
    <row r="607" customFormat="1" s="163">
      <c r="A607" s="282" t="n"/>
      <c r="B607" s="277" t="n"/>
      <c r="C607" s="278" t="n"/>
      <c r="D607" s="269" t="n"/>
      <c r="E607" s="269" t="n"/>
      <c r="F607" s="269" t="n"/>
      <c r="G607" s="269" t="n"/>
      <c r="H607" s="269" t="n"/>
      <c r="I607" s="269" t="n"/>
      <c r="J607" s="269" t="n"/>
      <c r="K607" s="269" t="n"/>
      <c r="L607" s="269" t="n"/>
      <c r="M607" s="269" t="n"/>
      <c r="N607" s="269" t="n"/>
      <c r="O607" s="269" t="n"/>
      <c r="P607" s="269" t="n"/>
      <c r="Q607" s="269" t="n"/>
      <c r="R607" s="269" t="n"/>
      <c r="S607" s="269" t="n"/>
      <c r="T607" s="269" t="n"/>
      <c r="U607" s="269" t="n"/>
      <c r="V607" s="269" t="n"/>
      <c r="W607" s="270" t="n"/>
    </row>
    <row r="608" customFormat="1" s="163">
      <c r="A608" s="282" t="n"/>
      <c r="B608" s="277" t="n"/>
      <c r="C608" s="278" t="n"/>
      <c r="D608" s="269" t="n"/>
      <c r="E608" s="269" t="n"/>
      <c r="F608" s="269" t="n"/>
      <c r="G608" s="269" t="n"/>
      <c r="H608" s="269" t="n"/>
      <c r="I608" s="269" t="n"/>
      <c r="J608" s="269" t="n"/>
      <c r="K608" s="269" t="n"/>
      <c r="L608" s="269" t="n"/>
      <c r="M608" s="269" t="n"/>
      <c r="N608" s="269" t="n"/>
      <c r="O608" s="269" t="n"/>
      <c r="P608" s="269" t="n"/>
      <c r="Q608" s="269" t="n"/>
      <c r="R608" s="269" t="n"/>
      <c r="S608" s="269" t="n"/>
      <c r="T608" s="269" t="n"/>
      <c r="U608" s="269" t="n"/>
      <c r="V608" s="269" t="n"/>
      <c r="W608" s="270" t="n"/>
    </row>
    <row r="609" customFormat="1" s="163">
      <c r="A609" s="282" t="n"/>
      <c r="B609" s="277" t="n"/>
      <c r="C609" s="278" t="n"/>
      <c r="D609" s="269" t="n"/>
      <c r="E609" s="269" t="n"/>
      <c r="F609" s="269" t="n"/>
      <c r="G609" s="269" t="n"/>
      <c r="H609" s="269" t="n"/>
      <c r="I609" s="269" t="n"/>
      <c r="J609" s="269" t="n"/>
      <c r="K609" s="269" t="n"/>
      <c r="L609" s="269" t="n"/>
      <c r="M609" s="269" t="n"/>
      <c r="N609" s="269" t="n"/>
      <c r="O609" s="269" t="n"/>
      <c r="P609" s="269" t="n"/>
      <c r="Q609" s="269" t="n"/>
      <c r="R609" s="269" t="n"/>
      <c r="S609" s="269" t="n"/>
      <c r="T609" s="269" t="n"/>
      <c r="U609" s="269" t="n"/>
      <c r="V609" s="269" t="n"/>
      <c r="W609" s="270" t="n"/>
    </row>
    <row r="610" customFormat="1" s="163">
      <c r="A610" s="282" t="n"/>
      <c r="B610" s="277" t="n"/>
      <c r="C610" s="278" t="n"/>
      <c r="D610" s="269" t="n"/>
      <c r="E610" s="269" t="n"/>
      <c r="F610" s="269" t="n"/>
      <c r="G610" s="269" t="n"/>
      <c r="H610" s="269" t="n"/>
      <c r="I610" s="269" t="n"/>
      <c r="J610" s="269" t="n"/>
      <c r="K610" s="269" t="n"/>
      <c r="L610" s="269" t="n"/>
      <c r="M610" s="269" t="n"/>
      <c r="N610" s="269" t="n"/>
      <c r="O610" s="269" t="n"/>
      <c r="P610" s="269" t="n"/>
      <c r="Q610" s="269" t="n"/>
      <c r="R610" s="269" t="n"/>
      <c r="S610" s="269" t="n"/>
      <c r="T610" s="269" t="n"/>
      <c r="U610" s="269" t="n"/>
      <c r="V610" s="269" t="n"/>
      <c r="W610" s="270" t="n"/>
    </row>
    <row r="611" customFormat="1" s="163">
      <c r="A611" s="282" t="n"/>
      <c r="B611" s="277" t="n"/>
      <c r="C611" s="278" t="n"/>
      <c r="D611" s="269" t="n"/>
      <c r="E611" s="269" t="n"/>
      <c r="F611" s="269" t="n"/>
      <c r="G611" s="269" t="n"/>
      <c r="H611" s="269" t="n"/>
      <c r="I611" s="269" t="n"/>
      <c r="J611" s="269" t="n"/>
      <c r="K611" s="269" t="n"/>
      <c r="L611" s="269" t="n"/>
      <c r="M611" s="269" t="n"/>
      <c r="N611" s="269" t="n"/>
      <c r="O611" s="269" t="n"/>
      <c r="P611" s="269" t="n"/>
      <c r="Q611" s="269" t="n"/>
      <c r="R611" s="269" t="n"/>
      <c r="S611" s="269" t="n"/>
      <c r="T611" s="269" t="n"/>
      <c r="U611" s="269" t="n"/>
      <c r="V611" s="269" t="n"/>
      <c r="W611" s="270" t="n"/>
    </row>
    <row r="612" customFormat="1" s="163">
      <c r="A612" s="282" t="n"/>
      <c r="B612" s="277" t="n"/>
      <c r="C612" s="278" t="n"/>
      <c r="D612" s="269" t="n"/>
      <c r="E612" s="269" t="n"/>
      <c r="F612" s="269" t="n"/>
      <c r="G612" s="269" t="n"/>
      <c r="H612" s="269" t="n"/>
      <c r="I612" s="269" t="n"/>
      <c r="J612" s="269" t="n"/>
      <c r="K612" s="269" t="n"/>
      <c r="L612" s="269" t="n"/>
      <c r="M612" s="269" t="n"/>
      <c r="N612" s="269" t="n"/>
      <c r="O612" s="269" t="n"/>
      <c r="P612" s="269" t="n"/>
      <c r="Q612" s="269" t="n"/>
      <c r="R612" s="269" t="n"/>
      <c r="S612" s="269" t="n"/>
      <c r="T612" s="269" t="n"/>
      <c r="U612" s="269" t="n"/>
      <c r="V612" s="269" t="n"/>
      <c r="W612" s="270" t="n"/>
    </row>
    <row r="613" customFormat="1" s="163">
      <c r="A613" s="282" t="n"/>
      <c r="B613" s="277" t="n"/>
      <c r="C613" s="278" t="n"/>
      <c r="D613" s="269" t="n"/>
      <c r="E613" s="269" t="n"/>
      <c r="F613" s="269" t="n"/>
      <c r="G613" s="269" t="n"/>
      <c r="H613" s="269" t="n"/>
      <c r="I613" s="269" t="n"/>
      <c r="J613" s="269" t="n"/>
      <c r="K613" s="269" t="n"/>
      <c r="L613" s="269" t="n"/>
      <c r="M613" s="269" t="n"/>
      <c r="N613" s="269" t="n"/>
      <c r="O613" s="269" t="n"/>
      <c r="P613" s="269" t="n"/>
      <c r="Q613" s="269" t="n"/>
      <c r="R613" s="269" t="n"/>
      <c r="S613" s="269" t="n"/>
      <c r="T613" s="269" t="n"/>
      <c r="U613" s="269" t="n"/>
      <c r="V613" s="269" t="n"/>
      <c r="W613" s="270" t="n"/>
    </row>
    <row r="614" customFormat="1" s="163">
      <c r="A614" s="282" t="n"/>
      <c r="B614" s="277" t="n"/>
      <c r="C614" s="278" t="n"/>
      <c r="D614" s="269" t="n"/>
      <c r="E614" s="269" t="n"/>
      <c r="F614" s="269" t="n"/>
      <c r="G614" s="269" t="n"/>
      <c r="H614" s="269" t="n"/>
      <c r="I614" s="269" t="n"/>
      <c r="J614" s="269" t="n"/>
      <c r="K614" s="269" t="n"/>
      <c r="L614" s="269" t="n"/>
      <c r="M614" s="269" t="n"/>
      <c r="N614" s="269" t="n"/>
      <c r="O614" s="269" t="n"/>
      <c r="P614" s="269" t="n"/>
      <c r="Q614" s="269" t="n"/>
      <c r="R614" s="269" t="n"/>
      <c r="S614" s="269" t="n"/>
      <c r="T614" s="269" t="n"/>
      <c r="U614" s="269" t="n"/>
      <c r="V614" s="269" t="n"/>
      <c r="W614" s="270" t="n"/>
    </row>
    <row r="615" customFormat="1" s="163">
      <c r="A615" s="282" t="n"/>
      <c r="B615" s="277" t="n"/>
      <c r="C615" s="278" t="n"/>
      <c r="D615" s="269" t="n"/>
      <c r="E615" s="269" t="n"/>
      <c r="F615" s="269" t="n"/>
      <c r="G615" s="269" t="n"/>
      <c r="H615" s="269" t="n"/>
      <c r="I615" s="269" t="n"/>
      <c r="J615" s="269" t="n"/>
      <c r="K615" s="269" t="n"/>
      <c r="L615" s="269" t="n"/>
      <c r="M615" s="269" t="n"/>
      <c r="N615" s="269" t="n"/>
      <c r="O615" s="269" t="n"/>
      <c r="P615" s="269" t="n"/>
      <c r="Q615" s="269" t="n"/>
      <c r="R615" s="269" t="n"/>
      <c r="S615" s="269" t="n"/>
      <c r="T615" s="269" t="n"/>
      <c r="U615" s="269" t="n"/>
      <c r="V615" s="269" t="n"/>
      <c r="W615" s="270" t="n"/>
    </row>
    <row r="616" customFormat="1" s="163">
      <c r="A616" s="282" t="n"/>
      <c r="B616" s="277" t="n"/>
      <c r="C616" s="278" t="n"/>
      <c r="D616" s="269" t="n"/>
      <c r="E616" s="269" t="n"/>
      <c r="F616" s="269" t="n"/>
      <c r="G616" s="269" t="n"/>
      <c r="H616" s="269" t="n"/>
      <c r="I616" s="269" t="n"/>
      <c r="J616" s="269" t="n"/>
      <c r="K616" s="269" t="n"/>
      <c r="L616" s="269" t="n"/>
      <c r="M616" s="269" t="n"/>
      <c r="N616" s="269" t="n"/>
      <c r="O616" s="269" t="n"/>
      <c r="P616" s="269" t="n"/>
      <c r="Q616" s="269" t="n"/>
      <c r="R616" s="269" t="n"/>
      <c r="S616" s="269" t="n"/>
      <c r="T616" s="269" t="n"/>
      <c r="U616" s="269" t="n"/>
      <c r="V616" s="269" t="n"/>
      <c r="W616" s="270" t="n"/>
    </row>
    <row r="617" customFormat="1" s="163">
      <c r="A617" s="282" t="n"/>
      <c r="B617" s="277" t="n"/>
      <c r="C617" s="278" t="n"/>
      <c r="D617" s="269" t="n"/>
      <c r="E617" s="269" t="n"/>
      <c r="F617" s="269" t="n"/>
      <c r="G617" s="269" t="n"/>
      <c r="H617" s="269" t="n"/>
      <c r="I617" s="269" t="n"/>
      <c r="J617" s="269" t="n"/>
      <c r="K617" s="269" t="n"/>
      <c r="L617" s="269" t="n"/>
      <c r="M617" s="269" t="n"/>
      <c r="N617" s="269" t="n"/>
      <c r="O617" s="269" t="n"/>
      <c r="P617" s="269" t="n"/>
      <c r="Q617" s="269" t="n"/>
      <c r="R617" s="269" t="n"/>
      <c r="S617" s="269" t="n"/>
      <c r="T617" s="269" t="n"/>
      <c r="U617" s="269" t="n"/>
      <c r="V617" s="269" t="n"/>
      <c r="W617" s="270" t="n"/>
    </row>
    <row r="618" customFormat="1" s="163">
      <c r="A618" s="282" t="n"/>
      <c r="B618" s="277" t="n"/>
      <c r="C618" s="278" t="n"/>
      <c r="D618" s="269" t="n"/>
      <c r="E618" s="269" t="n"/>
      <c r="F618" s="269" t="n"/>
      <c r="G618" s="269" t="n"/>
      <c r="H618" s="269" t="n"/>
      <c r="I618" s="269" t="n"/>
      <c r="J618" s="269" t="n"/>
      <c r="K618" s="269" t="n"/>
      <c r="L618" s="269" t="n"/>
      <c r="M618" s="269" t="n"/>
      <c r="N618" s="269" t="n"/>
      <c r="O618" s="269" t="n"/>
      <c r="P618" s="269" t="n"/>
      <c r="Q618" s="269" t="n"/>
      <c r="R618" s="269" t="n"/>
      <c r="S618" s="269" t="n"/>
      <c r="T618" s="269" t="n"/>
      <c r="U618" s="269" t="n"/>
      <c r="V618" s="269" t="n"/>
      <c r="W618" s="270" t="n"/>
    </row>
    <row r="619" customFormat="1" s="163">
      <c r="A619" s="282" t="n"/>
      <c r="B619" s="277" t="n"/>
      <c r="C619" s="278" t="n"/>
      <c r="D619" s="269" t="n"/>
      <c r="E619" s="269" t="n"/>
      <c r="F619" s="269" t="n"/>
      <c r="G619" s="269" t="n"/>
      <c r="H619" s="269" t="n"/>
      <c r="I619" s="269" t="n"/>
      <c r="J619" s="269" t="n"/>
      <c r="K619" s="269" t="n"/>
      <c r="L619" s="269" t="n"/>
      <c r="M619" s="269" t="n"/>
      <c r="N619" s="269" t="n"/>
      <c r="O619" s="269" t="n"/>
      <c r="P619" s="269" t="n"/>
      <c r="Q619" s="269" t="n"/>
      <c r="R619" s="269" t="n"/>
      <c r="S619" s="269" t="n"/>
      <c r="T619" s="269" t="n"/>
      <c r="U619" s="269" t="n"/>
      <c r="V619" s="269" t="n"/>
      <c r="W619" s="270" t="n"/>
    </row>
    <row r="620" customFormat="1" s="163">
      <c r="A620" s="282" t="n"/>
      <c r="B620" s="277" t="n"/>
      <c r="C620" s="278" t="n"/>
      <c r="D620" s="269" t="n"/>
      <c r="E620" s="269" t="n"/>
      <c r="F620" s="269" t="n"/>
      <c r="G620" s="269" t="n"/>
      <c r="H620" s="269" t="n"/>
      <c r="I620" s="269" t="n"/>
      <c r="J620" s="269" t="n"/>
      <c r="K620" s="269" t="n"/>
      <c r="L620" s="269" t="n"/>
      <c r="M620" s="269" t="n"/>
      <c r="N620" s="269" t="n"/>
      <c r="O620" s="269" t="n"/>
      <c r="P620" s="269" t="n"/>
      <c r="Q620" s="269" t="n"/>
      <c r="R620" s="269" t="n"/>
      <c r="S620" s="269" t="n"/>
      <c r="T620" s="269" t="n"/>
      <c r="U620" s="269" t="n"/>
      <c r="V620" s="269" t="n"/>
      <c r="W620" s="270" t="n"/>
    </row>
    <row r="621" customFormat="1" s="163">
      <c r="A621" s="282" t="n"/>
      <c r="B621" s="277" t="n"/>
      <c r="C621" s="278" t="n"/>
      <c r="D621" s="269" t="n"/>
      <c r="E621" s="269" t="n"/>
      <c r="F621" s="269" t="n"/>
      <c r="G621" s="269" t="n"/>
      <c r="H621" s="269" t="n"/>
      <c r="I621" s="269" t="n"/>
      <c r="J621" s="269" t="n"/>
      <c r="K621" s="269" t="n"/>
      <c r="L621" s="269" t="n"/>
      <c r="M621" s="269" t="n"/>
      <c r="N621" s="269" t="n"/>
      <c r="O621" s="269" t="n"/>
      <c r="P621" s="269" t="n"/>
      <c r="Q621" s="269" t="n"/>
      <c r="R621" s="269" t="n"/>
      <c r="S621" s="269" t="n"/>
      <c r="T621" s="269" t="n"/>
      <c r="U621" s="269" t="n"/>
      <c r="V621" s="269" t="n"/>
      <c r="W621" s="270" t="n"/>
    </row>
    <row r="622" customFormat="1" s="163">
      <c r="A622" s="282" t="n"/>
      <c r="B622" s="277" t="n"/>
      <c r="C622" s="278" t="n"/>
      <c r="D622" s="269" t="n"/>
      <c r="E622" s="269" t="n"/>
      <c r="F622" s="269" t="n"/>
      <c r="G622" s="269" t="n"/>
      <c r="H622" s="269" t="n"/>
      <c r="I622" s="269" t="n"/>
      <c r="J622" s="269" t="n"/>
      <c r="K622" s="269" t="n"/>
      <c r="L622" s="269" t="n"/>
      <c r="M622" s="269" t="n"/>
      <c r="N622" s="269" t="n"/>
      <c r="O622" s="269" t="n"/>
      <c r="P622" s="269" t="n"/>
      <c r="Q622" s="269" t="n"/>
      <c r="R622" s="269" t="n"/>
      <c r="S622" s="269" t="n"/>
      <c r="T622" s="269" t="n"/>
      <c r="U622" s="269" t="n"/>
      <c r="V622" s="269" t="n"/>
      <c r="W622" s="270" t="n"/>
    </row>
    <row r="623" customFormat="1" s="163">
      <c r="A623" s="282" t="n"/>
      <c r="B623" s="277" t="n"/>
      <c r="C623" s="278" t="n"/>
      <c r="D623" s="269" t="n"/>
      <c r="E623" s="269" t="n"/>
      <c r="F623" s="269" t="n"/>
      <c r="G623" s="269" t="n"/>
      <c r="H623" s="269" t="n"/>
      <c r="I623" s="269" t="n"/>
      <c r="J623" s="269" t="n"/>
      <c r="K623" s="269" t="n"/>
      <c r="L623" s="269" t="n"/>
      <c r="M623" s="269" t="n"/>
      <c r="N623" s="269" t="n"/>
      <c r="O623" s="269" t="n"/>
      <c r="P623" s="269" t="n"/>
      <c r="Q623" s="269" t="n"/>
      <c r="R623" s="269" t="n"/>
      <c r="S623" s="269" t="n"/>
      <c r="T623" s="269" t="n"/>
      <c r="U623" s="269" t="n"/>
      <c r="V623" s="269" t="n"/>
      <c r="W623" s="270" t="n"/>
    </row>
    <row r="624" customFormat="1" s="163">
      <c r="A624" s="282" t="n"/>
      <c r="B624" s="277" t="n"/>
      <c r="C624" s="278" t="n"/>
      <c r="D624" s="269" t="n"/>
      <c r="E624" s="269" t="n"/>
      <c r="F624" s="269" t="n"/>
      <c r="G624" s="269" t="n"/>
      <c r="H624" s="269" t="n"/>
      <c r="I624" s="269" t="n"/>
      <c r="J624" s="269" t="n"/>
      <c r="K624" s="269" t="n"/>
      <c r="L624" s="269" t="n"/>
      <c r="M624" s="269" t="n"/>
      <c r="N624" s="269" t="n"/>
      <c r="O624" s="269" t="n"/>
      <c r="P624" s="269" t="n"/>
      <c r="Q624" s="269" t="n"/>
      <c r="R624" s="269" t="n"/>
      <c r="S624" s="269" t="n"/>
      <c r="T624" s="269" t="n"/>
      <c r="U624" s="269" t="n"/>
      <c r="V624" s="269" t="n"/>
      <c r="W624" s="270" t="n"/>
    </row>
    <row r="625" customFormat="1" s="163">
      <c r="A625" s="282" t="n"/>
      <c r="B625" s="277" t="n"/>
      <c r="C625" s="278" t="n"/>
      <c r="D625" s="269" t="n"/>
      <c r="E625" s="269" t="n"/>
      <c r="F625" s="269" t="n"/>
      <c r="G625" s="269" t="n"/>
      <c r="H625" s="269" t="n"/>
      <c r="I625" s="269" t="n"/>
      <c r="J625" s="269" t="n"/>
      <c r="K625" s="269" t="n"/>
      <c r="L625" s="269" t="n"/>
      <c r="M625" s="269" t="n"/>
      <c r="N625" s="269" t="n"/>
      <c r="O625" s="269" t="n"/>
      <c r="P625" s="269" t="n"/>
      <c r="Q625" s="269" t="n"/>
      <c r="R625" s="269" t="n"/>
      <c r="S625" s="269" t="n"/>
      <c r="T625" s="269" t="n"/>
      <c r="U625" s="269" t="n"/>
      <c r="V625" s="269" t="n"/>
      <c r="W625" s="270" t="n"/>
    </row>
    <row r="626" customFormat="1" s="163">
      <c r="A626" s="282" t="n"/>
      <c r="B626" s="277" t="n"/>
      <c r="C626" s="278" t="n"/>
      <c r="D626" s="269" t="n"/>
      <c r="E626" s="269" t="n"/>
      <c r="F626" s="269" t="n"/>
      <c r="G626" s="269" t="n"/>
      <c r="H626" s="269" t="n"/>
      <c r="I626" s="269" t="n"/>
      <c r="J626" s="269" t="n"/>
      <c r="K626" s="269" t="n"/>
      <c r="L626" s="269" t="n"/>
      <c r="M626" s="269" t="n"/>
      <c r="N626" s="269" t="n"/>
      <c r="O626" s="269" t="n"/>
      <c r="P626" s="269" t="n"/>
      <c r="Q626" s="269" t="n"/>
      <c r="R626" s="269" t="n"/>
      <c r="S626" s="269" t="n"/>
      <c r="T626" s="269" t="n"/>
      <c r="U626" s="269" t="n"/>
      <c r="V626" s="269" t="n"/>
      <c r="W626" s="270" t="n"/>
    </row>
    <row r="627" customFormat="1" s="163">
      <c r="A627" s="282" t="n"/>
      <c r="B627" s="277" t="n"/>
      <c r="C627" s="278" t="n"/>
      <c r="D627" s="269" t="n"/>
      <c r="E627" s="269" t="n"/>
      <c r="F627" s="269" t="n"/>
      <c r="G627" s="269" t="n"/>
      <c r="H627" s="269" t="n"/>
      <c r="I627" s="269" t="n"/>
      <c r="J627" s="269" t="n"/>
      <c r="K627" s="269" t="n"/>
      <c r="L627" s="269" t="n"/>
      <c r="M627" s="269" t="n"/>
      <c r="N627" s="269" t="n"/>
      <c r="O627" s="269" t="n"/>
      <c r="P627" s="269" t="n"/>
      <c r="Q627" s="269" t="n"/>
      <c r="R627" s="269" t="n"/>
      <c r="S627" s="269" t="n"/>
      <c r="T627" s="269" t="n"/>
      <c r="U627" s="269" t="n"/>
      <c r="V627" s="269" t="n"/>
      <c r="W627" s="270" t="n"/>
    </row>
    <row r="628" customFormat="1" s="163">
      <c r="A628" s="282" t="n"/>
      <c r="B628" s="277" t="n"/>
      <c r="C628" s="278" t="n"/>
      <c r="D628" s="269" t="n"/>
      <c r="E628" s="269" t="n"/>
      <c r="F628" s="269" t="n"/>
      <c r="G628" s="269" t="n"/>
      <c r="H628" s="269" t="n"/>
      <c r="I628" s="269" t="n"/>
      <c r="J628" s="269" t="n"/>
      <c r="K628" s="269" t="n"/>
      <c r="L628" s="269" t="n"/>
      <c r="M628" s="269" t="n"/>
      <c r="N628" s="269" t="n"/>
      <c r="O628" s="269" t="n"/>
      <c r="P628" s="269" t="n"/>
      <c r="Q628" s="269" t="n"/>
      <c r="R628" s="269" t="n"/>
      <c r="S628" s="269" t="n"/>
      <c r="T628" s="269" t="n"/>
      <c r="U628" s="269" t="n"/>
      <c r="V628" s="269" t="n"/>
      <c r="W628" s="270" t="n"/>
    </row>
    <row r="629" customFormat="1" s="163">
      <c r="A629" s="282" t="n"/>
      <c r="B629" s="277" t="n"/>
      <c r="C629" s="278" t="n"/>
      <c r="D629" s="269" t="n"/>
      <c r="E629" s="269" t="n"/>
      <c r="F629" s="269" t="n"/>
      <c r="G629" s="269" t="n"/>
      <c r="H629" s="269" t="n"/>
      <c r="I629" s="269" t="n"/>
      <c r="J629" s="269" t="n"/>
      <c r="K629" s="269" t="n"/>
      <c r="L629" s="269" t="n"/>
      <c r="M629" s="269" t="n"/>
      <c r="N629" s="269" t="n"/>
      <c r="O629" s="269" t="n"/>
      <c r="P629" s="269" t="n"/>
      <c r="Q629" s="269" t="n"/>
      <c r="R629" s="269" t="n"/>
      <c r="S629" s="269" t="n"/>
      <c r="T629" s="269" t="n"/>
      <c r="U629" s="269" t="n"/>
      <c r="V629" s="269" t="n"/>
      <c r="W629" s="270" t="n"/>
    </row>
    <row r="630" customFormat="1" s="163">
      <c r="A630" s="282" t="n"/>
      <c r="B630" s="277" t="n"/>
      <c r="C630" s="278" t="n"/>
      <c r="D630" s="269" t="n"/>
      <c r="E630" s="269" t="n"/>
      <c r="F630" s="269" t="n"/>
      <c r="G630" s="269" t="n"/>
      <c r="H630" s="269" t="n"/>
      <c r="I630" s="269" t="n"/>
      <c r="J630" s="269" t="n"/>
      <c r="K630" s="269" t="n"/>
      <c r="L630" s="269" t="n"/>
      <c r="M630" s="269" t="n"/>
      <c r="N630" s="269" t="n"/>
      <c r="O630" s="269" t="n"/>
      <c r="P630" s="269" t="n"/>
      <c r="Q630" s="269" t="n"/>
      <c r="R630" s="269" t="n"/>
      <c r="S630" s="269" t="n"/>
      <c r="T630" s="269" t="n"/>
      <c r="U630" s="269" t="n"/>
      <c r="V630" s="269" t="n"/>
      <c r="W630" s="270" t="n"/>
    </row>
    <row r="631" customFormat="1" s="163">
      <c r="A631" s="282" t="n"/>
      <c r="B631" s="277" t="n"/>
      <c r="C631" s="278" t="n"/>
      <c r="D631" s="269" t="n"/>
      <c r="E631" s="269" t="n"/>
      <c r="F631" s="269" t="n"/>
      <c r="G631" s="269" t="n"/>
      <c r="H631" s="269" t="n"/>
      <c r="I631" s="269" t="n"/>
      <c r="J631" s="269" t="n"/>
      <c r="K631" s="269" t="n"/>
      <c r="L631" s="269" t="n"/>
      <c r="M631" s="269" t="n"/>
      <c r="N631" s="269" t="n"/>
      <c r="O631" s="269" t="n"/>
      <c r="P631" s="269" t="n"/>
      <c r="Q631" s="269" t="n"/>
      <c r="R631" s="269" t="n"/>
      <c r="S631" s="269" t="n"/>
      <c r="T631" s="269" t="n"/>
      <c r="U631" s="269" t="n"/>
      <c r="V631" s="269" t="n"/>
      <c r="W631" s="270" t="n"/>
    </row>
    <row r="632" customFormat="1" s="163">
      <c r="A632" s="282" t="n"/>
      <c r="B632" s="277" t="n"/>
      <c r="C632" s="278" t="n"/>
      <c r="D632" s="269" t="n"/>
      <c r="E632" s="269" t="n"/>
      <c r="F632" s="269" t="n"/>
      <c r="G632" s="269" t="n"/>
      <c r="H632" s="269" t="n"/>
      <c r="I632" s="269" t="n"/>
      <c r="J632" s="269" t="n"/>
      <c r="K632" s="269" t="n"/>
      <c r="L632" s="269" t="n"/>
      <c r="M632" s="269" t="n"/>
      <c r="N632" s="269" t="n"/>
      <c r="O632" s="269" t="n"/>
      <c r="P632" s="269" t="n"/>
      <c r="Q632" s="269" t="n"/>
      <c r="R632" s="269" t="n"/>
      <c r="S632" s="269" t="n"/>
      <c r="T632" s="269" t="n"/>
      <c r="U632" s="269" t="n"/>
      <c r="V632" s="269" t="n"/>
      <c r="W632" s="270" t="n"/>
    </row>
    <row r="633" customFormat="1" s="163">
      <c r="A633" s="282" t="n"/>
      <c r="B633" s="277" t="n"/>
      <c r="C633" s="278" t="n"/>
      <c r="D633" s="269" t="n"/>
      <c r="E633" s="269" t="n"/>
      <c r="F633" s="269" t="n"/>
      <c r="G633" s="269" t="n"/>
      <c r="H633" s="269" t="n"/>
      <c r="I633" s="269" t="n"/>
      <c r="J633" s="269" t="n"/>
      <c r="K633" s="269" t="n"/>
      <c r="L633" s="269" t="n"/>
      <c r="M633" s="269" t="n"/>
      <c r="N633" s="269" t="n"/>
      <c r="O633" s="269" t="n"/>
      <c r="P633" s="269" t="n"/>
      <c r="Q633" s="269" t="n"/>
      <c r="R633" s="269" t="n"/>
      <c r="S633" s="269" t="n"/>
      <c r="T633" s="269" t="n"/>
      <c r="U633" s="269" t="n"/>
      <c r="V633" s="269" t="n"/>
      <c r="W633" s="270" t="n"/>
    </row>
    <row r="634" customFormat="1" s="163">
      <c r="A634" s="282" t="n"/>
      <c r="B634" s="277" t="n"/>
      <c r="C634" s="278" t="n"/>
      <c r="D634" s="269" t="n"/>
      <c r="E634" s="269" t="n"/>
      <c r="F634" s="269" t="n"/>
      <c r="G634" s="269" t="n"/>
      <c r="H634" s="269" t="n"/>
      <c r="I634" s="269" t="n"/>
      <c r="J634" s="269" t="n"/>
      <c r="K634" s="269" t="n"/>
      <c r="L634" s="269" t="n"/>
      <c r="M634" s="269" t="n"/>
      <c r="N634" s="269" t="n"/>
      <c r="O634" s="269" t="n"/>
      <c r="P634" s="269" t="n"/>
      <c r="Q634" s="269" t="n"/>
      <c r="R634" s="269" t="n"/>
      <c r="S634" s="269" t="n"/>
      <c r="T634" s="269" t="n"/>
      <c r="U634" s="269" t="n"/>
      <c r="V634" s="269" t="n"/>
      <c r="W634" s="270" t="n"/>
    </row>
    <row r="635" customFormat="1" s="163">
      <c r="A635" s="282" t="n"/>
      <c r="B635" s="277" t="n"/>
      <c r="C635" s="278" t="n"/>
      <c r="D635" s="269" t="n"/>
      <c r="E635" s="269" t="n"/>
      <c r="F635" s="269" t="n"/>
      <c r="G635" s="269" t="n"/>
      <c r="H635" s="269" t="n"/>
      <c r="I635" s="269" t="n"/>
      <c r="J635" s="269" t="n"/>
      <c r="K635" s="269" t="n"/>
      <c r="L635" s="269" t="n"/>
      <c r="M635" s="269" t="n"/>
      <c r="N635" s="269" t="n"/>
      <c r="O635" s="269" t="n"/>
      <c r="P635" s="269" t="n"/>
      <c r="Q635" s="269" t="n"/>
      <c r="R635" s="269" t="n"/>
      <c r="S635" s="269" t="n"/>
      <c r="T635" s="269" t="n"/>
      <c r="U635" s="269" t="n"/>
      <c r="V635" s="269" t="n"/>
      <c r="W635" s="270" t="n"/>
    </row>
    <row r="636" customFormat="1" s="163">
      <c r="A636" s="282" t="n"/>
      <c r="B636" s="277" t="n"/>
      <c r="C636" s="278" t="n"/>
      <c r="D636" s="269" t="n"/>
      <c r="E636" s="269" t="n"/>
      <c r="F636" s="269" t="n"/>
      <c r="G636" s="269" t="n"/>
      <c r="H636" s="269" t="n"/>
      <c r="I636" s="269" t="n"/>
      <c r="J636" s="269" t="n"/>
      <c r="K636" s="269" t="n"/>
      <c r="L636" s="269" t="n"/>
      <c r="M636" s="269" t="n"/>
      <c r="N636" s="269" t="n"/>
      <c r="O636" s="269" t="n"/>
      <c r="P636" s="269" t="n"/>
      <c r="Q636" s="269" t="n"/>
      <c r="R636" s="269" t="n"/>
      <c r="S636" s="269" t="n"/>
      <c r="T636" s="269" t="n"/>
      <c r="U636" s="269" t="n"/>
      <c r="V636" s="269" t="n"/>
      <c r="W636" s="270" t="n"/>
    </row>
    <row r="637" customFormat="1" s="163">
      <c r="A637" s="282" t="n"/>
      <c r="B637" s="277" t="n"/>
      <c r="C637" s="278" t="n"/>
      <c r="D637" s="269" t="n"/>
      <c r="E637" s="269" t="n"/>
      <c r="F637" s="269" t="n"/>
      <c r="G637" s="269" t="n"/>
      <c r="H637" s="269" t="n"/>
      <c r="I637" s="269" t="n"/>
      <c r="J637" s="269" t="n"/>
      <c r="K637" s="269" t="n"/>
      <c r="L637" s="269" t="n"/>
      <c r="M637" s="269" t="n"/>
      <c r="N637" s="269" t="n"/>
      <c r="O637" s="269" t="n"/>
      <c r="P637" s="269" t="n"/>
      <c r="Q637" s="269" t="n"/>
      <c r="R637" s="269" t="n"/>
      <c r="S637" s="269" t="n"/>
      <c r="T637" s="269" t="n"/>
      <c r="U637" s="269" t="n"/>
      <c r="V637" s="269" t="n"/>
      <c r="W637" s="270" t="n"/>
    </row>
    <row r="638" customFormat="1" s="163">
      <c r="A638" s="282" t="n"/>
      <c r="B638" s="277" t="n"/>
      <c r="C638" s="278" t="n"/>
      <c r="D638" s="269" t="n"/>
      <c r="E638" s="269" t="n"/>
      <c r="F638" s="269" t="n"/>
      <c r="G638" s="269" t="n"/>
      <c r="H638" s="269" t="n"/>
      <c r="I638" s="269" t="n"/>
      <c r="J638" s="269" t="n"/>
      <c r="K638" s="269" t="n"/>
      <c r="L638" s="269" t="n"/>
      <c r="M638" s="269" t="n"/>
      <c r="N638" s="269" t="n"/>
      <c r="O638" s="269" t="n"/>
      <c r="P638" s="269" t="n"/>
      <c r="Q638" s="269" t="n"/>
      <c r="R638" s="269" t="n"/>
      <c r="S638" s="269" t="n"/>
      <c r="T638" s="269" t="n"/>
      <c r="U638" s="269" t="n"/>
      <c r="V638" s="269" t="n"/>
      <c r="W638" s="270" t="n"/>
    </row>
    <row r="639" customFormat="1" s="163">
      <c r="A639" s="282" t="n"/>
      <c r="B639" s="277" t="n"/>
      <c r="C639" s="278" t="n"/>
      <c r="D639" s="269" t="n"/>
      <c r="E639" s="269" t="n"/>
      <c r="F639" s="269" t="n"/>
      <c r="G639" s="269" t="n"/>
      <c r="H639" s="269" t="n"/>
      <c r="I639" s="269" t="n"/>
      <c r="J639" s="269" t="n"/>
      <c r="K639" s="269" t="n"/>
      <c r="L639" s="269" t="n"/>
      <c r="M639" s="269" t="n"/>
      <c r="N639" s="269" t="n"/>
      <c r="O639" s="269" t="n"/>
      <c r="P639" s="269" t="n"/>
      <c r="Q639" s="269" t="n"/>
      <c r="R639" s="269" t="n"/>
      <c r="S639" s="269" t="n"/>
      <c r="T639" s="269" t="n"/>
      <c r="U639" s="269" t="n"/>
      <c r="V639" s="269" t="n"/>
      <c r="W639" s="270" t="n"/>
    </row>
    <row r="640" customFormat="1" s="163">
      <c r="A640" s="282" t="n"/>
      <c r="B640" s="277" t="n"/>
      <c r="C640" s="278" t="n"/>
      <c r="D640" s="269" t="n"/>
      <c r="E640" s="269" t="n"/>
      <c r="F640" s="269" t="n"/>
      <c r="G640" s="269" t="n"/>
      <c r="H640" s="269" t="n"/>
      <c r="I640" s="269" t="n"/>
      <c r="J640" s="269" t="n"/>
      <c r="K640" s="269" t="n"/>
      <c r="L640" s="269" t="n"/>
      <c r="M640" s="269" t="n"/>
      <c r="N640" s="269" t="n"/>
      <c r="O640" s="269" t="n"/>
      <c r="P640" s="269" t="n"/>
      <c r="Q640" s="269" t="n"/>
      <c r="R640" s="269" t="n"/>
      <c r="S640" s="269" t="n"/>
      <c r="T640" s="269" t="n"/>
      <c r="U640" s="269" t="n"/>
      <c r="V640" s="269" t="n"/>
      <c r="W640" s="270" t="n"/>
    </row>
    <row r="641" customFormat="1" s="163">
      <c r="A641" s="282" t="n"/>
      <c r="B641" s="277" t="n"/>
      <c r="C641" s="278" t="n"/>
      <c r="D641" s="269" t="n"/>
      <c r="E641" s="269" t="n"/>
      <c r="F641" s="269" t="n"/>
      <c r="G641" s="269" t="n"/>
      <c r="H641" s="269" t="n"/>
      <c r="I641" s="269" t="n"/>
      <c r="J641" s="269" t="n"/>
      <c r="K641" s="269" t="n"/>
      <c r="L641" s="269" t="n"/>
      <c r="M641" s="269" t="n"/>
      <c r="N641" s="269" t="n"/>
      <c r="O641" s="269" t="n"/>
      <c r="P641" s="269" t="n"/>
      <c r="Q641" s="269" t="n"/>
      <c r="R641" s="269" t="n"/>
      <c r="S641" s="269" t="n"/>
      <c r="T641" s="269" t="n"/>
      <c r="U641" s="269" t="n"/>
      <c r="V641" s="269" t="n"/>
      <c r="W641" s="270" t="n"/>
    </row>
    <row r="642" customFormat="1" s="163">
      <c r="A642" s="282" t="n"/>
      <c r="B642" s="277" t="n"/>
      <c r="C642" s="278" t="n"/>
      <c r="D642" s="269" t="n"/>
      <c r="E642" s="269" t="n"/>
      <c r="F642" s="269" t="n"/>
      <c r="G642" s="269" t="n"/>
      <c r="H642" s="269" t="n"/>
      <c r="I642" s="269" t="n"/>
      <c r="J642" s="269" t="n"/>
      <c r="K642" s="269" t="n"/>
      <c r="L642" s="269" t="n"/>
      <c r="M642" s="269" t="n"/>
      <c r="N642" s="269" t="n"/>
      <c r="O642" s="269" t="n"/>
      <c r="P642" s="269" t="n"/>
      <c r="Q642" s="269" t="n"/>
      <c r="R642" s="269" t="n"/>
      <c r="S642" s="269" t="n"/>
      <c r="T642" s="269" t="n"/>
      <c r="U642" s="269" t="n"/>
      <c r="V642" s="269" t="n"/>
      <c r="W642" s="270" t="n"/>
    </row>
    <row r="643" customFormat="1" s="163">
      <c r="A643" s="282" t="n"/>
      <c r="B643" s="277" t="n"/>
      <c r="C643" s="278" t="n"/>
      <c r="D643" s="269" t="n"/>
      <c r="E643" s="269" t="n"/>
      <c r="F643" s="269" t="n"/>
      <c r="G643" s="269" t="n"/>
      <c r="H643" s="269" t="n"/>
      <c r="I643" s="269" t="n"/>
      <c r="J643" s="269" t="n"/>
      <c r="K643" s="269" t="n"/>
      <c r="L643" s="269" t="n"/>
      <c r="M643" s="269" t="n"/>
      <c r="N643" s="269" t="n"/>
      <c r="O643" s="269" t="n"/>
      <c r="P643" s="269" t="n"/>
      <c r="Q643" s="269" t="n"/>
      <c r="R643" s="269" t="n"/>
      <c r="S643" s="269" t="n"/>
      <c r="T643" s="269" t="n"/>
      <c r="U643" s="269" t="n"/>
      <c r="V643" s="269" t="n"/>
      <c r="W643" s="270" t="n"/>
    </row>
    <row r="644" customFormat="1" s="163">
      <c r="A644" s="282" t="n"/>
      <c r="B644" s="277" t="n"/>
      <c r="C644" s="278" t="n"/>
      <c r="D644" s="269" t="n"/>
      <c r="E644" s="269" t="n"/>
      <c r="F644" s="269" t="n"/>
      <c r="G644" s="269" t="n"/>
      <c r="H644" s="269" t="n"/>
      <c r="I644" s="269" t="n"/>
      <c r="J644" s="269" t="n"/>
      <c r="K644" s="269" t="n"/>
      <c r="L644" s="269" t="n"/>
      <c r="M644" s="269" t="n"/>
      <c r="N644" s="269" t="n"/>
      <c r="O644" s="269" t="n"/>
      <c r="P644" s="269" t="n"/>
      <c r="Q644" s="269" t="n"/>
      <c r="R644" s="269" t="n"/>
      <c r="S644" s="269" t="n"/>
      <c r="T644" s="269" t="n"/>
      <c r="U644" s="269" t="n"/>
      <c r="V644" s="269" t="n"/>
      <c r="W644" s="270" t="n"/>
    </row>
    <row r="645" customFormat="1" s="163">
      <c r="A645" s="282" t="n"/>
      <c r="B645" s="277" t="n"/>
      <c r="C645" s="278" t="n"/>
      <c r="D645" s="269" t="n"/>
      <c r="E645" s="269" t="n"/>
      <c r="F645" s="269" t="n"/>
      <c r="G645" s="269" t="n"/>
      <c r="H645" s="269" t="n"/>
      <c r="I645" s="269" t="n"/>
      <c r="J645" s="269" t="n"/>
      <c r="K645" s="269" t="n"/>
      <c r="L645" s="269" t="n"/>
      <c r="M645" s="269" t="n"/>
      <c r="N645" s="269" t="n"/>
      <c r="O645" s="269" t="n"/>
      <c r="P645" s="269" t="n"/>
      <c r="Q645" s="269" t="n"/>
      <c r="R645" s="269" t="n"/>
      <c r="S645" s="269" t="n"/>
      <c r="T645" s="269" t="n"/>
      <c r="U645" s="269" t="n"/>
      <c r="V645" s="269" t="n"/>
      <c r="W645" s="270" t="n"/>
    </row>
    <row r="646" customFormat="1" s="163">
      <c r="A646" s="282" t="n"/>
      <c r="B646" s="277" t="n"/>
      <c r="C646" s="278" t="n"/>
      <c r="D646" s="269" t="n"/>
      <c r="E646" s="269" t="n"/>
      <c r="F646" s="269" t="n"/>
      <c r="G646" s="269" t="n"/>
      <c r="H646" s="269" t="n"/>
      <c r="I646" s="269" t="n"/>
      <c r="J646" s="269" t="n"/>
      <c r="K646" s="269" t="n"/>
      <c r="L646" s="269" t="n"/>
      <c r="M646" s="269" t="n"/>
      <c r="N646" s="269" t="n"/>
      <c r="O646" s="269" t="n"/>
      <c r="P646" s="269" t="n"/>
      <c r="Q646" s="269" t="n"/>
      <c r="R646" s="269" t="n"/>
      <c r="S646" s="269" t="n"/>
      <c r="T646" s="269" t="n"/>
      <c r="U646" s="269" t="n"/>
      <c r="V646" s="269" t="n"/>
      <c r="W646" s="270" t="n"/>
    </row>
    <row r="647" customFormat="1" s="163">
      <c r="A647" s="282" t="n"/>
      <c r="B647" s="277" t="n"/>
      <c r="C647" s="278" t="n"/>
      <c r="D647" s="269" t="n"/>
      <c r="E647" s="269" t="n"/>
      <c r="F647" s="269" t="n"/>
      <c r="G647" s="269" t="n"/>
      <c r="H647" s="269" t="n"/>
      <c r="I647" s="269" t="n"/>
      <c r="J647" s="269" t="n"/>
      <c r="K647" s="269" t="n"/>
      <c r="L647" s="269" t="n"/>
      <c r="M647" s="269" t="n"/>
      <c r="N647" s="269" t="n"/>
      <c r="O647" s="269" t="n"/>
      <c r="P647" s="269" t="n"/>
      <c r="Q647" s="269" t="n"/>
      <c r="R647" s="269" t="n"/>
      <c r="S647" s="269" t="n"/>
      <c r="T647" s="269" t="n"/>
      <c r="U647" s="269" t="n"/>
      <c r="V647" s="269" t="n"/>
      <c r="W647" s="270" t="n"/>
    </row>
    <row r="648" customFormat="1" s="163">
      <c r="A648" s="282" t="n"/>
      <c r="B648" s="277" t="n"/>
      <c r="C648" s="278" t="n"/>
      <c r="D648" s="269" t="n"/>
      <c r="E648" s="269" t="n"/>
      <c r="F648" s="269" t="n"/>
      <c r="G648" s="269" t="n"/>
      <c r="H648" s="269" t="n"/>
      <c r="I648" s="269" t="n"/>
      <c r="J648" s="269" t="n"/>
      <c r="K648" s="269" t="n"/>
      <c r="L648" s="269" t="n"/>
      <c r="M648" s="269" t="n"/>
      <c r="N648" s="269" t="n"/>
      <c r="O648" s="269" t="n"/>
      <c r="P648" s="269" t="n"/>
      <c r="Q648" s="269" t="n"/>
      <c r="R648" s="269" t="n"/>
      <c r="S648" s="269" t="n"/>
      <c r="T648" s="269" t="n"/>
      <c r="U648" s="269" t="n"/>
      <c r="V648" s="269" t="n"/>
      <c r="W648" s="270" t="n"/>
    </row>
    <row r="649" customFormat="1" s="163">
      <c r="A649" s="282" t="n"/>
      <c r="B649" s="277" t="n"/>
      <c r="C649" s="278" t="n"/>
      <c r="D649" s="269" t="n"/>
      <c r="E649" s="269" t="n"/>
      <c r="F649" s="269" t="n"/>
      <c r="G649" s="269" t="n"/>
      <c r="H649" s="269" t="n"/>
      <c r="I649" s="269" t="n"/>
      <c r="J649" s="269" t="n"/>
      <c r="K649" s="269" t="n"/>
      <c r="L649" s="269" t="n"/>
      <c r="M649" s="269" t="n"/>
      <c r="N649" s="269" t="n"/>
      <c r="O649" s="269" t="n"/>
      <c r="P649" s="269" t="n"/>
      <c r="Q649" s="269" t="n"/>
      <c r="R649" s="269" t="n"/>
      <c r="S649" s="269" t="n"/>
      <c r="T649" s="269" t="n"/>
      <c r="U649" s="269" t="n"/>
      <c r="V649" s="269" t="n"/>
      <c r="W649" s="270" t="n"/>
    </row>
    <row r="650" customFormat="1" s="163">
      <c r="A650" s="282" t="n"/>
      <c r="B650" s="277" t="n"/>
      <c r="C650" s="278" t="n"/>
      <c r="D650" s="269" t="n"/>
      <c r="E650" s="269" t="n"/>
      <c r="F650" s="269" t="n"/>
      <c r="G650" s="269" t="n"/>
      <c r="H650" s="269" t="n"/>
      <c r="I650" s="269" t="n"/>
      <c r="J650" s="269" t="n"/>
      <c r="K650" s="269" t="n"/>
      <c r="L650" s="269" t="n"/>
      <c r="M650" s="269" t="n"/>
      <c r="N650" s="269" t="n"/>
      <c r="O650" s="269" t="n"/>
      <c r="P650" s="269" t="n"/>
      <c r="Q650" s="269" t="n"/>
      <c r="R650" s="269" t="n"/>
      <c r="S650" s="269" t="n"/>
      <c r="T650" s="269" t="n"/>
      <c r="U650" s="269" t="n"/>
      <c r="V650" s="269" t="n"/>
      <c r="W650" s="270" t="n"/>
    </row>
    <row r="651" customFormat="1" s="163">
      <c r="A651" s="282" t="n"/>
      <c r="B651" s="277" t="n"/>
      <c r="C651" s="278" t="n"/>
      <c r="D651" s="269" t="n"/>
      <c r="E651" s="269" t="n"/>
      <c r="F651" s="269" t="n"/>
      <c r="G651" s="269" t="n"/>
      <c r="H651" s="269" t="n"/>
      <c r="I651" s="269" t="n"/>
      <c r="J651" s="269" t="n"/>
      <c r="K651" s="269" t="n"/>
      <c r="L651" s="269" t="n"/>
      <c r="M651" s="269" t="n"/>
      <c r="N651" s="269" t="n"/>
      <c r="O651" s="269" t="n"/>
      <c r="P651" s="269" t="n"/>
      <c r="Q651" s="269" t="n"/>
      <c r="R651" s="269" t="n"/>
      <c r="S651" s="269" t="n"/>
      <c r="T651" s="269" t="n"/>
      <c r="U651" s="269" t="n"/>
      <c r="V651" s="269" t="n"/>
      <c r="W651" s="270" t="n"/>
    </row>
    <row r="652" customFormat="1" s="163">
      <c r="A652" s="282" t="n"/>
      <c r="B652" s="277" t="n"/>
      <c r="C652" s="278" t="n"/>
      <c r="D652" s="269" t="n"/>
      <c r="E652" s="269" t="n"/>
      <c r="F652" s="269" t="n"/>
      <c r="G652" s="269" t="n"/>
      <c r="H652" s="269" t="n"/>
      <c r="I652" s="269" t="n"/>
      <c r="J652" s="269" t="n"/>
      <c r="K652" s="269" t="n"/>
      <c r="L652" s="269" t="n"/>
      <c r="M652" s="269" t="n"/>
      <c r="N652" s="269" t="n"/>
      <c r="O652" s="269" t="n"/>
      <c r="P652" s="269" t="n"/>
      <c r="Q652" s="269" t="n"/>
      <c r="R652" s="269" t="n"/>
      <c r="S652" s="269" t="n"/>
      <c r="T652" s="269" t="n"/>
      <c r="U652" s="269" t="n"/>
      <c r="V652" s="269" t="n"/>
      <c r="W652" s="270" t="n"/>
    </row>
    <row r="653" customFormat="1" s="163">
      <c r="A653" s="282" t="n"/>
      <c r="B653" s="277" t="n"/>
      <c r="C653" s="278" t="n"/>
      <c r="D653" s="269" t="n"/>
      <c r="E653" s="269" t="n"/>
      <c r="F653" s="269" t="n"/>
      <c r="G653" s="269" t="n"/>
      <c r="H653" s="269" t="n"/>
      <c r="I653" s="269" t="n"/>
      <c r="J653" s="269" t="n"/>
      <c r="K653" s="269" t="n"/>
      <c r="L653" s="269" t="n"/>
      <c r="M653" s="269" t="n"/>
      <c r="N653" s="269" t="n"/>
      <c r="O653" s="269" t="n"/>
      <c r="P653" s="269" t="n"/>
      <c r="Q653" s="269" t="n"/>
      <c r="R653" s="269" t="n"/>
      <c r="S653" s="269" t="n"/>
      <c r="T653" s="269" t="n"/>
      <c r="U653" s="269" t="n"/>
      <c r="V653" s="269" t="n"/>
      <c r="W653" s="270" t="n"/>
    </row>
    <row r="654" customFormat="1" s="163">
      <c r="A654" s="282" t="n"/>
      <c r="B654" s="277" t="n"/>
      <c r="C654" s="278" t="n"/>
      <c r="D654" s="269" t="n"/>
      <c r="E654" s="269" t="n"/>
      <c r="F654" s="269" t="n"/>
      <c r="G654" s="269" t="n"/>
      <c r="H654" s="269" t="n"/>
      <c r="I654" s="269" t="n"/>
      <c r="J654" s="269" t="n"/>
      <c r="K654" s="269" t="n"/>
      <c r="L654" s="269" t="n"/>
      <c r="M654" s="269" t="n"/>
      <c r="N654" s="269" t="n"/>
      <c r="O654" s="269" t="n"/>
      <c r="P654" s="269" t="n"/>
      <c r="Q654" s="269" t="n"/>
      <c r="R654" s="269" t="n"/>
      <c r="S654" s="269" t="n"/>
      <c r="T654" s="269" t="n"/>
      <c r="U654" s="269" t="n"/>
      <c r="V654" s="269" t="n"/>
      <c r="W654" s="270" t="n"/>
    </row>
    <row r="655" customFormat="1" s="163">
      <c r="A655" s="282" t="n"/>
      <c r="B655" s="277" t="n"/>
      <c r="C655" s="278" t="n"/>
      <c r="D655" s="269" t="n"/>
      <c r="E655" s="269" t="n"/>
      <c r="F655" s="269" t="n"/>
      <c r="G655" s="269" t="n"/>
      <c r="H655" s="269" t="n"/>
      <c r="I655" s="269" t="n"/>
      <c r="J655" s="269" t="n"/>
      <c r="K655" s="269" t="n"/>
      <c r="L655" s="269" t="n"/>
      <c r="M655" s="269" t="n"/>
      <c r="N655" s="269" t="n"/>
      <c r="O655" s="269" t="n"/>
      <c r="P655" s="269" t="n"/>
      <c r="Q655" s="269" t="n"/>
      <c r="R655" s="269" t="n"/>
      <c r="S655" s="269" t="n"/>
      <c r="T655" s="269" t="n"/>
      <c r="U655" s="269" t="n"/>
      <c r="V655" s="269" t="n"/>
      <c r="W655" s="270" t="n"/>
    </row>
    <row r="656" customFormat="1" s="163">
      <c r="A656" s="282" t="n"/>
      <c r="B656" s="277" t="n"/>
      <c r="C656" s="278" t="n"/>
      <c r="D656" s="269" t="n"/>
      <c r="E656" s="269" t="n"/>
      <c r="F656" s="269" t="n"/>
      <c r="G656" s="269" t="n"/>
      <c r="H656" s="269" t="n"/>
      <c r="I656" s="269" t="n"/>
      <c r="J656" s="269" t="n"/>
      <c r="K656" s="269" t="n"/>
      <c r="L656" s="269" t="n"/>
      <c r="M656" s="269" t="n"/>
      <c r="N656" s="269" t="n"/>
      <c r="O656" s="269" t="n"/>
      <c r="P656" s="269" t="n"/>
      <c r="Q656" s="269" t="n"/>
      <c r="R656" s="269" t="n"/>
      <c r="S656" s="269" t="n"/>
      <c r="T656" s="269" t="n"/>
      <c r="U656" s="269" t="n"/>
      <c r="V656" s="269" t="n"/>
      <c r="W656" s="270" t="n"/>
    </row>
    <row r="657" customFormat="1" s="163">
      <c r="A657" s="282" t="n"/>
      <c r="B657" s="277" t="n"/>
      <c r="C657" s="278" t="n"/>
      <c r="D657" s="269" t="n"/>
      <c r="E657" s="269" t="n"/>
      <c r="F657" s="269" t="n"/>
      <c r="G657" s="269" t="n"/>
      <c r="H657" s="269" t="n"/>
      <c r="I657" s="269" t="n"/>
      <c r="J657" s="269" t="n"/>
      <c r="K657" s="269" t="n"/>
      <c r="L657" s="269" t="n"/>
      <c r="M657" s="269" t="n"/>
      <c r="N657" s="269" t="n"/>
      <c r="O657" s="269" t="n"/>
      <c r="P657" s="269" t="n"/>
      <c r="Q657" s="269" t="n"/>
      <c r="R657" s="269" t="n"/>
      <c r="S657" s="269" t="n"/>
      <c r="T657" s="269" t="n"/>
      <c r="U657" s="269" t="n"/>
      <c r="V657" s="269" t="n"/>
      <c r="W657" s="270" t="n"/>
    </row>
    <row r="658" customFormat="1" s="163">
      <c r="A658" s="282" t="n"/>
      <c r="B658" s="277" t="n"/>
      <c r="C658" s="278" t="n"/>
      <c r="D658" s="269" t="n"/>
      <c r="E658" s="269" t="n"/>
      <c r="F658" s="269" t="n"/>
      <c r="G658" s="269" t="n"/>
      <c r="H658" s="269" t="n"/>
      <c r="I658" s="269" t="n"/>
      <c r="J658" s="269" t="n"/>
      <c r="K658" s="269" t="n"/>
      <c r="L658" s="269" t="n"/>
      <c r="M658" s="269" t="n"/>
      <c r="N658" s="269" t="n"/>
      <c r="O658" s="269" t="n"/>
      <c r="P658" s="269" t="n"/>
      <c r="Q658" s="269" t="n"/>
      <c r="R658" s="269" t="n"/>
      <c r="S658" s="269" t="n"/>
      <c r="T658" s="269" t="n"/>
      <c r="U658" s="269" t="n"/>
      <c r="V658" s="269" t="n"/>
      <c r="W658" s="270" t="n"/>
    </row>
    <row r="659" customFormat="1" s="163">
      <c r="A659" s="282" t="n"/>
      <c r="B659" s="277" t="n"/>
      <c r="C659" s="278" t="n"/>
      <c r="D659" s="269" t="n"/>
      <c r="E659" s="269" t="n"/>
      <c r="F659" s="269" t="n"/>
      <c r="G659" s="269" t="n"/>
      <c r="H659" s="269" t="n"/>
      <c r="I659" s="269" t="n"/>
      <c r="J659" s="269" t="n"/>
      <c r="K659" s="269" t="n"/>
      <c r="L659" s="269" t="n"/>
      <c r="M659" s="269" t="n"/>
      <c r="N659" s="269" t="n"/>
      <c r="O659" s="269" t="n"/>
      <c r="P659" s="269" t="n"/>
      <c r="Q659" s="269" t="n"/>
      <c r="R659" s="269" t="n"/>
      <c r="S659" s="269" t="n"/>
      <c r="T659" s="269" t="n"/>
      <c r="U659" s="269" t="n"/>
      <c r="V659" s="269" t="n"/>
      <c r="W659" s="270" t="n"/>
    </row>
    <row r="660" customFormat="1" s="163">
      <c r="A660" s="282" t="n"/>
      <c r="B660" s="277" t="n"/>
      <c r="C660" s="278" t="n"/>
      <c r="D660" s="269" t="n"/>
      <c r="E660" s="269" t="n"/>
      <c r="F660" s="269" t="n"/>
      <c r="G660" s="269" t="n"/>
      <c r="H660" s="269" t="n"/>
      <c r="I660" s="269" t="n"/>
      <c r="J660" s="269" t="n"/>
      <c r="K660" s="269" t="n"/>
      <c r="L660" s="269" t="n"/>
      <c r="M660" s="269" t="n"/>
      <c r="N660" s="269" t="n"/>
      <c r="O660" s="269" t="n"/>
      <c r="P660" s="269" t="n"/>
      <c r="Q660" s="269" t="n"/>
      <c r="R660" s="269" t="n"/>
      <c r="S660" s="269" t="n"/>
      <c r="T660" s="269" t="n"/>
      <c r="U660" s="269" t="n"/>
      <c r="V660" s="269" t="n"/>
      <c r="W660" s="270" t="n"/>
    </row>
    <row r="661" customFormat="1" s="163">
      <c r="A661" s="282" t="n"/>
      <c r="B661" s="277" t="n"/>
      <c r="C661" s="278" t="n"/>
      <c r="D661" s="269" t="n"/>
      <c r="E661" s="269" t="n"/>
      <c r="F661" s="269" t="n"/>
      <c r="G661" s="269" t="n"/>
      <c r="H661" s="269" t="n"/>
      <c r="I661" s="269" t="n"/>
      <c r="J661" s="269" t="n"/>
      <c r="K661" s="269" t="n"/>
      <c r="L661" s="269" t="n"/>
      <c r="M661" s="269" t="n"/>
      <c r="N661" s="269" t="n"/>
      <c r="O661" s="269" t="n"/>
      <c r="P661" s="269" t="n"/>
      <c r="Q661" s="269" t="n"/>
      <c r="R661" s="269" t="n"/>
      <c r="S661" s="269" t="n"/>
      <c r="T661" s="269" t="n"/>
      <c r="U661" s="269" t="n"/>
      <c r="V661" s="269" t="n"/>
      <c r="W661" s="270" t="n"/>
    </row>
    <row r="662" customFormat="1" s="163">
      <c r="A662" s="282" t="n"/>
      <c r="B662" s="277" t="n"/>
      <c r="C662" s="278" t="n"/>
      <c r="D662" s="269" t="n"/>
      <c r="E662" s="269" t="n"/>
      <c r="F662" s="269" t="n"/>
      <c r="G662" s="269" t="n"/>
      <c r="H662" s="269" t="n"/>
      <c r="I662" s="269" t="n"/>
      <c r="J662" s="269" t="n"/>
      <c r="K662" s="269" t="n"/>
      <c r="L662" s="269" t="n"/>
      <c r="M662" s="269" t="n"/>
      <c r="N662" s="269" t="n"/>
      <c r="O662" s="269" t="n"/>
      <c r="P662" s="269" t="n"/>
      <c r="Q662" s="269" t="n"/>
      <c r="R662" s="269" t="n"/>
      <c r="S662" s="269" t="n"/>
      <c r="T662" s="269" t="n"/>
      <c r="U662" s="269" t="n"/>
      <c r="V662" s="269" t="n"/>
      <c r="W662" s="270" t="n"/>
    </row>
    <row r="663" customFormat="1" s="163">
      <c r="A663" s="282" t="n"/>
      <c r="B663" s="277" t="n"/>
      <c r="C663" s="278" t="n"/>
      <c r="D663" s="269" t="n"/>
      <c r="E663" s="269" t="n"/>
      <c r="F663" s="269" t="n"/>
      <c r="G663" s="269" t="n"/>
      <c r="H663" s="269" t="n"/>
      <c r="I663" s="269" t="n"/>
      <c r="J663" s="269" t="n"/>
      <c r="K663" s="269" t="n"/>
      <c r="L663" s="269" t="n"/>
      <c r="M663" s="269" t="n"/>
      <c r="N663" s="269" t="n"/>
      <c r="O663" s="269" t="n"/>
      <c r="P663" s="269" t="n"/>
      <c r="Q663" s="269" t="n"/>
      <c r="R663" s="269" t="n"/>
      <c r="S663" s="269" t="n"/>
      <c r="T663" s="269" t="n"/>
      <c r="U663" s="269" t="n"/>
      <c r="V663" s="269" t="n"/>
      <c r="W663" s="270" t="n"/>
    </row>
    <row r="664" customFormat="1" s="163">
      <c r="A664" s="282" t="n"/>
      <c r="B664" s="277" t="n"/>
      <c r="C664" s="278" t="n"/>
      <c r="D664" s="269" t="n"/>
      <c r="E664" s="269" t="n"/>
      <c r="F664" s="269" t="n"/>
      <c r="G664" s="269" t="n"/>
      <c r="H664" s="269" t="n"/>
      <c r="I664" s="269" t="n"/>
      <c r="J664" s="269" t="n"/>
      <c r="K664" s="269" t="n"/>
      <c r="L664" s="269" t="n"/>
      <c r="M664" s="269" t="n"/>
      <c r="N664" s="269" t="n"/>
      <c r="O664" s="269" t="n"/>
      <c r="P664" s="269" t="n"/>
      <c r="Q664" s="269" t="n"/>
      <c r="R664" s="269" t="n"/>
      <c r="S664" s="269" t="n"/>
      <c r="T664" s="269" t="n"/>
      <c r="U664" s="269" t="n"/>
      <c r="V664" s="269" t="n"/>
      <c r="W664" s="270" t="n"/>
    </row>
    <row r="665" customFormat="1" s="163">
      <c r="A665" s="282" t="n"/>
      <c r="B665" s="277" t="n"/>
      <c r="C665" s="278" t="n"/>
      <c r="D665" s="269" t="n"/>
      <c r="E665" s="269" t="n"/>
      <c r="F665" s="269" t="n"/>
      <c r="G665" s="269" t="n"/>
      <c r="H665" s="269" t="n"/>
      <c r="I665" s="269" t="n"/>
      <c r="J665" s="269" t="n"/>
      <c r="K665" s="269" t="n"/>
      <c r="L665" s="269" t="n"/>
      <c r="M665" s="269" t="n"/>
      <c r="N665" s="269" t="n"/>
      <c r="O665" s="269" t="n"/>
      <c r="P665" s="269" t="n"/>
      <c r="Q665" s="269" t="n"/>
      <c r="R665" s="269" t="n"/>
      <c r="S665" s="269" t="n"/>
      <c r="T665" s="269" t="n"/>
      <c r="U665" s="269" t="n"/>
      <c r="V665" s="269" t="n"/>
      <c r="W665" s="270" t="n"/>
    </row>
    <row r="666" customFormat="1" s="163">
      <c r="A666" s="282" t="n"/>
      <c r="B666" s="277" t="n"/>
      <c r="C666" s="278" t="n"/>
      <c r="D666" s="269" t="n"/>
      <c r="E666" s="269" t="n"/>
      <c r="F666" s="269" t="n"/>
      <c r="G666" s="269" t="n"/>
      <c r="H666" s="269" t="n"/>
      <c r="I666" s="269" t="n"/>
      <c r="J666" s="269" t="n"/>
      <c r="K666" s="269" t="n"/>
      <c r="L666" s="269" t="n"/>
      <c r="M666" s="269" t="n"/>
      <c r="N666" s="269" t="n"/>
      <c r="O666" s="269" t="n"/>
      <c r="P666" s="269" t="n"/>
      <c r="Q666" s="269" t="n"/>
      <c r="R666" s="269" t="n"/>
      <c r="S666" s="269" t="n"/>
      <c r="T666" s="269" t="n"/>
      <c r="U666" s="269" t="n"/>
      <c r="V666" s="269" t="n"/>
      <c r="W666" s="270" t="n"/>
    </row>
    <row r="667" customFormat="1" s="163">
      <c r="A667" s="282" t="n"/>
      <c r="B667" s="277" t="n"/>
      <c r="C667" s="278" t="n"/>
      <c r="D667" s="269" t="n"/>
      <c r="E667" s="269" t="n"/>
      <c r="F667" s="269" t="n"/>
      <c r="G667" s="269" t="n"/>
      <c r="H667" s="269" t="n"/>
      <c r="I667" s="269" t="n"/>
      <c r="J667" s="269" t="n"/>
      <c r="K667" s="269" t="n"/>
      <c r="L667" s="269" t="n"/>
      <c r="M667" s="269" t="n"/>
      <c r="N667" s="269" t="n"/>
      <c r="O667" s="269" t="n"/>
      <c r="P667" s="269" t="n"/>
      <c r="Q667" s="269" t="n"/>
      <c r="R667" s="269" t="n"/>
      <c r="S667" s="269" t="n"/>
      <c r="T667" s="269" t="n"/>
      <c r="U667" s="269" t="n"/>
      <c r="V667" s="269" t="n"/>
      <c r="W667" s="270" t="n"/>
    </row>
    <row r="668" customFormat="1" s="163">
      <c r="A668" s="282" t="n"/>
      <c r="B668" s="277" t="n"/>
      <c r="C668" s="278" t="n"/>
      <c r="D668" s="269" t="n"/>
      <c r="E668" s="269" t="n"/>
      <c r="F668" s="269" t="n"/>
      <c r="G668" s="269" t="n"/>
      <c r="H668" s="269" t="n"/>
      <c r="I668" s="269" t="n"/>
      <c r="J668" s="269" t="n"/>
      <c r="K668" s="269" t="n"/>
      <c r="L668" s="269" t="n"/>
      <c r="M668" s="269" t="n"/>
      <c r="N668" s="269" t="n"/>
      <c r="O668" s="269" t="n"/>
      <c r="P668" s="269" t="n"/>
      <c r="Q668" s="269" t="n"/>
      <c r="R668" s="269" t="n"/>
      <c r="S668" s="269" t="n"/>
      <c r="T668" s="269" t="n"/>
      <c r="U668" s="269" t="n"/>
      <c r="V668" s="269" t="n"/>
      <c r="W668" s="270" t="n"/>
    </row>
    <row r="669" customFormat="1" s="163">
      <c r="A669" s="282" t="n"/>
      <c r="B669" s="277" t="n"/>
      <c r="C669" s="278" t="n"/>
      <c r="D669" s="269" t="n"/>
      <c r="E669" s="269" t="n"/>
      <c r="F669" s="269" t="n"/>
      <c r="G669" s="269" t="n"/>
      <c r="H669" s="269" t="n"/>
      <c r="I669" s="269" t="n"/>
      <c r="J669" s="269" t="n"/>
      <c r="K669" s="269" t="n"/>
      <c r="L669" s="269" t="n"/>
      <c r="M669" s="269" t="n"/>
      <c r="N669" s="269" t="n"/>
      <c r="O669" s="269" t="n"/>
      <c r="P669" s="269" t="n"/>
      <c r="Q669" s="269" t="n"/>
      <c r="R669" s="269" t="n"/>
      <c r="S669" s="269" t="n"/>
      <c r="T669" s="269" t="n"/>
      <c r="U669" s="269" t="n"/>
      <c r="V669" s="269" t="n"/>
      <c r="W669" s="270" t="n"/>
    </row>
    <row r="670" customFormat="1" s="163">
      <c r="A670" s="282" t="n"/>
      <c r="B670" s="277" t="n"/>
      <c r="C670" s="278" t="n"/>
      <c r="D670" s="269" t="n"/>
      <c r="E670" s="269" t="n"/>
      <c r="F670" s="269" t="n"/>
      <c r="G670" s="269" t="n"/>
      <c r="H670" s="269" t="n"/>
      <c r="I670" s="269" t="n"/>
      <c r="J670" s="269" t="n"/>
      <c r="K670" s="269" t="n"/>
      <c r="L670" s="269" t="n"/>
      <c r="M670" s="269" t="n"/>
      <c r="N670" s="269" t="n"/>
      <c r="O670" s="269" t="n"/>
      <c r="P670" s="269" t="n"/>
      <c r="Q670" s="269" t="n"/>
      <c r="R670" s="269" t="n"/>
      <c r="S670" s="269" t="n"/>
      <c r="T670" s="269" t="n"/>
      <c r="U670" s="269" t="n"/>
      <c r="V670" s="269" t="n"/>
      <c r="W670" s="270" t="n"/>
    </row>
    <row r="671" customFormat="1" s="163">
      <c r="A671" s="282" t="n"/>
      <c r="B671" s="277" t="n"/>
      <c r="C671" s="278" t="n"/>
      <c r="D671" s="269" t="n"/>
      <c r="E671" s="269" t="n"/>
      <c r="F671" s="269" t="n"/>
      <c r="G671" s="269" t="n"/>
      <c r="H671" s="269" t="n"/>
      <c r="I671" s="269" t="n"/>
      <c r="J671" s="269" t="n"/>
      <c r="K671" s="269" t="n"/>
      <c r="L671" s="269" t="n"/>
      <c r="M671" s="269" t="n"/>
      <c r="N671" s="269" t="n"/>
      <c r="O671" s="269" t="n"/>
      <c r="P671" s="269" t="n"/>
      <c r="Q671" s="269" t="n"/>
      <c r="R671" s="269" t="n"/>
      <c r="S671" s="269" t="n"/>
      <c r="T671" s="269" t="n"/>
      <c r="U671" s="269" t="n"/>
      <c r="V671" s="269" t="n"/>
      <c r="W671" s="270" t="n"/>
    </row>
    <row r="672" customFormat="1" s="163">
      <c r="A672" s="282" t="n"/>
      <c r="B672" s="277" t="n"/>
      <c r="C672" s="278" t="n"/>
      <c r="D672" s="269" t="n"/>
      <c r="E672" s="269" t="n"/>
      <c r="F672" s="269" t="n"/>
      <c r="G672" s="269" t="n"/>
      <c r="H672" s="269" t="n"/>
      <c r="I672" s="269" t="n"/>
      <c r="J672" s="269" t="n"/>
      <c r="K672" s="269" t="n"/>
      <c r="L672" s="269" t="n"/>
      <c r="M672" s="269" t="n"/>
      <c r="N672" s="269" t="n"/>
      <c r="O672" s="269" t="n"/>
      <c r="P672" s="269" t="n"/>
      <c r="Q672" s="269" t="n"/>
      <c r="R672" s="269" t="n"/>
      <c r="S672" s="269" t="n"/>
      <c r="T672" s="269" t="n"/>
      <c r="U672" s="269" t="n"/>
      <c r="V672" s="269" t="n"/>
      <c r="W672" s="270" t="n"/>
    </row>
    <row r="673" customFormat="1" s="163">
      <c r="A673" s="282" t="n"/>
      <c r="B673" s="277" t="n"/>
      <c r="C673" s="278" t="n"/>
      <c r="D673" s="269" t="n"/>
      <c r="E673" s="269" t="n"/>
      <c r="F673" s="269" t="n"/>
      <c r="G673" s="269" t="n"/>
      <c r="H673" s="269" t="n"/>
      <c r="I673" s="269" t="n"/>
      <c r="J673" s="269" t="n"/>
      <c r="K673" s="269" t="n"/>
      <c r="L673" s="269" t="n"/>
      <c r="M673" s="269" t="n"/>
      <c r="N673" s="269" t="n"/>
      <c r="O673" s="269" t="n"/>
      <c r="P673" s="269" t="n"/>
      <c r="Q673" s="269" t="n"/>
      <c r="R673" s="269" t="n"/>
      <c r="S673" s="269" t="n"/>
      <c r="T673" s="269" t="n"/>
      <c r="U673" s="269" t="n"/>
      <c r="V673" s="269" t="n"/>
      <c r="W673" s="270" t="n"/>
    </row>
    <row r="674" customFormat="1" s="163">
      <c r="A674" s="282" t="n"/>
      <c r="B674" s="277" t="n"/>
      <c r="C674" s="278" t="n"/>
      <c r="D674" s="269" t="n"/>
      <c r="E674" s="269" t="n"/>
      <c r="F674" s="269" t="n"/>
      <c r="G674" s="269" t="n"/>
      <c r="H674" s="269" t="n"/>
      <c r="I674" s="269" t="n"/>
      <c r="J674" s="269" t="n"/>
      <c r="K674" s="269" t="n"/>
      <c r="L674" s="269" t="n"/>
      <c r="M674" s="269" t="n"/>
      <c r="N674" s="269" t="n"/>
      <c r="O674" s="269" t="n"/>
      <c r="P674" s="269" t="n"/>
      <c r="Q674" s="269" t="n"/>
      <c r="R674" s="269" t="n"/>
      <c r="S674" s="269" t="n"/>
      <c r="T674" s="269" t="n"/>
      <c r="U674" s="269" t="n"/>
      <c r="V674" s="269" t="n"/>
      <c r="W674" s="270" t="n"/>
    </row>
    <row r="675" customFormat="1" s="163">
      <c r="A675" s="282" t="n"/>
      <c r="B675" s="277" t="n"/>
      <c r="C675" s="278" t="n"/>
      <c r="D675" s="269" t="n"/>
      <c r="E675" s="269" t="n"/>
      <c r="F675" s="269" t="n"/>
      <c r="G675" s="269" t="n"/>
      <c r="H675" s="269" t="n"/>
      <c r="I675" s="269" t="n"/>
      <c r="J675" s="269" t="n"/>
      <c r="K675" s="269" t="n"/>
      <c r="L675" s="269" t="n"/>
      <c r="M675" s="269" t="n"/>
      <c r="N675" s="269" t="n"/>
      <c r="O675" s="269" t="n"/>
      <c r="P675" s="269" t="n"/>
      <c r="Q675" s="269" t="n"/>
      <c r="R675" s="269" t="n"/>
      <c r="S675" s="269" t="n"/>
      <c r="T675" s="269" t="n"/>
      <c r="U675" s="269" t="n"/>
      <c r="V675" s="269" t="n"/>
      <c r="W675" s="270" t="n"/>
    </row>
    <row r="676" customFormat="1" s="163">
      <c r="A676" s="282" t="n"/>
      <c r="B676" s="277" t="n"/>
      <c r="C676" s="278" t="n"/>
      <c r="D676" s="269" t="n"/>
      <c r="E676" s="269" t="n"/>
      <c r="F676" s="269" t="n"/>
      <c r="G676" s="269" t="n"/>
      <c r="H676" s="269" t="n"/>
      <c r="I676" s="269" t="n"/>
      <c r="J676" s="269" t="n"/>
      <c r="K676" s="269" t="n"/>
      <c r="L676" s="269" t="n"/>
      <c r="M676" s="269" t="n"/>
      <c r="N676" s="269" t="n"/>
      <c r="O676" s="269" t="n"/>
      <c r="P676" s="269" t="n"/>
      <c r="Q676" s="269" t="n"/>
      <c r="R676" s="269" t="n"/>
      <c r="S676" s="269" t="n"/>
      <c r="T676" s="269" t="n"/>
      <c r="U676" s="269" t="n"/>
      <c r="V676" s="269" t="n"/>
      <c r="W676" s="270" t="n"/>
    </row>
    <row r="677" customFormat="1" s="163">
      <c r="A677" s="282" t="n"/>
      <c r="B677" s="277" t="n"/>
      <c r="C677" s="278" t="n"/>
      <c r="D677" s="269" t="n"/>
      <c r="E677" s="269" t="n"/>
      <c r="F677" s="269" t="n"/>
      <c r="G677" s="269" t="n"/>
      <c r="H677" s="269" t="n"/>
      <c r="I677" s="269" t="n"/>
      <c r="J677" s="269" t="n"/>
      <c r="K677" s="269" t="n"/>
      <c r="L677" s="269" t="n"/>
      <c r="M677" s="269" t="n"/>
      <c r="N677" s="269" t="n"/>
      <c r="O677" s="269" t="n"/>
      <c r="P677" s="269" t="n"/>
      <c r="Q677" s="269" t="n"/>
      <c r="R677" s="269" t="n"/>
      <c r="S677" s="269" t="n"/>
      <c r="T677" s="269" t="n"/>
      <c r="U677" s="269" t="n"/>
      <c r="V677" s="269" t="n"/>
      <c r="W677" s="270" t="n"/>
    </row>
    <row r="678" customFormat="1" s="163">
      <c r="A678" s="282" t="n"/>
      <c r="B678" s="277" t="n"/>
      <c r="C678" s="278" t="n"/>
      <c r="D678" s="269" t="n"/>
      <c r="E678" s="269" t="n"/>
      <c r="F678" s="269" t="n"/>
      <c r="G678" s="269" t="n"/>
      <c r="H678" s="269" t="n"/>
      <c r="I678" s="269" t="n"/>
      <c r="J678" s="269" t="n"/>
      <c r="K678" s="269" t="n"/>
      <c r="L678" s="269" t="n"/>
      <c r="M678" s="269" t="n"/>
      <c r="N678" s="269" t="n"/>
      <c r="O678" s="269" t="n"/>
      <c r="P678" s="269" t="n"/>
      <c r="Q678" s="269" t="n"/>
      <c r="R678" s="269" t="n"/>
      <c r="S678" s="269" t="n"/>
      <c r="T678" s="269" t="n"/>
      <c r="U678" s="269" t="n"/>
      <c r="V678" s="269" t="n"/>
      <c r="W678" s="270" t="n"/>
    </row>
    <row r="679" customFormat="1" s="163">
      <c r="A679" s="282" t="n"/>
      <c r="B679" s="277" t="n"/>
      <c r="C679" s="278" t="n"/>
      <c r="D679" s="269" t="n"/>
      <c r="E679" s="269" t="n"/>
      <c r="F679" s="269" t="n"/>
      <c r="G679" s="269" t="n"/>
      <c r="H679" s="269" t="n"/>
      <c r="I679" s="269" t="n"/>
      <c r="J679" s="269" t="n"/>
      <c r="K679" s="269" t="n"/>
      <c r="L679" s="269" t="n"/>
      <c r="M679" s="269" t="n"/>
      <c r="N679" s="269" t="n"/>
      <c r="O679" s="269" t="n"/>
      <c r="P679" s="269" t="n"/>
      <c r="Q679" s="269" t="n"/>
      <c r="R679" s="269" t="n"/>
      <c r="S679" s="269" t="n"/>
      <c r="T679" s="269" t="n"/>
      <c r="U679" s="269" t="n"/>
      <c r="V679" s="269" t="n"/>
      <c r="W679" s="270" t="n"/>
    </row>
    <row r="680" customFormat="1" s="163">
      <c r="A680" s="282" t="n"/>
      <c r="B680" s="277" t="n"/>
      <c r="C680" s="278" t="n"/>
      <c r="D680" s="269" t="n"/>
      <c r="E680" s="269" t="n"/>
      <c r="F680" s="269" t="n"/>
      <c r="G680" s="269" t="n"/>
      <c r="H680" s="269" t="n"/>
      <c r="I680" s="269" t="n"/>
      <c r="J680" s="269" t="n"/>
      <c r="K680" s="269" t="n"/>
      <c r="L680" s="269" t="n"/>
      <c r="M680" s="269" t="n"/>
      <c r="N680" s="269" t="n"/>
      <c r="O680" s="269" t="n"/>
      <c r="P680" s="269" t="n"/>
      <c r="Q680" s="269" t="n"/>
      <c r="R680" s="269" t="n"/>
      <c r="S680" s="269" t="n"/>
      <c r="T680" s="269" t="n"/>
      <c r="U680" s="269" t="n"/>
      <c r="V680" s="269" t="n"/>
      <c r="W680" s="270" t="n"/>
    </row>
    <row r="681" customFormat="1" s="163">
      <c r="A681" s="282" t="n"/>
      <c r="B681" s="277" t="n"/>
      <c r="C681" s="278" t="n"/>
      <c r="D681" s="269" t="n"/>
      <c r="E681" s="269" t="n"/>
      <c r="F681" s="269" t="n"/>
      <c r="G681" s="269" t="n"/>
      <c r="H681" s="269" t="n"/>
      <c r="I681" s="269" t="n"/>
      <c r="J681" s="269" t="n"/>
      <c r="K681" s="269" t="n"/>
      <c r="L681" s="269" t="n"/>
      <c r="M681" s="269" t="n"/>
      <c r="N681" s="269" t="n"/>
      <c r="O681" s="269" t="n"/>
      <c r="P681" s="269" t="n"/>
      <c r="Q681" s="269" t="n"/>
      <c r="R681" s="269" t="n"/>
      <c r="S681" s="269" t="n"/>
      <c r="T681" s="269" t="n"/>
      <c r="U681" s="269" t="n"/>
      <c r="V681" s="269" t="n"/>
      <c r="W681" s="270" t="n"/>
    </row>
    <row r="682" customFormat="1" s="163">
      <c r="A682" s="282" t="n"/>
      <c r="B682" s="277" t="n"/>
      <c r="C682" s="278" t="n"/>
      <c r="D682" s="269" t="n"/>
      <c r="E682" s="269" t="n"/>
      <c r="F682" s="269" t="n"/>
      <c r="G682" s="269" t="n"/>
      <c r="H682" s="269" t="n"/>
      <c r="I682" s="269" t="n"/>
      <c r="J682" s="269" t="n"/>
      <c r="K682" s="269" t="n"/>
      <c r="L682" s="269" t="n"/>
      <c r="M682" s="269" t="n"/>
      <c r="N682" s="269" t="n"/>
      <c r="O682" s="269" t="n"/>
      <c r="P682" s="269" t="n"/>
      <c r="Q682" s="269" t="n"/>
      <c r="R682" s="269" t="n"/>
      <c r="S682" s="269" t="n"/>
      <c r="T682" s="269" t="n"/>
      <c r="U682" s="269" t="n"/>
      <c r="V682" s="269" t="n"/>
      <c r="W682" s="270" t="n"/>
    </row>
    <row r="683" customFormat="1" s="163">
      <c r="A683" s="282" t="n"/>
      <c r="B683" s="277" t="n"/>
      <c r="C683" s="278" t="n"/>
      <c r="D683" s="269" t="n"/>
      <c r="E683" s="269" t="n"/>
      <c r="F683" s="269" t="n"/>
      <c r="G683" s="269" t="n"/>
      <c r="H683" s="269" t="n"/>
      <c r="I683" s="269" t="n"/>
      <c r="J683" s="269" t="n"/>
      <c r="K683" s="269" t="n"/>
      <c r="L683" s="269" t="n"/>
      <c r="M683" s="269" t="n"/>
      <c r="N683" s="269" t="n"/>
      <c r="O683" s="269" t="n"/>
      <c r="P683" s="269" t="n"/>
      <c r="Q683" s="269" t="n"/>
      <c r="R683" s="269" t="n"/>
      <c r="S683" s="269" t="n"/>
      <c r="T683" s="269" t="n"/>
      <c r="U683" s="269" t="n"/>
      <c r="V683" s="269" t="n"/>
      <c r="W683" s="270" t="n"/>
    </row>
    <row r="684" customFormat="1" s="163">
      <c r="A684" s="282" t="n"/>
      <c r="B684" s="277" t="n"/>
      <c r="C684" s="278" t="n"/>
      <c r="D684" s="269" t="n"/>
      <c r="E684" s="269" t="n"/>
      <c r="F684" s="269" t="n"/>
      <c r="G684" s="269" t="n"/>
      <c r="H684" s="269" t="n"/>
      <c r="I684" s="269" t="n"/>
      <c r="J684" s="269" t="n"/>
      <c r="K684" s="269" t="n"/>
      <c r="L684" s="269" t="n"/>
      <c r="M684" s="269" t="n"/>
      <c r="N684" s="269" t="n"/>
      <c r="O684" s="269" t="n"/>
      <c r="P684" s="269" t="n"/>
      <c r="Q684" s="269" t="n"/>
      <c r="R684" s="269" t="n"/>
      <c r="S684" s="269" t="n"/>
      <c r="T684" s="269" t="n"/>
      <c r="U684" s="269" t="n"/>
      <c r="V684" s="269" t="n"/>
      <c r="W684" s="270" t="n"/>
    </row>
    <row r="685" customFormat="1" s="163">
      <c r="A685" s="282" t="n"/>
      <c r="B685" s="277" t="n"/>
      <c r="C685" s="278" t="n"/>
      <c r="D685" s="269" t="n"/>
      <c r="E685" s="269" t="n"/>
      <c r="F685" s="269" t="n"/>
      <c r="G685" s="269" t="n"/>
      <c r="H685" s="269" t="n"/>
      <c r="I685" s="269" t="n"/>
      <c r="J685" s="269" t="n"/>
      <c r="K685" s="269" t="n"/>
      <c r="L685" s="269" t="n"/>
      <c r="M685" s="269" t="n"/>
      <c r="N685" s="269" t="n"/>
      <c r="O685" s="269" t="n"/>
      <c r="P685" s="269" t="n"/>
      <c r="Q685" s="269" t="n"/>
      <c r="R685" s="269" t="n"/>
      <c r="S685" s="269" t="n"/>
      <c r="T685" s="269" t="n"/>
      <c r="U685" s="269" t="n"/>
      <c r="V685" s="269" t="n"/>
      <c r="W685" s="270" t="n"/>
    </row>
    <row r="686" customFormat="1" s="163">
      <c r="A686" s="282" t="n"/>
      <c r="B686" s="277" t="n"/>
      <c r="C686" s="278" t="n"/>
      <c r="D686" s="269" t="n"/>
      <c r="E686" s="269" t="n"/>
      <c r="F686" s="269" t="n"/>
      <c r="G686" s="269" t="n"/>
      <c r="H686" s="269" t="n"/>
      <c r="I686" s="269" t="n"/>
      <c r="J686" s="269" t="n"/>
      <c r="K686" s="269" t="n"/>
      <c r="L686" s="269" t="n"/>
      <c r="M686" s="269" t="n"/>
      <c r="N686" s="269" t="n"/>
      <c r="O686" s="269" t="n"/>
      <c r="P686" s="269" t="n"/>
      <c r="Q686" s="269" t="n"/>
      <c r="R686" s="269" t="n"/>
      <c r="S686" s="269" t="n"/>
      <c r="T686" s="269" t="n"/>
      <c r="U686" s="269" t="n"/>
      <c r="V686" s="269" t="n"/>
      <c r="W686" s="270" t="n"/>
    </row>
    <row r="687" customFormat="1" s="163">
      <c r="A687" s="282" t="n"/>
      <c r="B687" s="277" t="n"/>
      <c r="C687" s="278" t="n"/>
      <c r="D687" s="269" t="n"/>
      <c r="E687" s="269" t="n"/>
      <c r="F687" s="269" t="n"/>
      <c r="G687" s="269" t="n"/>
      <c r="H687" s="269" t="n"/>
      <c r="I687" s="269" t="n"/>
      <c r="J687" s="269" t="n"/>
      <c r="K687" s="269" t="n"/>
      <c r="L687" s="269" t="n"/>
      <c r="M687" s="269" t="n"/>
      <c r="N687" s="269" t="n"/>
      <c r="O687" s="269" t="n"/>
      <c r="P687" s="269" t="n"/>
      <c r="Q687" s="269" t="n"/>
      <c r="R687" s="269" t="n"/>
      <c r="S687" s="269" t="n"/>
      <c r="T687" s="269" t="n"/>
      <c r="U687" s="269" t="n"/>
      <c r="V687" s="269" t="n"/>
      <c r="W687" s="270" t="n"/>
    </row>
    <row r="688" customFormat="1" s="163">
      <c r="A688" s="282" t="n"/>
      <c r="B688" s="277" t="n"/>
      <c r="C688" s="278" t="n"/>
      <c r="D688" s="269" t="n"/>
      <c r="E688" s="269" t="n"/>
      <c r="F688" s="269" t="n"/>
      <c r="G688" s="269" t="n"/>
      <c r="H688" s="269" t="n"/>
      <c r="I688" s="269" t="n"/>
      <c r="J688" s="269" t="n"/>
      <c r="K688" s="269" t="n"/>
      <c r="L688" s="269" t="n"/>
      <c r="M688" s="269" t="n"/>
      <c r="N688" s="269" t="n"/>
      <c r="O688" s="269" t="n"/>
      <c r="P688" s="269" t="n"/>
      <c r="Q688" s="269" t="n"/>
      <c r="R688" s="269" t="n"/>
      <c r="S688" s="269" t="n"/>
      <c r="T688" s="269" t="n"/>
      <c r="U688" s="269" t="n"/>
      <c r="V688" s="269" t="n"/>
      <c r="W688" s="270" t="n"/>
    </row>
    <row r="689" customFormat="1" s="163">
      <c r="A689" s="282" t="n"/>
      <c r="B689" s="277" t="n"/>
      <c r="C689" s="278" t="n"/>
      <c r="D689" s="269" t="n"/>
      <c r="E689" s="269" t="n"/>
      <c r="F689" s="269" t="n"/>
      <c r="G689" s="269" t="n"/>
      <c r="H689" s="269" t="n"/>
      <c r="I689" s="269" t="n"/>
      <c r="J689" s="269" t="n"/>
      <c r="K689" s="269" t="n"/>
      <c r="L689" s="269" t="n"/>
      <c r="M689" s="269" t="n"/>
      <c r="N689" s="269" t="n"/>
      <c r="O689" s="269" t="n"/>
      <c r="P689" s="269" t="n"/>
      <c r="Q689" s="269" t="n"/>
      <c r="R689" s="269" t="n"/>
      <c r="S689" s="269" t="n"/>
      <c r="T689" s="269" t="n"/>
      <c r="U689" s="269" t="n"/>
      <c r="V689" s="269" t="n"/>
      <c r="W689" s="270" t="n"/>
    </row>
    <row r="690" customFormat="1" s="163">
      <c r="A690" s="282" t="n"/>
      <c r="B690" s="277" t="n"/>
      <c r="C690" s="278" t="n"/>
      <c r="D690" s="269" t="n"/>
      <c r="E690" s="269" t="n"/>
      <c r="F690" s="269" t="n"/>
      <c r="G690" s="269" t="n"/>
      <c r="H690" s="269" t="n"/>
      <c r="I690" s="269" t="n"/>
      <c r="J690" s="269" t="n"/>
      <c r="K690" s="269" t="n"/>
      <c r="L690" s="269" t="n"/>
      <c r="M690" s="269" t="n"/>
      <c r="N690" s="269" t="n"/>
      <c r="O690" s="269" t="n"/>
      <c r="P690" s="269" t="n"/>
      <c r="Q690" s="269" t="n"/>
      <c r="R690" s="269" t="n"/>
      <c r="S690" s="269" t="n"/>
      <c r="T690" s="269" t="n"/>
      <c r="U690" s="269" t="n"/>
      <c r="V690" s="269" t="n"/>
      <c r="W690" s="270" t="n"/>
    </row>
    <row r="691" customFormat="1" s="163">
      <c r="A691" s="282" t="n"/>
      <c r="B691" s="277" t="n"/>
      <c r="C691" s="278" t="n"/>
      <c r="D691" s="269" t="n"/>
      <c r="E691" s="269" t="n"/>
      <c r="F691" s="269" t="n"/>
      <c r="G691" s="269" t="n"/>
      <c r="H691" s="269" t="n"/>
      <c r="I691" s="269" t="n"/>
      <c r="J691" s="269" t="n"/>
      <c r="K691" s="269" t="n"/>
      <c r="L691" s="269" t="n"/>
      <c r="M691" s="269" t="n"/>
      <c r="N691" s="269" t="n"/>
      <c r="O691" s="269" t="n"/>
      <c r="P691" s="269" t="n"/>
      <c r="Q691" s="269" t="n"/>
      <c r="R691" s="269" t="n"/>
      <c r="S691" s="269" t="n"/>
      <c r="T691" s="269" t="n"/>
      <c r="U691" s="269" t="n"/>
      <c r="V691" s="269" t="n"/>
      <c r="W691" s="270" t="n"/>
    </row>
    <row r="692" customFormat="1" s="163">
      <c r="A692" s="282" t="n"/>
      <c r="B692" s="277" t="n"/>
      <c r="C692" s="278" t="n"/>
      <c r="D692" s="269" t="n"/>
      <c r="E692" s="269" t="n"/>
      <c r="F692" s="269" t="n"/>
      <c r="G692" s="269" t="n"/>
      <c r="H692" s="269" t="n"/>
      <c r="I692" s="269" t="n"/>
      <c r="J692" s="269" t="n"/>
      <c r="K692" s="269" t="n"/>
      <c r="L692" s="269" t="n"/>
      <c r="M692" s="269" t="n"/>
      <c r="N692" s="269" t="n"/>
      <c r="O692" s="269" t="n"/>
      <c r="P692" s="269" t="n"/>
      <c r="Q692" s="269" t="n"/>
      <c r="R692" s="269" t="n"/>
      <c r="S692" s="269" t="n"/>
      <c r="T692" s="269" t="n"/>
      <c r="U692" s="269" t="n"/>
      <c r="V692" s="269" t="n"/>
      <c r="W692" s="270" t="n"/>
    </row>
    <row r="693" customFormat="1" s="163">
      <c r="A693" s="282" t="n"/>
      <c r="B693" s="277" t="n"/>
      <c r="C693" s="278" t="n"/>
      <c r="D693" s="269" t="n"/>
      <c r="E693" s="269" t="n"/>
      <c r="F693" s="269" t="n"/>
      <c r="G693" s="269" t="n"/>
      <c r="H693" s="269" t="n"/>
      <c r="I693" s="269" t="n"/>
      <c r="J693" s="269" t="n"/>
      <c r="K693" s="269" t="n"/>
      <c r="L693" s="269" t="n"/>
      <c r="M693" s="269" t="n"/>
      <c r="N693" s="269" t="n"/>
      <c r="O693" s="269" t="n"/>
      <c r="P693" s="269" t="n"/>
      <c r="Q693" s="269" t="n"/>
      <c r="R693" s="269" t="n"/>
      <c r="S693" s="269" t="n"/>
      <c r="T693" s="269" t="n"/>
      <c r="U693" s="269" t="n"/>
      <c r="V693" s="269" t="n"/>
      <c r="W693" s="270" t="n"/>
    </row>
    <row r="694" customFormat="1" s="163">
      <c r="A694" s="282" t="n"/>
      <c r="B694" s="277" t="n"/>
      <c r="C694" s="278" t="n"/>
      <c r="D694" s="269" t="n"/>
      <c r="E694" s="269" t="n"/>
      <c r="F694" s="269" t="n"/>
      <c r="G694" s="269" t="n"/>
      <c r="H694" s="269" t="n"/>
      <c r="I694" s="269" t="n"/>
      <c r="J694" s="269" t="n"/>
      <c r="K694" s="269" t="n"/>
      <c r="L694" s="269" t="n"/>
      <c r="M694" s="269" t="n"/>
      <c r="N694" s="269" t="n"/>
      <c r="O694" s="269" t="n"/>
      <c r="P694" s="269" t="n"/>
      <c r="Q694" s="269" t="n"/>
      <c r="R694" s="269" t="n"/>
      <c r="S694" s="269" t="n"/>
      <c r="T694" s="269" t="n"/>
      <c r="U694" s="269" t="n"/>
      <c r="V694" s="269" t="n"/>
      <c r="W694" s="270" t="n"/>
    </row>
    <row r="695" customFormat="1" s="163">
      <c r="A695" s="282" t="n"/>
      <c r="B695" s="277" t="n"/>
      <c r="C695" s="278" t="n"/>
      <c r="D695" s="269" t="n"/>
      <c r="E695" s="269" t="n"/>
      <c r="F695" s="269" t="n"/>
      <c r="G695" s="269" t="n"/>
      <c r="H695" s="269" t="n"/>
      <c r="I695" s="269" t="n"/>
      <c r="J695" s="269" t="n"/>
      <c r="K695" s="269" t="n"/>
      <c r="L695" s="269" t="n"/>
      <c r="M695" s="269" t="n"/>
      <c r="N695" s="269" t="n"/>
      <c r="O695" s="269" t="n"/>
      <c r="P695" s="269" t="n"/>
      <c r="Q695" s="269" t="n"/>
      <c r="R695" s="269" t="n"/>
      <c r="S695" s="269" t="n"/>
      <c r="T695" s="269" t="n"/>
      <c r="U695" s="269" t="n"/>
      <c r="V695" s="269" t="n"/>
      <c r="W695" s="270" t="n"/>
    </row>
    <row r="696" customFormat="1" s="163">
      <c r="A696" s="282" t="n"/>
      <c r="B696" s="277" t="n"/>
      <c r="C696" s="278" t="n"/>
      <c r="D696" s="269" t="n"/>
      <c r="E696" s="269" t="n"/>
      <c r="F696" s="269" t="n"/>
      <c r="G696" s="269" t="n"/>
      <c r="H696" s="269" t="n"/>
      <c r="I696" s="269" t="n"/>
      <c r="J696" s="269" t="n"/>
      <c r="K696" s="269" t="n"/>
      <c r="L696" s="269" t="n"/>
      <c r="M696" s="269" t="n"/>
      <c r="N696" s="269" t="n"/>
      <c r="O696" s="269" t="n"/>
      <c r="P696" s="269" t="n"/>
      <c r="Q696" s="269" t="n"/>
      <c r="R696" s="269" t="n"/>
      <c r="S696" s="269" t="n"/>
      <c r="T696" s="269" t="n"/>
      <c r="U696" s="269" t="n"/>
      <c r="V696" s="269" t="n"/>
      <c r="W696" s="270" t="n"/>
    </row>
    <row r="697" customFormat="1" s="163">
      <c r="A697" s="282" t="n"/>
      <c r="B697" s="277" t="n"/>
      <c r="C697" s="278" t="n"/>
      <c r="D697" s="269" t="n"/>
      <c r="E697" s="269" t="n"/>
      <c r="F697" s="269" t="n"/>
      <c r="G697" s="269" t="n"/>
      <c r="H697" s="269" t="n"/>
      <c r="I697" s="269" t="n"/>
      <c r="J697" s="269" t="n"/>
      <c r="K697" s="269" t="n"/>
      <c r="L697" s="269" t="n"/>
      <c r="M697" s="269" t="n"/>
      <c r="N697" s="269" t="n"/>
      <c r="O697" s="269" t="n"/>
      <c r="P697" s="269" t="n"/>
      <c r="Q697" s="269" t="n"/>
      <c r="R697" s="269" t="n"/>
      <c r="S697" s="269" t="n"/>
      <c r="T697" s="269" t="n"/>
      <c r="U697" s="269" t="n"/>
      <c r="V697" s="269" t="n"/>
      <c r="W697" s="270" t="n"/>
    </row>
    <row r="698" customFormat="1" s="163">
      <c r="A698" s="282" t="n"/>
      <c r="B698" s="277" t="n"/>
      <c r="C698" s="278" t="n"/>
      <c r="D698" s="269" t="n"/>
      <c r="E698" s="269" t="n"/>
      <c r="F698" s="269" t="n"/>
      <c r="G698" s="269" t="n"/>
      <c r="H698" s="269" t="n"/>
      <c r="I698" s="269" t="n"/>
      <c r="J698" s="269" t="n"/>
      <c r="K698" s="269" t="n"/>
      <c r="L698" s="269" t="n"/>
      <c r="M698" s="269" t="n"/>
      <c r="N698" s="269" t="n"/>
      <c r="O698" s="269" t="n"/>
      <c r="P698" s="269" t="n"/>
      <c r="Q698" s="269" t="n"/>
      <c r="R698" s="269" t="n"/>
      <c r="S698" s="269" t="n"/>
      <c r="T698" s="269" t="n"/>
      <c r="U698" s="269" t="n"/>
      <c r="V698" s="269" t="n"/>
      <c r="W698" s="270" t="n"/>
    </row>
    <row r="699" customFormat="1" s="163">
      <c r="A699" s="282" t="n"/>
      <c r="B699" s="277" t="n"/>
      <c r="C699" s="278" t="n"/>
      <c r="D699" s="269" t="n"/>
      <c r="E699" s="269" t="n"/>
      <c r="F699" s="269" t="n"/>
      <c r="G699" s="269" t="n"/>
      <c r="H699" s="269" t="n"/>
      <c r="I699" s="269" t="n"/>
      <c r="J699" s="269" t="n"/>
      <c r="K699" s="269" t="n"/>
      <c r="L699" s="269" t="n"/>
      <c r="M699" s="269" t="n"/>
      <c r="N699" s="269" t="n"/>
      <c r="O699" s="269" t="n"/>
      <c r="P699" s="269" t="n"/>
      <c r="Q699" s="269" t="n"/>
      <c r="R699" s="269" t="n"/>
      <c r="S699" s="269" t="n"/>
      <c r="T699" s="269" t="n"/>
      <c r="U699" s="269" t="n"/>
      <c r="V699" s="269" t="n"/>
      <c r="W699" s="270" t="n"/>
    </row>
    <row r="700" customFormat="1" s="163">
      <c r="A700" s="282" t="n"/>
      <c r="B700" s="277" t="n"/>
      <c r="C700" s="278" t="n"/>
      <c r="D700" s="269" t="n"/>
      <c r="E700" s="269" t="n"/>
      <c r="F700" s="269" t="n"/>
      <c r="G700" s="269" t="n"/>
      <c r="H700" s="269" t="n"/>
      <c r="I700" s="269" t="n"/>
      <c r="J700" s="269" t="n"/>
      <c r="K700" s="269" t="n"/>
      <c r="L700" s="269" t="n"/>
      <c r="M700" s="269" t="n"/>
      <c r="N700" s="269" t="n"/>
      <c r="O700" s="269" t="n"/>
      <c r="P700" s="269" t="n"/>
      <c r="Q700" s="269" t="n"/>
      <c r="R700" s="269" t="n"/>
      <c r="S700" s="269" t="n"/>
      <c r="T700" s="269" t="n"/>
      <c r="U700" s="269" t="n"/>
      <c r="V700" s="269" t="n"/>
      <c r="W700" s="270" t="n"/>
    </row>
    <row r="701" customFormat="1" s="163">
      <c r="A701" s="282" t="n"/>
      <c r="B701" s="277" t="n"/>
      <c r="C701" s="278" t="n"/>
      <c r="D701" s="269" t="n"/>
      <c r="E701" s="269" t="n"/>
      <c r="F701" s="269" t="n"/>
      <c r="G701" s="269" t="n"/>
      <c r="H701" s="269" t="n"/>
      <c r="I701" s="269" t="n"/>
      <c r="J701" s="269" t="n"/>
      <c r="K701" s="269" t="n"/>
      <c r="L701" s="269" t="n"/>
      <c r="M701" s="269" t="n"/>
      <c r="N701" s="269" t="n"/>
      <c r="O701" s="269" t="n"/>
      <c r="P701" s="269" t="n"/>
      <c r="Q701" s="269" t="n"/>
      <c r="R701" s="269" t="n"/>
      <c r="S701" s="269" t="n"/>
      <c r="T701" s="269" t="n"/>
      <c r="U701" s="269" t="n"/>
      <c r="V701" s="269" t="n"/>
      <c r="W701" s="270" t="n"/>
    </row>
    <row r="702" customFormat="1" s="163">
      <c r="A702" s="282" t="n"/>
      <c r="B702" s="277" t="n"/>
      <c r="C702" s="278" t="n"/>
      <c r="D702" s="269" t="n"/>
      <c r="E702" s="269" t="n"/>
      <c r="F702" s="269" t="n"/>
      <c r="G702" s="269" t="n"/>
      <c r="H702" s="269" t="n"/>
      <c r="I702" s="269" t="n"/>
      <c r="J702" s="269" t="n"/>
      <c r="K702" s="269" t="n"/>
      <c r="L702" s="269" t="n"/>
      <c r="M702" s="269" t="n"/>
      <c r="N702" s="269" t="n"/>
      <c r="O702" s="269" t="n"/>
      <c r="P702" s="269" t="n"/>
      <c r="Q702" s="269" t="n"/>
      <c r="R702" s="269" t="n"/>
      <c r="S702" s="269" t="n"/>
      <c r="T702" s="269" t="n"/>
      <c r="U702" s="269" t="n"/>
      <c r="V702" s="269" t="n"/>
      <c r="W702" s="270" t="n"/>
    </row>
    <row r="703" customFormat="1" s="163">
      <c r="A703" s="282" t="n"/>
      <c r="B703" s="277" t="n"/>
      <c r="C703" s="278" t="n"/>
      <c r="D703" s="269" t="n"/>
      <c r="E703" s="269" t="n"/>
      <c r="F703" s="269" t="n"/>
      <c r="G703" s="269" t="n"/>
      <c r="H703" s="269" t="n"/>
      <c r="I703" s="269" t="n"/>
      <c r="J703" s="269" t="n"/>
      <c r="K703" s="269" t="n"/>
      <c r="L703" s="269" t="n"/>
      <c r="M703" s="269" t="n"/>
      <c r="N703" s="269" t="n"/>
      <c r="O703" s="269" t="n"/>
      <c r="P703" s="269" t="n"/>
      <c r="Q703" s="269" t="n"/>
      <c r="R703" s="269" t="n"/>
      <c r="S703" s="269" t="n"/>
      <c r="T703" s="269" t="n"/>
      <c r="U703" s="269" t="n"/>
      <c r="V703" s="269" t="n"/>
      <c r="W703" s="270" t="n"/>
    </row>
    <row r="704" customFormat="1" s="163">
      <c r="A704" s="282" t="n"/>
      <c r="B704" s="277" t="n"/>
      <c r="C704" s="278" t="n"/>
      <c r="D704" s="269" t="n"/>
      <c r="E704" s="269" t="n"/>
      <c r="F704" s="269" t="n"/>
      <c r="G704" s="269" t="n"/>
      <c r="H704" s="269" t="n"/>
      <c r="I704" s="269" t="n"/>
      <c r="J704" s="269" t="n"/>
      <c r="K704" s="269" t="n"/>
      <c r="L704" s="269" t="n"/>
      <c r="M704" s="269" t="n"/>
      <c r="N704" s="269" t="n"/>
      <c r="O704" s="269" t="n"/>
      <c r="P704" s="269" t="n"/>
      <c r="Q704" s="269" t="n"/>
      <c r="R704" s="269" t="n"/>
      <c r="S704" s="269" t="n"/>
      <c r="T704" s="269" t="n"/>
      <c r="U704" s="269" t="n"/>
      <c r="V704" s="269" t="n"/>
      <c r="W704" s="270" t="n"/>
    </row>
    <row r="705" customFormat="1" s="163">
      <c r="A705" s="282" t="n"/>
      <c r="B705" s="277" t="n"/>
      <c r="C705" s="278" t="n"/>
      <c r="D705" s="269" t="n"/>
      <c r="E705" s="269" t="n"/>
      <c r="F705" s="269" t="n"/>
      <c r="G705" s="269" t="n"/>
      <c r="H705" s="269" t="n"/>
      <c r="I705" s="269" t="n"/>
      <c r="J705" s="269" t="n"/>
      <c r="K705" s="269" t="n"/>
      <c r="L705" s="269" t="n"/>
      <c r="M705" s="269" t="n"/>
      <c r="N705" s="269" t="n"/>
      <c r="O705" s="269" t="n"/>
      <c r="P705" s="269" t="n"/>
      <c r="Q705" s="269" t="n"/>
      <c r="R705" s="269" t="n"/>
      <c r="S705" s="269" t="n"/>
      <c r="T705" s="269" t="n"/>
      <c r="U705" s="269" t="n"/>
      <c r="V705" s="269" t="n"/>
      <c r="W705" s="270" t="n"/>
    </row>
    <row r="706" customFormat="1" s="163">
      <c r="A706" s="282" t="n"/>
      <c r="B706" s="277" t="n"/>
      <c r="C706" s="278" t="n"/>
      <c r="D706" s="269" t="n"/>
      <c r="E706" s="269" t="n"/>
      <c r="F706" s="269" t="n"/>
      <c r="G706" s="269" t="n"/>
      <c r="H706" s="269" t="n"/>
      <c r="I706" s="269" t="n"/>
      <c r="J706" s="269" t="n"/>
      <c r="K706" s="269" t="n"/>
      <c r="L706" s="269" t="n"/>
      <c r="M706" s="269" t="n"/>
      <c r="N706" s="269" t="n"/>
      <c r="O706" s="269" t="n"/>
      <c r="P706" s="269" t="n"/>
      <c r="Q706" s="269" t="n"/>
      <c r="R706" s="269" t="n"/>
      <c r="S706" s="269" t="n"/>
      <c r="T706" s="269" t="n"/>
      <c r="U706" s="269" t="n"/>
      <c r="V706" s="269" t="n"/>
      <c r="W706" s="270" t="n"/>
    </row>
    <row r="707" customFormat="1" s="163">
      <c r="A707" s="282" t="n"/>
      <c r="B707" s="277" t="n"/>
      <c r="C707" s="278" t="n"/>
      <c r="D707" s="269" t="n"/>
      <c r="E707" s="269" t="n"/>
      <c r="F707" s="269" t="n"/>
      <c r="G707" s="269" t="n"/>
      <c r="H707" s="269" t="n"/>
      <c r="I707" s="269" t="n"/>
      <c r="J707" s="269" t="n"/>
      <c r="K707" s="269" t="n"/>
      <c r="L707" s="269" t="n"/>
      <c r="M707" s="269" t="n"/>
      <c r="N707" s="269" t="n"/>
      <c r="O707" s="269" t="n"/>
      <c r="P707" s="269" t="n"/>
      <c r="Q707" s="269" t="n"/>
      <c r="R707" s="269" t="n"/>
      <c r="S707" s="269" t="n"/>
      <c r="T707" s="269" t="n"/>
      <c r="U707" s="269" t="n"/>
      <c r="V707" s="269" t="n"/>
      <c r="W707" s="270" t="n"/>
    </row>
    <row r="708" customFormat="1" s="163">
      <c r="A708" s="282" t="n"/>
      <c r="B708" s="277" t="n"/>
      <c r="C708" s="278" t="n"/>
      <c r="D708" s="269" t="n"/>
      <c r="E708" s="269" t="n"/>
      <c r="F708" s="269" t="n"/>
      <c r="G708" s="269" t="n"/>
      <c r="H708" s="269" t="n"/>
      <c r="I708" s="269" t="n"/>
      <c r="J708" s="269" t="n"/>
      <c r="K708" s="269" t="n"/>
      <c r="L708" s="269" t="n"/>
      <c r="M708" s="269" t="n"/>
      <c r="N708" s="269" t="n"/>
      <c r="O708" s="269" t="n"/>
      <c r="P708" s="269" t="n"/>
      <c r="Q708" s="269" t="n"/>
      <c r="R708" s="269" t="n"/>
      <c r="S708" s="269" t="n"/>
      <c r="T708" s="269" t="n"/>
      <c r="U708" s="269" t="n"/>
      <c r="V708" s="269" t="n"/>
      <c r="W708" s="270" t="n"/>
    </row>
    <row r="709" customFormat="1" s="163">
      <c r="A709" s="282" t="n"/>
      <c r="B709" s="277" t="n"/>
      <c r="C709" s="278" t="n"/>
      <c r="D709" s="269" t="n"/>
      <c r="E709" s="269" t="n"/>
      <c r="F709" s="269" t="n"/>
      <c r="G709" s="269" t="n"/>
      <c r="H709" s="269" t="n"/>
      <c r="I709" s="269" t="n"/>
      <c r="J709" s="269" t="n"/>
      <c r="K709" s="269" t="n"/>
      <c r="L709" s="269" t="n"/>
      <c r="M709" s="269" t="n"/>
      <c r="N709" s="269" t="n"/>
      <c r="O709" s="269" t="n"/>
      <c r="P709" s="269" t="n"/>
      <c r="Q709" s="269" t="n"/>
      <c r="R709" s="269" t="n"/>
      <c r="S709" s="269" t="n"/>
      <c r="T709" s="269" t="n"/>
      <c r="U709" s="269" t="n"/>
      <c r="V709" s="269" t="n"/>
      <c r="W709" s="270" t="n"/>
    </row>
    <row r="710" customFormat="1" s="163">
      <c r="A710" s="282" t="n"/>
      <c r="B710" s="277" t="n"/>
      <c r="C710" s="278" t="n"/>
      <c r="D710" s="269" t="n"/>
      <c r="E710" s="269" t="n"/>
      <c r="F710" s="269" t="n"/>
      <c r="G710" s="269" t="n"/>
      <c r="H710" s="269" t="n"/>
      <c r="I710" s="269" t="n"/>
      <c r="J710" s="269" t="n"/>
      <c r="K710" s="269" t="n"/>
      <c r="L710" s="269" t="n"/>
      <c r="M710" s="269" t="n"/>
      <c r="N710" s="269" t="n"/>
      <c r="O710" s="269" t="n"/>
      <c r="P710" s="269" t="n"/>
      <c r="Q710" s="269" t="n"/>
      <c r="R710" s="269" t="n"/>
      <c r="S710" s="269" t="n"/>
      <c r="T710" s="269" t="n"/>
      <c r="U710" s="269" t="n"/>
      <c r="V710" s="269" t="n"/>
      <c r="W710" s="270" t="n"/>
    </row>
    <row r="711" customFormat="1" s="163">
      <c r="A711" s="282" t="n"/>
      <c r="B711" s="277" t="n"/>
      <c r="C711" s="278" t="n"/>
      <c r="D711" s="269" t="n"/>
      <c r="E711" s="269" t="n"/>
      <c r="F711" s="269" t="n"/>
      <c r="G711" s="269" t="n"/>
      <c r="H711" s="269" t="n"/>
      <c r="I711" s="269" t="n"/>
      <c r="J711" s="269" t="n"/>
      <c r="K711" s="269" t="n"/>
      <c r="L711" s="269" t="n"/>
      <c r="M711" s="269" t="n"/>
      <c r="N711" s="269" t="n"/>
      <c r="O711" s="269" t="n"/>
      <c r="P711" s="269" t="n"/>
      <c r="Q711" s="269" t="n"/>
      <c r="R711" s="269" t="n"/>
      <c r="S711" s="269" t="n"/>
      <c r="T711" s="269" t="n"/>
      <c r="U711" s="269" t="n"/>
      <c r="V711" s="269" t="n"/>
      <c r="W711" s="270" t="n"/>
    </row>
    <row r="712" customFormat="1" s="163">
      <c r="A712" s="282" t="n"/>
      <c r="B712" s="277" t="n"/>
      <c r="C712" s="278" t="n"/>
      <c r="D712" s="269" t="n"/>
      <c r="E712" s="269" t="n"/>
      <c r="F712" s="269" t="n"/>
      <c r="G712" s="269" t="n"/>
      <c r="H712" s="269" t="n"/>
      <c r="I712" s="269" t="n"/>
      <c r="J712" s="269" t="n"/>
      <c r="K712" s="269" t="n"/>
      <c r="L712" s="269" t="n"/>
      <c r="M712" s="269" t="n"/>
      <c r="N712" s="269" t="n"/>
      <c r="O712" s="269" t="n"/>
      <c r="P712" s="269" t="n"/>
      <c r="Q712" s="269" t="n"/>
      <c r="R712" s="269" t="n"/>
      <c r="S712" s="269" t="n"/>
      <c r="T712" s="269" t="n"/>
      <c r="U712" s="269" t="n"/>
      <c r="V712" s="269" t="n"/>
      <c r="W712" s="270" t="n"/>
    </row>
    <row r="713" customFormat="1" s="163">
      <c r="A713" s="282" t="n"/>
      <c r="B713" s="277" t="n"/>
      <c r="C713" s="278" t="n"/>
      <c r="D713" s="269" t="n"/>
      <c r="E713" s="269" t="n"/>
      <c r="F713" s="269" t="n"/>
      <c r="G713" s="269" t="n"/>
      <c r="H713" s="269" t="n"/>
      <c r="I713" s="269" t="n"/>
      <c r="J713" s="269" t="n"/>
      <c r="K713" s="269" t="n"/>
      <c r="L713" s="269" t="n"/>
      <c r="M713" s="269" t="n"/>
      <c r="N713" s="269" t="n"/>
      <c r="O713" s="269" t="n"/>
      <c r="P713" s="269" t="n"/>
      <c r="Q713" s="269" t="n"/>
      <c r="R713" s="269" t="n"/>
      <c r="S713" s="269" t="n"/>
      <c r="T713" s="269" t="n"/>
      <c r="U713" s="269" t="n"/>
      <c r="V713" s="269" t="n"/>
      <c r="W713" s="270" t="n"/>
    </row>
    <row r="714" customFormat="1" s="163">
      <c r="A714" s="282" t="n"/>
      <c r="B714" s="277" t="n"/>
      <c r="C714" s="278" t="n"/>
      <c r="D714" s="269" t="n"/>
      <c r="E714" s="269" t="n"/>
      <c r="F714" s="269" t="n"/>
      <c r="G714" s="269" t="n"/>
      <c r="H714" s="269" t="n"/>
      <c r="I714" s="269" t="n"/>
      <c r="J714" s="269" t="n"/>
      <c r="K714" s="269" t="n"/>
      <c r="L714" s="269" t="n"/>
      <c r="M714" s="269" t="n"/>
      <c r="N714" s="269" t="n"/>
      <c r="O714" s="269" t="n"/>
      <c r="P714" s="269" t="n"/>
      <c r="Q714" s="269" t="n"/>
      <c r="R714" s="269" t="n"/>
      <c r="S714" s="269" t="n"/>
      <c r="T714" s="269" t="n"/>
      <c r="U714" s="269" t="n"/>
      <c r="V714" s="269" t="n"/>
      <c r="W714" s="270" t="n"/>
    </row>
    <row r="715" customFormat="1" s="163">
      <c r="A715" s="282" t="n"/>
      <c r="B715" s="277" t="n"/>
      <c r="C715" s="278" t="n"/>
      <c r="D715" s="269" t="n"/>
      <c r="E715" s="269" t="n"/>
      <c r="F715" s="269" t="n"/>
      <c r="G715" s="269" t="n"/>
      <c r="H715" s="269" t="n"/>
      <c r="I715" s="269" t="n"/>
      <c r="J715" s="269" t="n"/>
      <c r="K715" s="269" t="n"/>
      <c r="L715" s="269" t="n"/>
      <c r="M715" s="269" t="n"/>
      <c r="N715" s="269" t="n"/>
      <c r="O715" s="269" t="n"/>
      <c r="P715" s="269" t="n"/>
      <c r="Q715" s="269" t="n"/>
      <c r="R715" s="269" t="n"/>
      <c r="S715" s="269" t="n"/>
      <c r="T715" s="269" t="n"/>
      <c r="U715" s="269" t="n"/>
      <c r="V715" s="269" t="n"/>
      <c r="W715" s="270" t="n"/>
    </row>
    <row r="716" customFormat="1" s="163">
      <c r="A716" s="282" t="n"/>
      <c r="B716" s="277" t="n"/>
      <c r="C716" s="278" t="n"/>
      <c r="D716" s="269" t="n"/>
      <c r="E716" s="269" t="n"/>
      <c r="F716" s="269" t="n"/>
      <c r="G716" s="269" t="n"/>
      <c r="H716" s="269" t="n"/>
      <c r="I716" s="269" t="n"/>
      <c r="J716" s="269" t="n"/>
      <c r="K716" s="269" t="n"/>
      <c r="L716" s="269" t="n"/>
      <c r="M716" s="269" t="n"/>
      <c r="N716" s="269" t="n"/>
      <c r="O716" s="269" t="n"/>
      <c r="P716" s="269" t="n"/>
      <c r="Q716" s="269" t="n"/>
      <c r="R716" s="269" t="n"/>
      <c r="S716" s="269" t="n"/>
      <c r="T716" s="269" t="n"/>
      <c r="U716" s="269" t="n"/>
      <c r="V716" s="269" t="n"/>
      <c r="W716" s="270" t="n"/>
    </row>
    <row r="717" customFormat="1" s="163">
      <c r="A717" s="282" t="n"/>
      <c r="B717" s="277" t="n"/>
      <c r="C717" s="278" t="n"/>
      <c r="D717" s="269" t="n"/>
      <c r="E717" s="269" t="n"/>
      <c r="F717" s="269" t="n"/>
      <c r="G717" s="269" t="n"/>
      <c r="H717" s="269" t="n"/>
      <c r="I717" s="269" t="n"/>
      <c r="J717" s="269" t="n"/>
      <c r="K717" s="269" t="n"/>
      <c r="L717" s="269" t="n"/>
      <c r="M717" s="269" t="n"/>
      <c r="N717" s="269" t="n"/>
      <c r="O717" s="269" t="n"/>
      <c r="P717" s="269" t="n"/>
      <c r="Q717" s="269" t="n"/>
      <c r="R717" s="269" t="n"/>
      <c r="S717" s="269" t="n"/>
      <c r="T717" s="269" t="n"/>
      <c r="U717" s="269" t="n"/>
      <c r="V717" s="269" t="n"/>
      <c r="W717" s="270" t="n"/>
    </row>
    <row r="718" customFormat="1" s="163">
      <c r="A718" s="282" t="n"/>
      <c r="B718" s="277" t="n"/>
      <c r="C718" s="278" t="n"/>
      <c r="D718" s="269" t="n"/>
      <c r="E718" s="269" t="n"/>
      <c r="F718" s="269" t="n"/>
      <c r="G718" s="269" t="n"/>
      <c r="H718" s="269" t="n"/>
      <c r="I718" s="269" t="n"/>
      <c r="J718" s="269" t="n"/>
      <c r="K718" s="269" t="n"/>
      <c r="L718" s="269" t="n"/>
      <c r="M718" s="269" t="n"/>
      <c r="N718" s="269" t="n"/>
      <c r="O718" s="269" t="n"/>
      <c r="P718" s="269" t="n"/>
      <c r="Q718" s="269" t="n"/>
      <c r="R718" s="269" t="n"/>
      <c r="S718" s="269" t="n"/>
      <c r="T718" s="269" t="n"/>
      <c r="U718" s="269" t="n"/>
      <c r="V718" s="269" t="n"/>
      <c r="W718" s="270" t="n"/>
    </row>
    <row r="719" customFormat="1" s="163">
      <c r="A719" s="282" t="n"/>
      <c r="B719" s="277" t="n"/>
      <c r="C719" s="278" t="n"/>
      <c r="D719" s="269" t="n"/>
      <c r="E719" s="269" t="n"/>
      <c r="F719" s="269" t="n"/>
      <c r="G719" s="269" t="n"/>
      <c r="H719" s="269" t="n"/>
      <c r="I719" s="269" t="n"/>
      <c r="J719" s="269" t="n"/>
      <c r="K719" s="269" t="n"/>
      <c r="L719" s="269" t="n"/>
      <c r="M719" s="269" t="n"/>
      <c r="N719" s="269" t="n"/>
      <c r="O719" s="269" t="n"/>
      <c r="P719" s="269" t="n"/>
      <c r="Q719" s="269" t="n"/>
      <c r="R719" s="269" t="n"/>
      <c r="S719" s="269" t="n"/>
      <c r="T719" s="269" t="n"/>
      <c r="U719" s="269" t="n"/>
      <c r="V719" s="269" t="n"/>
      <c r="W719" s="270" t="n"/>
    </row>
    <row r="720" customFormat="1" s="163">
      <c r="A720" s="282" t="n"/>
      <c r="B720" s="277" t="n"/>
      <c r="C720" s="278" t="n"/>
      <c r="D720" s="269" t="n"/>
      <c r="E720" s="269" t="n"/>
      <c r="F720" s="269" t="n"/>
      <c r="G720" s="269" t="n"/>
      <c r="H720" s="269" t="n"/>
      <c r="I720" s="269" t="n"/>
      <c r="J720" s="269" t="n"/>
      <c r="K720" s="269" t="n"/>
      <c r="L720" s="269" t="n"/>
      <c r="M720" s="269" t="n"/>
      <c r="N720" s="269" t="n"/>
      <c r="O720" s="269" t="n"/>
      <c r="P720" s="269" t="n"/>
      <c r="Q720" s="269" t="n"/>
      <c r="R720" s="269" t="n"/>
      <c r="S720" s="269" t="n"/>
      <c r="T720" s="269" t="n"/>
      <c r="U720" s="269" t="n"/>
      <c r="V720" s="269" t="n"/>
      <c r="W720" s="270" t="n"/>
    </row>
    <row r="721" customFormat="1" s="163">
      <c r="A721" s="282" t="n"/>
      <c r="B721" s="277" t="n"/>
      <c r="C721" s="278" t="n"/>
      <c r="D721" s="269" t="n"/>
      <c r="E721" s="269" t="n"/>
      <c r="F721" s="269" t="n"/>
      <c r="G721" s="269" t="n"/>
      <c r="H721" s="269" t="n"/>
      <c r="I721" s="269" t="n"/>
      <c r="J721" s="269" t="n"/>
      <c r="K721" s="269" t="n"/>
      <c r="L721" s="269" t="n"/>
      <c r="M721" s="269" t="n"/>
      <c r="N721" s="269" t="n"/>
      <c r="O721" s="269" t="n"/>
      <c r="P721" s="269" t="n"/>
      <c r="Q721" s="269" t="n"/>
      <c r="R721" s="269" t="n"/>
      <c r="S721" s="269" t="n"/>
      <c r="T721" s="269" t="n"/>
      <c r="U721" s="269" t="n"/>
      <c r="V721" s="269" t="n"/>
      <c r="W721" s="270" t="n"/>
    </row>
    <row r="722" customFormat="1" s="163">
      <c r="A722" s="282" t="n"/>
      <c r="B722" s="277" t="n"/>
      <c r="C722" s="278" t="n"/>
      <c r="D722" s="269" t="n"/>
      <c r="E722" s="269" t="n"/>
      <c r="F722" s="269" t="n"/>
      <c r="G722" s="269" t="n"/>
      <c r="H722" s="269" t="n"/>
      <c r="I722" s="269" t="n"/>
      <c r="J722" s="269" t="n"/>
      <c r="K722" s="269" t="n"/>
      <c r="L722" s="269" t="n"/>
      <c r="M722" s="269" t="n"/>
      <c r="N722" s="269" t="n"/>
      <c r="O722" s="269" t="n"/>
      <c r="P722" s="269" t="n"/>
      <c r="Q722" s="269" t="n"/>
      <c r="R722" s="269" t="n"/>
      <c r="S722" s="269" t="n"/>
      <c r="T722" s="269" t="n"/>
      <c r="U722" s="269" t="n"/>
      <c r="V722" s="269" t="n"/>
      <c r="W722" s="270" t="n"/>
    </row>
    <row r="723" customFormat="1" s="163">
      <c r="A723" s="282" t="n"/>
      <c r="B723" s="277" t="n"/>
      <c r="C723" s="278" t="n"/>
      <c r="D723" s="269" t="n"/>
      <c r="E723" s="269" t="n"/>
      <c r="F723" s="269" t="n"/>
      <c r="G723" s="269" t="n"/>
      <c r="H723" s="269" t="n"/>
      <c r="I723" s="269" t="n"/>
      <c r="J723" s="269" t="n"/>
      <c r="K723" s="269" t="n"/>
      <c r="L723" s="269" t="n"/>
      <c r="M723" s="269" t="n"/>
      <c r="N723" s="269" t="n"/>
      <c r="O723" s="269" t="n"/>
      <c r="P723" s="269" t="n"/>
      <c r="Q723" s="269" t="n"/>
      <c r="R723" s="269" t="n"/>
      <c r="S723" s="269" t="n"/>
      <c r="T723" s="269" t="n"/>
      <c r="U723" s="269" t="n"/>
      <c r="V723" s="269" t="n"/>
      <c r="W723" s="270" t="n"/>
    </row>
    <row r="724" customFormat="1" s="163">
      <c r="A724" s="282" t="n"/>
      <c r="B724" s="277" t="n"/>
      <c r="C724" s="278" t="n"/>
      <c r="D724" s="269" t="n"/>
      <c r="E724" s="269" t="n"/>
      <c r="F724" s="269" t="n"/>
      <c r="G724" s="269" t="n"/>
      <c r="H724" s="269" t="n"/>
      <c r="I724" s="269" t="n"/>
      <c r="J724" s="269" t="n"/>
      <c r="K724" s="269" t="n"/>
      <c r="L724" s="269" t="n"/>
      <c r="M724" s="269" t="n"/>
      <c r="N724" s="269" t="n"/>
      <c r="O724" s="269" t="n"/>
      <c r="P724" s="269" t="n"/>
      <c r="Q724" s="269" t="n"/>
      <c r="R724" s="269" t="n"/>
      <c r="S724" s="269" t="n"/>
      <c r="T724" s="269" t="n"/>
      <c r="U724" s="269" t="n"/>
      <c r="V724" s="269" t="n"/>
      <c r="W724" s="270" t="n"/>
    </row>
    <row r="725" customFormat="1" s="163">
      <c r="A725" s="282" t="n"/>
      <c r="B725" s="277" t="n"/>
      <c r="C725" s="278" t="n"/>
      <c r="D725" s="269" t="n"/>
      <c r="E725" s="269" t="n"/>
      <c r="F725" s="269" t="n"/>
      <c r="G725" s="269" t="n"/>
      <c r="H725" s="269" t="n"/>
      <c r="I725" s="269" t="n"/>
      <c r="J725" s="269" t="n"/>
      <c r="K725" s="269" t="n"/>
      <c r="L725" s="269" t="n"/>
      <c r="M725" s="269" t="n"/>
      <c r="N725" s="269" t="n"/>
      <c r="O725" s="269" t="n"/>
      <c r="P725" s="269" t="n"/>
      <c r="Q725" s="269" t="n"/>
      <c r="R725" s="269" t="n"/>
      <c r="S725" s="269" t="n"/>
      <c r="T725" s="269" t="n"/>
      <c r="U725" s="269" t="n"/>
      <c r="V725" s="269" t="n"/>
      <c r="W725" s="270" t="n"/>
    </row>
    <row r="726" customFormat="1" s="163">
      <c r="A726" s="282" t="n"/>
      <c r="B726" s="277" t="n"/>
      <c r="C726" s="278" t="n"/>
      <c r="D726" s="269" t="n"/>
      <c r="E726" s="269" t="n"/>
      <c r="F726" s="269" t="n"/>
      <c r="G726" s="269" t="n"/>
      <c r="H726" s="269" t="n"/>
      <c r="I726" s="269" t="n"/>
      <c r="J726" s="269" t="n"/>
      <c r="K726" s="269" t="n"/>
      <c r="L726" s="269" t="n"/>
      <c r="M726" s="269" t="n"/>
      <c r="N726" s="269" t="n"/>
      <c r="O726" s="269" t="n"/>
      <c r="P726" s="269" t="n"/>
      <c r="Q726" s="269" t="n"/>
      <c r="R726" s="269" t="n"/>
      <c r="S726" s="269" t="n"/>
      <c r="T726" s="269" t="n"/>
      <c r="U726" s="269" t="n"/>
      <c r="V726" s="269" t="n"/>
      <c r="W726" s="270" t="n"/>
    </row>
    <row r="727" customFormat="1" s="163">
      <c r="A727" s="282" t="n"/>
      <c r="B727" s="277" t="n"/>
      <c r="C727" s="278" t="n"/>
      <c r="D727" s="269" t="n"/>
      <c r="E727" s="269" t="n"/>
      <c r="F727" s="269" t="n"/>
      <c r="G727" s="269" t="n"/>
      <c r="H727" s="269" t="n"/>
      <c r="I727" s="269" t="n"/>
      <c r="J727" s="269" t="n"/>
      <c r="K727" s="269" t="n"/>
      <c r="L727" s="269" t="n"/>
      <c r="M727" s="269" t="n"/>
      <c r="N727" s="269" t="n"/>
      <c r="O727" s="269" t="n"/>
      <c r="P727" s="269" t="n"/>
      <c r="Q727" s="269" t="n"/>
      <c r="R727" s="269" t="n"/>
      <c r="S727" s="269" t="n"/>
      <c r="T727" s="269" t="n"/>
      <c r="U727" s="269" t="n"/>
      <c r="V727" s="269" t="n"/>
      <c r="W727" s="270" t="n"/>
    </row>
    <row r="728" customFormat="1" s="163">
      <c r="A728" s="282" t="n"/>
      <c r="B728" s="277" t="n"/>
      <c r="C728" s="278" t="n"/>
      <c r="D728" s="269" t="n"/>
      <c r="E728" s="269" t="n"/>
      <c r="F728" s="269" t="n"/>
      <c r="G728" s="269" t="n"/>
      <c r="H728" s="269" t="n"/>
      <c r="I728" s="269" t="n"/>
      <c r="J728" s="269" t="n"/>
      <c r="K728" s="269" t="n"/>
      <c r="L728" s="269" t="n"/>
      <c r="M728" s="269" t="n"/>
      <c r="N728" s="269" t="n"/>
      <c r="O728" s="269" t="n"/>
      <c r="P728" s="269" t="n"/>
      <c r="Q728" s="269" t="n"/>
      <c r="R728" s="269" t="n"/>
      <c r="S728" s="269" t="n"/>
      <c r="T728" s="269" t="n"/>
      <c r="U728" s="269" t="n"/>
      <c r="V728" s="269" t="n"/>
      <c r="W728" s="270" t="n"/>
    </row>
    <row r="729" customFormat="1" s="163">
      <c r="A729" s="282" t="n"/>
      <c r="B729" s="277" t="n"/>
      <c r="C729" s="278" t="n"/>
      <c r="D729" s="269" t="n"/>
      <c r="E729" s="269" t="n"/>
      <c r="F729" s="269" t="n"/>
      <c r="G729" s="269" t="n"/>
      <c r="H729" s="269" t="n"/>
      <c r="I729" s="269" t="n"/>
      <c r="J729" s="269" t="n"/>
      <c r="K729" s="269" t="n"/>
      <c r="L729" s="269" t="n"/>
      <c r="M729" s="269" t="n"/>
      <c r="N729" s="269" t="n"/>
      <c r="O729" s="269" t="n"/>
      <c r="P729" s="269" t="n"/>
      <c r="Q729" s="269" t="n"/>
      <c r="R729" s="269" t="n"/>
      <c r="S729" s="269" t="n"/>
      <c r="T729" s="269" t="n"/>
      <c r="U729" s="269" t="n"/>
      <c r="V729" s="269" t="n"/>
      <c r="W729" s="270" t="n"/>
    </row>
    <row r="730" customFormat="1" s="163">
      <c r="A730" s="282" t="n"/>
      <c r="B730" s="277" t="n"/>
      <c r="C730" s="278" t="n"/>
      <c r="D730" s="269" t="n"/>
      <c r="E730" s="269" t="n"/>
      <c r="F730" s="269" t="n"/>
      <c r="G730" s="269" t="n"/>
      <c r="H730" s="269" t="n"/>
      <c r="I730" s="269" t="n"/>
      <c r="J730" s="269" t="n"/>
      <c r="K730" s="269" t="n"/>
      <c r="L730" s="269" t="n"/>
      <c r="M730" s="269" t="n"/>
      <c r="N730" s="269" t="n"/>
      <c r="O730" s="269" t="n"/>
      <c r="P730" s="269" t="n"/>
      <c r="Q730" s="269" t="n"/>
      <c r="R730" s="269" t="n"/>
      <c r="S730" s="269" t="n"/>
      <c r="T730" s="269" t="n"/>
      <c r="U730" s="269" t="n"/>
      <c r="V730" s="269" t="n"/>
      <c r="W730" s="270" t="n"/>
    </row>
    <row r="731" customFormat="1" s="163">
      <c r="A731" s="282" t="n"/>
      <c r="B731" s="277" t="n"/>
      <c r="C731" s="278" t="n"/>
      <c r="D731" s="269" t="n"/>
      <c r="E731" s="269" t="n"/>
      <c r="F731" s="269" t="n"/>
      <c r="G731" s="269" t="n"/>
      <c r="H731" s="269" t="n"/>
      <c r="I731" s="269" t="n"/>
      <c r="J731" s="269" t="n"/>
      <c r="K731" s="269" t="n"/>
      <c r="L731" s="269" t="n"/>
      <c r="M731" s="269" t="n"/>
      <c r="N731" s="269" t="n"/>
      <c r="O731" s="269" t="n"/>
      <c r="P731" s="269" t="n"/>
      <c r="Q731" s="269" t="n"/>
      <c r="R731" s="269" t="n"/>
      <c r="S731" s="269" t="n"/>
      <c r="T731" s="269" t="n"/>
      <c r="U731" s="269" t="n"/>
      <c r="V731" s="269" t="n"/>
      <c r="W731" s="270" t="n"/>
    </row>
    <row r="732" customFormat="1" s="163">
      <c r="A732" s="282" t="n"/>
      <c r="B732" s="277" t="n"/>
      <c r="C732" s="278" t="n"/>
      <c r="D732" s="269" t="n"/>
      <c r="E732" s="269" t="n"/>
      <c r="F732" s="269" t="n"/>
      <c r="G732" s="269" t="n"/>
      <c r="H732" s="269" t="n"/>
      <c r="I732" s="269" t="n"/>
      <c r="J732" s="269" t="n"/>
      <c r="K732" s="269" t="n"/>
      <c r="L732" s="269" t="n"/>
      <c r="M732" s="269" t="n"/>
      <c r="N732" s="269" t="n"/>
      <c r="O732" s="269" t="n"/>
      <c r="P732" s="269" t="n"/>
      <c r="Q732" s="269" t="n"/>
      <c r="R732" s="269" t="n"/>
      <c r="S732" s="269" t="n"/>
      <c r="T732" s="269" t="n"/>
      <c r="U732" s="269" t="n"/>
      <c r="V732" s="269" t="n"/>
      <c r="W732" s="270" t="n"/>
    </row>
    <row r="733" customFormat="1" s="163">
      <c r="A733" s="282" t="n"/>
      <c r="B733" s="277" t="n"/>
      <c r="C733" s="278" t="n"/>
      <c r="D733" s="269" t="n"/>
      <c r="E733" s="269" t="n"/>
      <c r="F733" s="269" t="n"/>
      <c r="G733" s="269" t="n"/>
      <c r="H733" s="269" t="n"/>
      <c r="I733" s="269" t="n"/>
      <c r="J733" s="269" t="n"/>
      <c r="K733" s="269" t="n"/>
      <c r="L733" s="269" t="n"/>
      <c r="M733" s="269" t="n"/>
      <c r="N733" s="269" t="n"/>
      <c r="O733" s="269" t="n"/>
      <c r="P733" s="269" t="n"/>
      <c r="Q733" s="269" t="n"/>
      <c r="R733" s="269" t="n"/>
      <c r="S733" s="269" t="n"/>
      <c r="T733" s="269" t="n"/>
      <c r="U733" s="269" t="n"/>
      <c r="V733" s="269" t="n"/>
      <c r="W733" s="270" t="n"/>
    </row>
    <row r="734" customFormat="1" s="163">
      <c r="A734" s="282" t="n"/>
      <c r="B734" s="277" t="n"/>
      <c r="C734" s="278" t="n"/>
      <c r="D734" s="269" t="n"/>
      <c r="E734" s="269" t="n"/>
      <c r="F734" s="269" t="n"/>
      <c r="G734" s="269" t="n"/>
      <c r="H734" s="269" t="n"/>
      <c r="I734" s="269" t="n"/>
      <c r="J734" s="269" t="n"/>
      <c r="K734" s="269" t="n"/>
      <c r="L734" s="269" t="n"/>
      <c r="M734" s="269" t="n"/>
      <c r="N734" s="269" t="n"/>
      <c r="O734" s="269" t="n"/>
      <c r="P734" s="269" t="n"/>
      <c r="Q734" s="269" t="n"/>
      <c r="R734" s="269" t="n"/>
      <c r="S734" s="269" t="n"/>
      <c r="T734" s="269" t="n"/>
      <c r="U734" s="269" t="n"/>
      <c r="V734" s="269" t="n"/>
      <c r="W734" s="270" t="n"/>
    </row>
    <row r="735" customFormat="1" s="163">
      <c r="A735" s="282" t="n"/>
      <c r="B735" s="277" t="n"/>
      <c r="C735" s="278" t="n"/>
      <c r="D735" s="269" t="n"/>
      <c r="E735" s="269" t="n"/>
      <c r="F735" s="269" t="n"/>
      <c r="G735" s="269" t="n"/>
      <c r="H735" s="269" t="n"/>
      <c r="I735" s="269" t="n"/>
      <c r="J735" s="269" t="n"/>
      <c r="K735" s="269" t="n"/>
      <c r="L735" s="269" t="n"/>
      <c r="M735" s="269" t="n"/>
      <c r="N735" s="269" t="n"/>
      <c r="O735" s="269" t="n"/>
      <c r="P735" s="269" t="n"/>
      <c r="Q735" s="269" t="n"/>
      <c r="R735" s="269" t="n"/>
      <c r="S735" s="269" t="n"/>
      <c r="T735" s="269" t="n"/>
      <c r="U735" s="269" t="n"/>
      <c r="V735" s="269" t="n"/>
      <c r="W735" s="270" t="n"/>
    </row>
    <row r="736" customFormat="1" s="163">
      <c r="A736" s="282" t="n"/>
      <c r="B736" s="277" t="n"/>
      <c r="C736" s="278" t="n"/>
      <c r="D736" s="269" t="n"/>
      <c r="E736" s="269" t="n"/>
      <c r="F736" s="269" t="n"/>
      <c r="G736" s="269" t="n"/>
      <c r="H736" s="269" t="n"/>
      <c r="I736" s="269" t="n"/>
      <c r="J736" s="269" t="n"/>
      <c r="K736" s="269" t="n"/>
      <c r="L736" s="269" t="n"/>
      <c r="M736" s="269" t="n"/>
      <c r="N736" s="269" t="n"/>
      <c r="O736" s="269" t="n"/>
      <c r="P736" s="269" t="n"/>
      <c r="Q736" s="269" t="n"/>
      <c r="R736" s="269" t="n"/>
      <c r="S736" s="269" t="n"/>
      <c r="T736" s="269" t="n"/>
      <c r="U736" s="269" t="n"/>
      <c r="V736" s="269" t="n"/>
      <c r="W736" s="270" t="n"/>
    </row>
    <row r="737" customFormat="1" s="163">
      <c r="A737" s="282" t="n"/>
      <c r="B737" s="277" t="n"/>
      <c r="C737" s="278" t="n"/>
      <c r="D737" s="269" t="n"/>
      <c r="E737" s="269" t="n"/>
      <c r="F737" s="269" t="n"/>
      <c r="G737" s="269" t="n"/>
      <c r="H737" s="269" t="n"/>
      <c r="I737" s="269" t="n"/>
      <c r="J737" s="269" t="n"/>
      <c r="K737" s="269" t="n"/>
      <c r="L737" s="269" t="n"/>
      <c r="M737" s="269" t="n"/>
      <c r="N737" s="269" t="n"/>
      <c r="O737" s="269" t="n"/>
      <c r="P737" s="269" t="n"/>
      <c r="Q737" s="269" t="n"/>
      <c r="R737" s="269" t="n"/>
      <c r="S737" s="269" t="n"/>
      <c r="T737" s="269" t="n"/>
      <c r="U737" s="269" t="n"/>
      <c r="V737" s="269" t="n"/>
      <c r="W737" s="270" t="n"/>
    </row>
    <row r="738" customFormat="1" s="163">
      <c r="A738" s="282" t="n"/>
      <c r="B738" s="277" t="n"/>
      <c r="C738" s="278" t="n"/>
      <c r="D738" s="269" t="n"/>
      <c r="E738" s="269" t="n"/>
      <c r="F738" s="269" t="n"/>
      <c r="G738" s="269" t="n"/>
      <c r="H738" s="269" t="n"/>
      <c r="I738" s="269" t="n"/>
      <c r="J738" s="269" t="n"/>
      <c r="K738" s="269" t="n"/>
      <c r="L738" s="269" t="n"/>
      <c r="M738" s="269" t="n"/>
      <c r="N738" s="269" t="n"/>
      <c r="O738" s="269" t="n"/>
      <c r="P738" s="269" t="n"/>
      <c r="Q738" s="269" t="n"/>
      <c r="R738" s="269" t="n"/>
      <c r="S738" s="269" t="n"/>
      <c r="T738" s="269" t="n"/>
      <c r="U738" s="269" t="n"/>
      <c r="V738" s="269" t="n"/>
      <c r="W738" s="270" t="n"/>
    </row>
    <row r="739" customFormat="1" s="163">
      <c r="A739" s="282" t="n"/>
      <c r="B739" s="277" t="n"/>
      <c r="C739" s="278" t="n"/>
      <c r="D739" s="269" t="n"/>
      <c r="E739" s="269" t="n"/>
      <c r="F739" s="269" t="n"/>
      <c r="G739" s="269" t="n"/>
      <c r="H739" s="269" t="n"/>
      <c r="I739" s="269" t="n"/>
      <c r="J739" s="269" t="n"/>
      <c r="K739" s="269" t="n"/>
      <c r="L739" s="269" t="n"/>
      <c r="M739" s="269" t="n"/>
      <c r="N739" s="269" t="n"/>
      <c r="O739" s="269" t="n"/>
      <c r="P739" s="269" t="n"/>
      <c r="Q739" s="269" t="n"/>
      <c r="R739" s="269" t="n"/>
      <c r="S739" s="269" t="n"/>
      <c r="T739" s="269" t="n"/>
      <c r="U739" s="269" t="n"/>
      <c r="V739" s="269" t="n"/>
      <c r="W739" s="270" t="n"/>
    </row>
    <row r="740" customFormat="1" s="163">
      <c r="A740" s="282" t="n"/>
      <c r="B740" s="277" t="n"/>
      <c r="C740" s="278" t="n"/>
      <c r="D740" s="269" t="n"/>
      <c r="E740" s="269" t="n"/>
      <c r="F740" s="269" t="n"/>
      <c r="G740" s="269" t="n"/>
      <c r="H740" s="269" t="n"/>
      <c r="I740" s="269" t="n"/>
      <c r="J740" s="269" t="n"/>
      <c r="K740" s="269" t="n"/>
      <c r="L740" s="269" t="n"/>
      <c r="M740" s="269" t="n"/>
      <c r="N740" s="269" t="n"/>
      <c r="O740" s="269" t="n"/>
      <c r="P740" s="269" t="n"/>
      <c r="Q740" s="269" t="n"/>
      <c r="R740" s="269" t="n"/>
      <c r="S740" s="269" t="n"/>
      <c r="T740" s="269" t="n"/>
      <c r="U740" s="269" t="n"/>
      <c r="V740" s="269" t="n"/>
      <c r="W740" s="270" t="n"/>
    </row>
    <row r="741" customFormat="1" s="163">
      <c r="A741" s="282" t="n"/>
      <c r="B741" s="277" t="n"/>
      <c r="C741" s="278" t="n"/>
      <c r="D741" s="269" t="n"/>
      <c r="E741" s="269" t="n"/>
      <c r="F741" s="269" t="n"/>
      <c r="G741" s="269" t="n"/>
      <c r="H741" s="269" t="n"/>
      <c r="I741" s="269" t="n"/>
      <c r="J741" s="269" t="n"/>
      <c r="K741" s="269" t="n"/>
      <c r="L741" s="269" t="n"/>
      <c r="M741" s="269" t="n"/>
      <c r="N741" s="269" t="n"/>
      <c r="O741" s="269" t="n"/>
      <c r="P741" s="269" t="n"/>
      <c r="Q741" s="269" t="n"/>
      <c r="R741" s="269" t="n"/>
      <c r="S741" s="269" t="n"/>
      <c r="T741" s="269" t="n"/>
      <c r="U741" s="269" t="n"/>
      <c r="V741" s="269" t="n"/>
      <c r="W741" s="270" t="n"/>
    </row>
    <row r="742" customFormat="1" s="163">
      <c r="A742" s="282" t="n"/>
      <c r="B742" s="277" t="n"/>
      <c r="C742" s="278" t="n"/>
      <c r="D742" s="269" t="n"/>
      <c r="E742" s="269" t="n"/>
      <c r="F742" s="269" t="n"/>
      <c r="G742" s="269" t="n"/>
      <c r="H742" s="269" t="n"/>
      <c r="I742" s="269" t="n"/>
      <c r="J742" s="269" t="n"/>
      <c r="K742" s="269" t="n"/>
      <c r="L742" s="269" t="n"/>
      <c r="M742" s="269" t="n"/>
      <c r="N742" s="269" t="n"/>
      <c r="O742" s="269" t="n"/>
      <c r="P742" s="269" t="n"/>
      <c r="Q742" s="269" t="n"/>
      <c r="R742" s="269" t="n"/>
      <c r="S742" s="269" t="n"/>
      <c r="T742" s="269" t="n"/>
      <c r="U742" s="269" t="n"/>
      <c r="V742" s="269" t="n"/>
      <c r="W742" s="270" t="n"/>
    </row>
    <row r="743" customFormat="1" s="163">
      <c r="A743" s="282" t="n"/>
      <c r="B743" s="277" t="n"/>
      <c r="C743" s="278" t="n"/>
      <c r="D743" s="269" t="n"/>
      <c r="E743" s="269" t="n"/>
      <c r="F743" s="269" t="n"/>
      <c r="G743" s="269" t="n"/>
      <c r="H743" s="269" t="n"/>
      <c r="I743" s="269" t="n"/>
      <c r="J743" s="269" t="n"/>
      <c r="K743" s="269" t="n"/>
      <c r="L743" s="269" t="n"/>
      <c r="M743" s="269" t="n"/>
      <c r="N743" s="269" t="n"/>
      <c r="O743" s="269" t="n"/>
      <c r="P743" s="269" t="n"/>
      <c r="Q743" s="269" t="n"/>
      <c r="R743" s="269" t="n"/>
      <c r="S743" s="269" t="n"/>
      <c r="T743" s="269" t="n"/>
      <c r="U743" s="269" t="n"/>
      <c r="V743" s="269" t="n"/>
      <c r="W743" s="270" t="n"/>
    </row>
    <row r="744" customFormat="1" s="163">
      <c r="A744" s="282" t="n"/>
      <c r="B744" s="277" t="n"/>
      <c r="C744" s="278" t="n"/>
      <c r="D744" s="269" t="n"/>
      <c r="E744" s="269" t="n"/>
      <c r="F744" s="269" t="n"/>
      <c r="G744" s="269" t="n"/>
      <c r="H744" s="269" t="n"/>
      <c r="I744" s="269" t="n"/>
      <c r="J744" s="269" t="n"/>
      <c r="K744" s="269" t="n"/>
      <c r="L744" s="269" t="n"/>
      <c r="M744" s="269" t="n"/>
      <c r="N744" s="269" t="n"/>
      <c r="O744" s="269" t="n"/>
      <c r="P744" s="269" t="n"/>
      <c r="Q744" s="269" t="n"/>
      <c r="R744" s="269" t="n"/>
      <c r="S744" s="269" t="n"/>
      <c r="T744" s="269" t="n"/>
      <c r="U744" s="269" t="n"/>
      <c r="V744" s="269" t="n"/>
      <c r="W744" s="270" t="n"/>
    </row>
    <row r="745" customFormat="1" s="163">
      <c r="A745" s="282" t="n"/>
      <c r="B745" s="277" t="n"/>
      <c r="C745" s="278" t="n"/>
      <c r="D745" s="269" t="n"/>
      <c r="E745" s="269" t="n"/>
      <c r="F745" s="269" t="n"/>
      <c r="G745" s="269" t="n"/>
      <c r="H745" s="269" t="n"/>
      <c r="I745" s="269" t="n"/>
      <c r="J745" s="269" t="n"/>
      <c r="K745" s="269" t="n"/>
      <c r="L745" s="269" t="n"/>
      <c r="M745" s="269" t="n"/>
      <c r="N745" s="269" t="n"/>
      <c r="O745" s="269" t="n"/>
      <c r="P745" s="269" t="n"/>
      <c r="Q745" s="269" t="n"/>
      <c r="R745" s="269" t="n"/>
      <c r="S745" s="269" t="n"/>
      <c r="T745" s="269" t="n"/>
      <c r="U745" s="269" t="n"/>
      <c r="V745" s="269" t="n"/>
      <c r="W745" s="270" t="n"/>
    </row>
    <row r="746" customFormat="1" s="163">
      <c r="A746" s="282" t="n"/>
      <c r="B746" s="277" t="n"/>
      <c r="C746" s="278" t="n"/>
      <c r="D746" s="269" t="n"/>
      <c r="E746" s="269" t="n"/>
      <c r="F746" s="269" t="n"/>
      <c r="G746" s="269" t="n"/>
      <c r="H746" s="269" t="n"/>
      <c r="I746" s="269" t="n"/>
      <c r="J746" s="269" t="n"/>
      <c r="K746" s="269" t="n"/>
      <c r="L746" s="269" t="n"/>
      <c r="M746" s="269" t="n"/>
      <c r="N746" s="269" t="n"/>
      <c r="O746" s="269" t="n"/>
      <c r="P746" s="269" t="n"/>
      <c r="Q746" s="269" t="n"/>
      <c r="R746" s="269" t="n"/>
      <c r="S746" s="269" t="n"/>
      <c r="T746" s="269" t="n"/>
      <c r="U746" s="269" t="n"/>
      <c r="V746" s="269" t="n"/>
      <c r="W746" s="270" t="n"/>
    </row>
    <row r="747" customFormat="1" s="163">
      <c r="A747" s="282" t="n"/>
      <c r="B747" s="277" t="n"/>
      <c r="C747" s="278" t="n"/>
      <c r="D747" s="269" t="n"/>
      <c r="E747" s="269" t="n"/>
      <c r="F747" s="269" t="n"/>
      <c r="G747" s="269" t="n"/>
      <c r="H747" s="269" t="n"/>
      <c r="I747" s="269" t="n"/>
      <c r="J747" s="269" t="n"/>
      <c r="K747" s="269" t="n"/>
      <c r="L747" s="269" t="n"/>
      <c r="M747" s="269" t="n"/>
      <c r="N747" s="269" t="n"/>
      <c r="O747" s="269" t="n"/>
      <c r="P747" s="269" t="n"/>
      <c r="Q747" s="269" t="n"/>
      <c r="R747" s="269" t="n"/>
      <c r="S747" s="269" t="n"/>
      <c r="T747" s="269" t="n"/>
      <c r="U747" s="269" t="n"/>
      <c r="V747" s="269" t="n"/>
      <c r="W747" s="270" t="n"/>
    </row>
    <row r="748" customFormat="1" s="163">
      <c r="A748" s="282" t="n"/>
      <c r="B748" s="277" t="n"/>
      <c r="C748" s="278" t="n"/>
      <c r="D748" s="269" t="n"/>
      <c r="E748" s="269" t="n"/>
      <c r="F748" s="269" t="n"/>
      <c r="G748" s="269" t="n"/>
      <c r="H748" s="269" t="n"/>
      <c r="I748" s="269" t="n"/>
      <c r="J748" s="269" t="n"/>
      <c r="K748" s="269" t="n"/>
      <c r="L748" s="269" t="n"/>
      <c r="M748" s="269" t="n"/>
      <c r="N748" s="269" t="n"/>
      <c r="O748" s="269" t="n"/>
      <c r="P748" s="269" t="n"/>
      <c r="Q748" s="269" t="n"/>
      <c r="R748" s="269" t="n"/>
      <c r="S748" s="269" t="n"/>
      <c r="T748" s="269" t="n"/>
      <c r="U748" s="269" t="n"/>
      <c r="V748" s="269" t="n"/>
      <c r="W748" s="270" t="n"/>
    </row>
    <row r="749" customFormat="1" s="163">
      <c r="A749" s="282" t="n"/>
      <c r="B749" s="277" t="n"/>
      <c r="C749" s="278" t="n"/>
      <c r="D749" s="269" t="n"/>
      <c r="E749" s="269" t="n"/>
      <c r="F749" s="269" t="n"/>
      <c r="G749" s="269" t="n"/>
      <c r="H749" s="269" t="n"/>
      <c r="I749" s="269" t="n"/>
      <c r="J749" s="269" t="n"/>
      <c r="K749" s="269" t="n"/>
      <c r="L749" s="269" t="n"/>
      <c r="M749" s="269" t="n"/>
      <c r="N749" s="269" t="n"/>
      <c r="O749" s="269" t="n"/>
      <c r="P749" s="269" t="n"/>
      <c r="Q749" s="269" t="n"/>
      <c r="R749" s="269" t="n"/>
      <c r="S749" s="269" t="n"/>
      <c r="T749" s="269" t="n"/>
      <c r="U749" s="269" t="n"/>
      <c r="V749" s="269" t="n"/>
      <c r="W749" s="270" t="n"/>
    </row>
    <row r="750" customFormat="1" s="163">
      <c r="A750" s="282" t="n"/>
      <c r="B750" s="277" t="n"/>
      <c r="C750" s="278" t="n"/>
      <c r="D750" s="269" t="n"/>
      <c r="E750" s="269" t="n"/>
      <c r="F750" s="269" t="n"/>
      <c r="G750" s="269" t="n"/>
      <c r="H750" s="269" t="n"/>
      <c r="I750" s="269" t="n"/>
      <c r="J750" s="269" t="n"/>
      <c r="K750" s="269" t="n"/>
      <c r="L750" s="269" t="n"/>
      <c r="M750" s="269" t="n"/>
      <c r="N750" s="269" t="n"/>
      <c r="O750" s="269" t="n"/>
      <c r="P750" s="269" t="n"/>
      <c r="Q750" s="269" t="n"/>
      <c r="R750" s="269" t="n"/>
      <c r="S750" s="269" t="n"/>
      <c r="T750" s="269" t="n"/>
      <c r="U750" s="269" t="n"/>
      <c r="V750" s="269" t="n"/>
      <c r="W750" s="270" t="n"/>
    </row>
    <row r="751" customFormat="1" s="163">
      <c r="A751" s="282" t="n"/>
      <c r="B751" s="277" t="n"/>
      <c r="C751" s="278" t="n"/>
      <c r="D751" s="269" t="n"/>
      <c r="E751" s="269" t="n"/>
      <c r="F751" s="269" t="n"/>
      <c r="G751" s="269" t="n"/>
      <c r="H751" s="269" t="n"/>
      <c r="I751" s="269" t="n"/>
      <c r="J751" s="269" t="n"/>
      <c r="K751" s="269" t="n"/>
      <c r="L751" s="269" t="n"/>
      <c r="M751" s="269" t="n"/>
      <c r="N751" s="269" t="n"/>
      <c r="O751" s="269" t="n"/>
      <c r="P751" s="269" t="n"/>
      <c r="Q751" s="269" t="n"/>
      <c r="R751" s="269" t="n"/>
      <c r="S751" s="269" t="n"/>
      <c r="T751" s="269" t="n"/>
      <c r="U751" s="269" t="n"/>
      <c r="V751" s="269" t="n"/>
      <c r="W751" s="270" t="n"/>
    </row>
    <row r="752" customFormat="1" s="163">
      <c r="A752" s="282" t="n"/>
      <c r="B752" s="277" t="n"/>
      <c r="C752" s="278" t="n"/>
      <c r="D752" s="269" t="n"/>
      <c r="E752" s="269" t="n"/>
      <c r="F752" s="269" t="n"/>
      <c r="G752" s="269" t="n"/>
      <c r="H752" s="269" t="n"/>
      <c r="I752" s="269" t="n"/>
      <c r="J752" s="269" t="n"/>
      <c r="K752" s="269" t="n"/>
      <c r="L752" s="269" t="n"/>
      <c r="M752" s="269" t="n"/>
      <c r="N752" s="269" t="n"/>
      <c r="O752" s="269" t="n"/>
      <c r="P752" s="269" t="n"/>
      <c r="Q752" s="269" t="n"/>
      <c r="R752" s="269" t="n"/>
      <c r="S752" s="269" t="n"/>
      <c r="T752" s="269" t="n"/>
      <c r="U752" s="269" t="n"/>
      <c r="V752" s="269" t="n"/>
      <c r="W752" s="270" t="n"/>
    </row>
    <row r="753" customFormat="1" s="163">
      <c r="A753" s="282" t="n"/>
      <c r="B753" s="277" t="n"/>
      <c r="C753" s="278" t="n"/>
      <c r="D753" s="269" t="n"/>
      <c r="E753" s="269" t="n"/>
      <c r="F753" s="269" t="n"/>
      <c r="G753" s="269" t="n"/>
      <c r="H753" s="269" t="n"/>
      <c r="I753" s="269" t="n"/>
      <c r="J753" s="269" t="n"/>
      <c r="K753" s="269" t="n"/>
      <c r="L753" s="269" t="n"/>
      <c r="M753" s="269" t="n"/>
      <c r="N753" s="269" t="n"/>
      <c r="O753" s="269" t="n"/>
      <c r="P753" s="269" t="n"/>
      <c r="Q753" s="269" t="n"/>
      <c r="R753" s="269" t="n"/>
      <c r="S753" s="269" t="n"/>
      <c r="T753" s="269" t="n"/>
      <c r="U753" s="269" t="n"/>
      <c r="V753" s="269" t="n"/>
      <c r="W753" s="270" t="n"/>
    </row>
    <row r="754" customFormat="1" s="163">
      <c r="A754" s="282" t="n"/>
      <c r="B754" s="277" t="n"/>
      <c r="C754" s="278" t="n"/>
      <c r="D754" s="269" t="n"/>
      <c r="E754" s="269" t="n"/>
      <c r="F754" s="269" t="n"/>
      <c r="G754" s="269" t="n"/>
      <c r="H754" s="269" t="n"/>
      <c r="I754" s="269" t="n"/>
      <c r="J754" s="269" t="n"/>
      <c r="K754" s="269" t="n"/>
      <c r="L754" s="269" t="n"/>
      <c r="M754" s="269" t="n"/>
      <c r="N754" s="269" t="n"/>
      <c r="O754" s="269" t="n"/>
      <c r="P754" s="269" t="n"/>
      <c r="Q754" s="269" t="n"/>
      <c r="R754" s="269" t="n"/>
      <c r="S754" s="269" t="n"/>
      <c r="T754" s="269" t="n"/>
      <c r="U754" s="269" t="n"/>
      <c r="V754" s="269" t="n"/>
      <c r="W754" s="270" t="n"/>
    </row>
    <row r="755" customFormat="1" s="163">
      <c r="A755" s="282" t="n"/>
      <c r="B755" s="277" t="n"/>
      <c r="C755" s="278" t="n"/>
      <c r="D755" s="269" t="n"/>
      <c r="E755" s="269" t="n"/>
      <c r="F755" s="269" t="n"/>
      <c r="G755" s="269" t="n"/>
      <c r="H755" s="269" t="n"/>
      <c r="I755" s="269" t="n"/>
      <c r="J755" s="269" t="n"/>
      <c r="K755" s="269" t="n"/>
      <c r="L755" s="269" t="n"/>
      <c r="M755" s="269" t="n"/>
      <c r="N755" s="269" t="n"/>
      <c r="O755" s="269" t="n"/>
      <c r="P755" s="269" t="n"/>
      <c r="Q755" s="269" t="n"/>
      <c r="R755" s="269" t="n"/>
      <c r="S755" s="269" t="n"/>
      <c r="T755" s="269" t="n"/>
      <c r="U755" s="269" t="n"/>
      <c r="V755" s="269" t="n"/>
      <c r="W755" s="270" t="n"/>
    </row>
    <row r="756" customFormat="1" s="163">
      <c r="A756" s="282" t="n"/>
      <c r="B756" s="277" t="n"/>
      <c r="C756" s="278" t="n"/>
      <c r="D756" s="269" t="n"/>
      <c r="E756" s="269" t="n"/>
      <c r="F756" s="269" t="n"/>
      <c r="G756" s="269" t="n"/>
      <c r="H756" s="269" t="n"/>
      <c r="I756" s="269" t="n"/>
      <c r="J756" s="269" t="n"/>
      <c r="K756" s="269" t="n"/>
      <c r="L756" s="269" t="n"/>
      <c r="M756" s="269" t="n"/>
      <c r="N756" s="269" t="n"/>
      <c r="O756" s="269" t="n"/>
      <c r="P756" s="269" t="n"/>
      <c r="Q756" s="269" t="n"/>
      <c r="R756" s="269" t="n"/>
      <c r="S756" s="269" t="n"/>
      <c r="T756" s="269" t="n"/>
      <c r="U756" s="269" t="n"/>
      <c r="V756" s="269" t="n"/>
      <c r="W756" s="270" t="n"/>
    </row>
    <row r="757" customFormat="1" s="163">
      <c r="A757" s="282" t="n"/>
      <c r="B757" s="277" t="n"/>
      <c r="C757" s="278" t="n"/>
      <c r="D757" s="269" t="n"/>
      <c r="E757" s="269" t="n"/>
      <c r="F757" s="269" t="n"/>
      <c r="G757" s="269" t="n"/>
      <c r="H757" s="269" t="n"/>
      <c r="I757" s="269" t="n"/>
      <c r="J757" s="269" t="n"/>
      <c r="K757" s="269" t="n"/>
      <c r="L757" s="269" t="n"/>
      <c r="M757" s="269" t="n"/>
      <c r="N757" s="269" t="n"/>
      <c r="O757" s="269" t="n"/>
      <c r="P757" s="269" t="n"/>
      <c r="Q757" s="269" t="n"/>
      <c r="R757" s="269" t="n"/>
      <c r="S757" s="269" t="n"/>
      <c r="T757" s="269" t="n"/>
      <c r="U757" s="269" t="n"/>
      <c r="V757" s="269" t="n"/>
      <c r="W757" s="270" t="n"/>
    </row>
    <row r="758" customFormat="1" s="163">
      <c r="A758" s="282" t="n"/>
      <c r="B758" s="277" t="n"/>
      <c r="C758" s="278" t="n"/>
      <c r="D758" s="269" t="n"/>
      <c r="E758" s="269" t="n"/>
      <c r="F758" s="269" t="n"/>
      <c r="G758" s="269" t="n"/>
      <c r="H758" s="269" t="n"/>
      <c r="I758" s="269" t="n"/>
      <c r="J758" s="269" t="n"/>
      <c r="K758" s="269" t="n"/>
      <c r="L758" s="269" t="n"/>
      <c r="M758" s="269" t="n"/>
      <c r="N758" s="269" t="n"/>
      <c r="O758" s="269" t="n"/>
      <c r="P758" s="269" t="n"/>
      <c r="Q758" s="269" t="n"/>
      <c r="R758" s="269" t="n"/>
      <c r="S758" s="269" t="n"/>
      <c r="T758" s="269" t="n"/>
      <c r="U758" s="269" t="n"/>
      <c r="V758" s="269" t="n"/>
      <c r="W758" s="270" t="n"/>
    </row>
    <row r="759" customFormat="1" s="163">
      <c r="A759" s="282" t="n"/>
      <c r="B759" s="277" t="n"/>
      <c r="C759" s="278" t="n"/>
      <c r="D759" s="269" t="n"/>
      <c r="E759" s="269" t="n"/>
      <c r="F759" s="269" t="n"/>
      <c r="G759" s="269" t="n"/>
      <c r="H759" s="269" t="n"/>
      <c r="I759" s="269" t="n"/>
      <c r="J759" s="269" t="n"/>
      <c r="K759" s="269" t="n"/>
      <c r="L759" s="269" t="n"/>
      <c r="M759" s="269" t="n"/>
      <c r="N759" s="269" t="n"/>
      <c r="O759" s="269" t="n"/>
      <c r="P759" s="269" t="n"/>
      <c r="Q759" s="269" t="n"/>
      <c r="R759" s="269" t="n"/>
      <c r="S759" s="269" t="n"/>
      <c r="T759" s="269" t="n"/>
      <c r="U759" s="269" t="n"/>
      <c r="V759" s="269" t="n"/>
      <c r="W759" s="270" t="n"/>
    </row>
    <row r="760" customFormat="1" s="163">
      <c r="A760" s="282" t="n"/>
      <c r="B760" s="277" t="n"/>
      <c r="C760" s="278" t="n"/>
      <c r="D760" s="269" t="n"/>
      <c r="E760" s="269" t="n"/>
      <c r="F760" s="269" t="n"/>
      <c r="G760" s="269" t="n"/>
      <c r="H760" s="269" t="n"/>
      <c r="I760" s="269" t="n"/>
      <c r="J760" s="269" t="n"/>
      <c r="K760" s="269" t="n"/>
      <c r="L760" s="269" t="n"/>
      <c r="M760" s="269" t="n"/>
      <c r="N760" s="269" t="n"/>
      <c r="O760" s="269" t="n"/>
      <c r="P760" s="269" t="n"/>
      <c r="Q760" s="269" t="n"/>
      <c r="R760" s="269" t="n"/>
      <c r="S760" s="269" t="n"/>
      <c r="T760" s="269" t="n"/>
      <c r="U760" s="269" t="n"/>
      <c r="V760" s="269" t="n"/>
      <c r="W760" s="270" t="n"/>
    </row>
    <row r="761" customFormat="1" s="163">
      <c r="A761" s="282" t="n"/>
      <c r="B761" s="277" t="n"/>
      <c r="C761" s="278" t="n"/>
      <c r="D761" s="269" t="n"/>
      <c r="E761" s="269" t="n"/>
      <c r="F761" s="269" t="n"/>
      <c r="G761" s="269" t="n"/>
      <c r="H761" s="269" t="n"/>
      <c r="I761" s="269" t="n"/>
      <c r="J761" s="269" t="n"/>
      <c r="K761" s="269" t="n"/>
      <c r="L761" s="269" t="n"/>
      <c r="M761" s="269" t="n"/>
      <c r="N761" s="269" t="n"/>
      <c r="O761" s="269" t="n"/>
      <c r="P761" s="269" t="n"/>
      <c r="Q761" s="269" t="n"/>
      <c r="R761" s="269" t="n"/>
      <c r="S761" s="269" t="n"/>
      <c r="T761" s="269" t="n"/>
      <c r="U761" s="269" t="n"/>
      <c r="V761" s="269" t="n"/>
      <c r="W761" s="270" t="n"/>
    </row>
    <row r="762" customFormat="1" s="163">
      <c r="A762" s="282" t="n"/>
      <c r="B762" s="277" t="n"/>
      <c r="C762" s="278" t="n"/>
      <c r="D762" s="269" t="n"/>
      <c r="E762" s="269" t="n"/>
      <c r="F762" s="269" t="n"/>
      <c r="G762" s="269" t="n"/>
      <c r="H762" s="269" t="n"/>
      <c r="I762" s="269" t="n"/>
      <c r="J762" s="269" t="n"/>
      <c r="K762" s="269" t="n"/>
      <c r="L762" s="269" t="n"/>
      <c r="M762" s="269" t="n"/>
      <c r="N762" s="269" t="n"/>
      <c r="O762" s="269" t="n"/>
      <c r="P762" s="269" t="n"/>
      <c r="Q762" s="269" t="n"/>
      <c r="R762" s="269" t="n"/>
      <c r="S762" s="269" t="n"/>
      <c r="T762" s="269" t="n"/>
      <c r="U762" s="269" t="n"/>
      <c r="V762" s="269" t="n"/>
      <c r="W762" s="270" t="n"/>
    </row>
    <row r="763" customFormat="1" s="163">
      <c r="A763" s="282" t="n"/>
      <c r="B763" s="277" t="n"/>
      <c r="C763" s="278" t="n"/>
      <c r="D763" s="269" t="n"/>
      <c r="E763" s="269" t="n"/>
      <c r="F763" s="269" t="n"/>
      <c r="G763" s="269" t="n"/>
      <c r="H763" s="269" t="n"/>
      <c r="I763" s="269" t="n"/>
      <c r="J763" s="269" t="n"/>
      <c r="K763" s="269" t="n"/>
      <c r="L763" s="269" t="n"/>
      <c r="M763" s="269" t="n"/>
      <c r="N763" s="269" t="n"/>
      <c r="O763" s="269" t="n"/>
      <c r="P763" s="269" t="n"/>
      <c r="Q763" s="269" t="n"/>
      <c r="R763" s="269" t="n"/>
      <c r="S763" s="269" t="n"/>
      <c r="T763" s="269" t="n"/>
      <c r="U763" s="269" t="n"/>
      <c r="V763" s="269" t="n"/>
      <c r="W763" s="270" t="n"/>
    </row>
    <row r="764" customFormat="1" s="163">
      <c r="A764" s="282" t="n"/>
      <c r="B764" s="277" t="n"/>
      <c r="C764" s="278" t="n"/>
      <c r="D764" s="269" t="n"/>
      <c r="E764" s="269" t="n"/>
      <c r="F764" s="269" t="n"/>
      <c r="G764" s="269" t="n"/>
      <c r="H764" s="269" t="n"/>
      <c r="I764" s="269" t="n"/>
      <c r="J764" s="269" t="n"/>
      <c r="K764" s="269" t="n"/>
      <c r="L764" s="269" t="n"/>
      <c r="M764" s="269" t="n"/>
      <c r="N764" s="269" t="n"/>
      <c r="O764" s="269" t="n"/>
      <c r="P764" s="269" t="n"/>
      <c r="Q764" s="269" t="n"/>
      <c r="R764" s="269" t="n"/>
      <c r="S764" s="269" t="n"/>
      <c r="T764" s="269" t="n"/>
      <c r="U764" s="269" t="n"/>
      <c r="V764" s="269" t="n"/>
      <c r="W764" s="270" t="n"/>
    </row>
    <row r="765" customFormat="1" s="163">
      <c r="A765" s="282" t="n"/>
      <c r="B765" s="277" t="n"/>
      <c r="C765" s="278" t="n"/>
      <c r="D765" s="269" t="n"/>
      <c r="E765" s="269" t="n"/>
      <c r="F765" s="269" t="n"/>
      <c r="G765" s="269" t="n"/>
      <c r="H765" s="269" t="n"/>
      <c r="I765" s="269" t="n"/>
      <c r="J765" s="269" t="n"/>
      <c r="K765" s="269" t="n"/>
      <c r="L765" s="269" t="n"/>
      <c r="M765" s="269" t="n"/>
      <c r="N765" s="269" t="n"/>
      <c r="O765" s="269" t="n"/>
      <c r="P765" s="269" t="n"/>
      <c r="Q765" s="269" t="n"/>
      <c r="R765" s="269" t="n"/>
      <c r="S765" s="269" t="n"/>
      <c r="T765" s="269" t="n"/>
      <c r="U765" s="269" t="n"/>
      <c r="V765" s="269" t="n"/>
      <c r="W765" s="270" t="n"/>
    </row>
    <row r="766" customFormat="1" s="163">
      <c r="A766" s="282" t="n"/>
      <c r="B766" s="277" t="n"/>
      <c r="C766" s="278" t="n"/>
      <c r="D766" s="269" t="n"/>
      <c r="E766" s="269" t="n"/>
      <c r="F766" s="269" t="n"/>
      <c r="G766" s="269" t="n"/>
      <c r="H766" s="269" t="n"/>
      <c r="I766" s="269" t="n"/>
      <c r="J766" s="269" t="n"/>
      <c r="K766" s="269" t="n"/>
      <c r="L766" s="269" t="n"/>
      <c r="M766" s="269" t="n"/>
      <c r="N766" s="269" t="n"/>
      <c r="O766" s="269" t="n"/>
      <c r="P766" s="269" t="n"/>
      <c r="Q766" s="269" t="n"/>
      <c r="R766" s="269" t="n"/>
      <c r="S766" s="269" t="n"/>
      <c r="T766" s="269" t="n"/>
      <c r="U766" s="269" t="n"/>
      <c r="V766" s="269" t="n"/>
      <c r="W766" s="270" t="n"/>
    </row>
    <row r="767" customFormat="1" s="163">
      <c r="A767" s="282" t="n"/>
      <c r="B767" s="277" t="n"/>
      <c r="C767" s="278" t="n"/>
      <c r="D767" s="269" t="n"/>
      <c r="E767" s="269" t="n"/>
      <c r="F767" s="269" t="n"/>
      <c r="G767" s="269" t="n"/>
      <c r="H767" s="269" t="n"/>
      <c r="I767" s="269" t="n"/>
      <c r="J767" s="269" t="n"/>
      <c r="K767" s="269" t="n"/>
      <c r="L767" s="269" t="n"/>
      <c r="M767" s="269" t="n"/>
      <c r="N767" s="269" t="n"/>
      <c r="O767" s="269" t="n"/>
      <c r="P767" s="269" t="n"/>
      <c r="Q767" s="269" t="n"/>
      <c r="R767" s="269" t="n"/>
      <c r="S767" s="269" t="n"/>
      <c r="T767" s="269" t="n"/>
      <c r="U767" s="269" t="n"/>
      <c r="V767" s="269" t="n"/>
      <c r="W767" s="270" t="n"/>
    </row>
    <row r="768" customFormat="1" s="163">
      <c r="A768" s="282" t="n"/>
      <c r="B768" s="277" t="n"/>
      <c r="C768" s="278" t="n"/>
      <c r="D768" s="269" t="n"/>
      <c r="E768" s="269" t="n"/>
      <c r="F768" s="269" t="n"/>
      <c r="G768" s="269" t="n"/>
      <c r="H768" s="269" t="n"/>
      <c r="I768" s="269" t="n"/>
      <c r="J768" s="269" t="n"/>
      <c r="K768" s="269" t="n"/>
      <c r="L768" s="269" t="n"/>
      <c r="M768" s="269" t="n"/>
      <c r="N768" s="269" t="n"/>
      <c r="O768" s="269" t="n"/>
      <c r="P768" s="269" t="n"/>
      <c r="Q768" s="269" t="n"/>
      <c r="R768" s="269" t="n"/>
      <c r="S768" s="269" t="n"/>
      <c r="T768" s="269" t="n"/>
      <c r="U768" s="269" t="n"/>
      <c r="V768" s="269" t="n"/>
      <c r="W768" s="270" t="n"/>
    </row>
    <row r="769" customFormat="1" s="163">
      <c r="A769" s="282" t="n"/>
      <c r="B769" s="277" t="n"/>
      <c r="C769" s="278" t="n"/>
      <c r="D769" s="269" t="n"/>
      <c r="E769" s="269" t="n"/>
      <c r="F769" s="269" t="n"/>
      <c r="G769" s="269" t="n"/>
      <c r="H769" s="269" t="n"/>
      <c r="I769" s="269" t="n"/>
      <c r="J769" s="269" t="n"/>
      <c r="K769" s="269" t="n"/>
      <c r="L769" s="269" t="n"/>
      <c r="M769" s="269" t="n"/>
      <c r="N769" s="269" t="n"/>
      <c r="O769" s="269" t="n"/>
      <c r="P769" s="269" t="n"/>
      <c r="Q769" s="269" t="n"/>
      <c r="R769" s="269" t="n"/>
      <c r="S769" s="269" t="n"/>
      <c r="T769" s="269" t="n"/>
      <c r="U769" s="269" t="n"/>
      <c r="V769" s="269" t="n"/>
      <c r="W769" s="270" t="n"/>
    </row>
    <row r="770" customFormat="1" s="163">
      <c r="A770" s="282" t="n"/>
      <c r="B770" s="277" t="n"/>
      <c r="C770" s="278" t="n"/>
      <c r="D770" s="269" t="n"/>
      <c r="E770" s="269" t="n"/>
      <c r="F770" s="269" t="n"/>
      <c r="G770" s="269" t="n"/>
      <c r="H770" s="269" t="n"/>
      <c r="I770" s="269" t="n"/>
      <c r="J770" s="269" t="n"/>
      <c r="K770" s="269" t="n"/>
      <c r="L770" s="269" t="n"/>
      <c r="M770" s="269" t="n"/>
      <c r="N770" s="269" t="n"/>
      <c r="O770" s="269" t="n"/>
      <c r="P770" s="269" t="n"/>
      <c r="Q770" s="269" t="n"/>
      <c r="R770" s="269" t="n"/>
      <c r="S770" s="269" t="n"/>
      <c r="T770" s="269" t="n"/>
      <c r="U770" s="269" t="n"/>
      <c r="V770" s="269" t="n"/>
      <c r="W770" s="270" t="n"/>
    </row>
    <row r="771" customFormat="1" s="163">
      <c r="A771" s="282" t="n"/>
      <c r="B771" s="277" t="n"/>
      <c r="C771" s="278" t="n"/>
      <c r="D771" s="269" t="n"/>
      <c r="E771" s="269" t="n"/>
      <c r="F771" s="269" t="n"/>
      <c r="G771" s="269" t="n"/>
      <c r="H771" s="269" t="n"/>
      <c r="I771" s="269" t="n"/>
      <c r="J771" s="269" t="n"/>
      <c r="K771" s="269" t="n"/>
      <c r="L771" s="269" t="n"/>
      <c r="M771" s="269" t="n"/>
      <c r="N771" s="269" t="n"/>
      <c r="O771" s="269" t="n"/>
      <c r="P771" s="269" t="n"/>
      <c r="Q771" s="269" t="n"/>
      <c r="R771" s="269" t="n"/>
      <c r="S771" s="269" t="n"/>
      <c r="T771" s="269" t="n"/>
      <c r="U771" s="269" t="n"/>
      <c r="V771" s="269" t="n"/>
      <c r="W771" s="270" t="n"/>
    </row>
    <row r="772" customFormat="1" s="163">
      <c r="A772" s="282" t="n"/>
      <c r="B772" s="277" t="n"/>
      <c r="C772" s="278" t="n"/>
      <c r="D772" s="269" t="n"/>
      <c r="E772" s="269" t="n"/>
      <c r="F772" s="269" t="n"/>
      <c r="G772" s="269" t="n"/>
      <c r="H772" s="269" t="n"/>
      <c r="I772" s="269" t="n"/>
      <c r="J772" s="269" t="n"/>
      <c r="K772" s="269" t="n"/>
      <c r="L772" s="269" t="n"/>
      <c r="M772" s="269" t="n"/>
      <c r="N772" s="269" t="n"/>
      <c r="O772" s="269" t="n"/>
      <c r="P772" s="269" t="n"/>
      <c r="Q772" s="269" t="n"/>
      <c r="R772" s="269" t="n"/>
      <c r="S772" s="269" t="n"/>
      <c r="T772" s="269" t="n"/>
      <c r="U772" s="269" t="n"/>
      <c r="V772" s="269" t="n"/>
      <c r="W772" s="270" t="n"/>
    </row>
    <row r="773" customFormat="1" s="163">
      <c r="A773" s="282" t="n"/>
      <c r="B773" s="277" t="n"/>
      <c r="C773" s="278" t="n"/>
      <c r="D773" s="269" t="n"/>
      <c r="E773" s="269" t="n"/>
      <c r="F773" s="269" t="n"/>
      <c r="G773" s="269" t="n"/>
      <c r="H773" s="269" t="n"/>
      <c r="I773" s="269" t="n"/>
      <c r="J773" s="269" t="n"/>
      <c r="K773" s="269" t="n"/>
      <c r="L773" s="269" t="n"/>
      <c r="M773" s="269" t="n"/>
      <c r="N773" s="269" t="n"/>
      <c r="O773" s="269" t="n"/>
      <c r="P773" s="269" t="n"/>
      <c r="Q773" s="269" t="n"/>
      <c r="R773" s="269" t="n"/>
      <c r="S773" s="269" t="n"/>
      <c r="T773" s="269" t="n"/>
      <c r="U773" s="269" t="n"/>
      <c r="V773" s="269" t="n"/>
      <c r="W773" s="270" t="n"/>
    </row>
    <row r="774" customFormat="1" s="163">
      <c r="A774" s="282" t="n"/>
      <c r="B774" s="277" t="n"/>
      <c r="C774" s="278" t="n"/>
      <c r="D774" s="269" t="n"/>
      <c r="E774" s="269" t="n"/>
      <c r="F774" s="269" t="n"/>
      <c r="G774" s="269" t="n"/>
      <c r="H774" s="269" t="n"/>
      <c r="I774" s="269" t="n"/>
      <c r="J774" s="269" t="n"/>
      <c r="K774" s="269" t="n"/>
      <c r="L774" s="269" t="n"/>
      <c r="M774" s="269" t="n"/>
      <c r="N774" s="269" t="n"/>
      <c r="O774" s="269" t="n"/>
      <c r="P774" s="269" t="n"/>
      <c r="Q774" s="269" t="n"/>
      <c r="R774" s="269" t="n"/>
      <c r="S774" s="269" t="n"/>
      <c r="T774" s="269" t="n"/>
      <c r="U774" s="269" t="n"/>
      <c r="V774" s="269" t="n"/>
      <c r="W774" s="270" t="n"/>
    </row>
    <row r="775" customFormat="1" s="163">
      <c r="A775" s="282" t="n"/>
      <c r="B775" s="277" t="n"/>
      <c r="C775" s="278" t="n"/>
      <c r="D775" s="269" t="n"/>
      <c r="E775" s="269" t="n"/>
      <c r="F775" s="269" t="n"/>
      <c r="G775" s="269" t="n"/>
      <c r="H775" s="269" t="n"/>
      <c r="I775" s="269" t="n"/>
      <c r="J775" s="269" t="n"/>
      <c r="K775" s="269" t="n"/>
      <c r="L775" s="269" t="n"/>
      <c r="M775" s="269" t="n"/>
      <c r="N775" s="269" t="n"/>
      <c r="O775" s="269" t="n"/>
      <c r="P775" s="269" t="n"/>
      <c r="Q775" s="269" t="n"/>
      <c r="R775" s="269" t="n"/>
      <c r="S775" s="269" t="n"/>
      <c r="T775" s="269" t="n"/>
      <c r="U775" s="269" t="n"/>
      <c r="V775" s="269" t="n"/>
      <c r="W775" s="270" t="n"/>
    </row>
    <row r="776" customFormat="1" s="163">
      <c r="A776" s="282" t="n"/>
      <c r="B776" s="277" t="n"/>
      <c r="C776" s="278" t="n"/>
      <c r="D776" s="269" t="n"/>
      <c r="E776" s="269" t="n"/>
      <c r="F776" s="269" t="n"/>
      <c r="G776" s="269" t="n"/>
      <c r="H776" s="269" t="n"/>
      <c r="I776" s="269" t="n"/>
      <c r="J776" s="269" t="n"/>
      <c r="K776" s="269" t="n"/>
      <c r="L776" s="269" t="n"/>
      <c r="M776" s="269" t="n"/>
      <c r="N776" s="269" t="n"/>
      <c r="O776" s="269" t="n"/>
      <c r="P776" s="269" t="n"/>
      <c r="Q776" s="269" t="n"/>
      <c r="R776" s="269" t="n"/>
      <c r="S776" s="269" t="n"/>
      <c r="T776" s="269" t="n"/>
      <c r="U776" s="269" t="n"/>
      <c r="V776" s="269" t="n"/>
      <c r="W776" s="270" t="n"/>
    </row>
    <row r="777" customFormat="1" s="163">
      <c r="A777" s="282" t="n"/>
      <c r="B777" s="277" t="n"/>
      <c r="C777" s="278" t="n"/>
      <c r="D777" s="269" t="n"/>
      <c r="E777" s="269" t="n"/>
      <c r="F777" s="269" t="n"/>
      <c r="G777" s="269" t="n"/>
      <c r="H777" s="269" t="n"/>
      <c r="I777" s="269" t="n"/>
      <c r="J777" s="269" t="n"/>
      <c r="K777" s="269" t="n"/>
      <c r="L777" s="269" t="n"/>
      <c r="M777" s="269" t="n"/>
      <c r="N777" s="269" t="n"/>
      <c r="O777" s="269" t="n"/>
      <c r="P777" s="269" t="n"/>
      <c r="Q777" s="269" t="n"/>
      <c r="R777" s="269" t="n"/>
      <c r="S777" s="269" t="n"/>
      <c r="T777" s="269" t="n"/>
      <c r="U777" s="269" t="n"/>
      <c r="V777" s="269" t="n"/>
      <c r="W777" s="270" t="n"/>
    </row>
    <row r="778" customFormat="1" s="163">
      <c r="A778" s="282" t="n"/>
      <c r="B778" s="277" t="n"/>
      <c r="C778" s="278" t="n"/>
      <c r="D778" s="269" t="n"/>
      <c r="E778" s="269" t="n"/>
      <c r="F778" s="269" t="n"/>
      <c r="G778" s="269" t="n"/>
      <c r="H778" s="269" t="n"/>
      <c r="I778" s="269" t="n"/>
      <c r="J778" s="269" t="n"/>
      <c r="K778" s="269" t="n"/>
      <c r="L778" s="269" t="n"/>
      <c r="M778" s="269" t="n"/>
      <c r="N778" s="269" t="n"/>
      <c r="O778" s="269" t="n"/>
      <c r="P778" s="269" t="n"/>
      <c r="Q778" s="269" t="n"/>
      <c r="R778" s="269" t="n"/>
      <c r="S778" s="269" t="n"/>
      <c r="T778" s="269" t="n"/>
      <c r="U778" s="269" t="n"/>
      <c r="V778" s="269" t="n"/>
      <c r="W778" s="270" t="n"/>
    </row>
    <row r="779" customFormat="1" s="163">
      <c r="A779" s="282" t="n"/>
      <c r="B779" s="277" t="n"/>
      <c r="C779" s="278" t="n"/>
      <c r="D779" s="269" t="n"/>
      <c r="E779" s="269" t="n"/>
      <c r="F779" s="269" t="n"/>
      <c r="G779" s="269" t="n"/>
      <c r="H779" s="269" t="n"/>
      <c r="I779" s="269" t="n"/>
      <c r="J779" s="269" t="n"/>
      <c r="K779" s="269" t="n"/>
      <c r="L779" s="269" t="n"/>
      <c r="M779" s="269" t="n"/>
      <c r="N779" s="269" t="n"/>
      <c r="O779" s="269" t="n"/>
      <c r="P779" s="269" t="n"/>
      <c r="Q779" s="269" t="n"/>
      <c r="R779" s="269" t="n"/>
      <c r="S779" s="269" t="n"/>
      <c r="T779" s="269" t="n"/>
      <c r="U779" s="269" t="n"/>
      <c r="V779" s="269" t="n"/>
      <c r="W779" s="270" t="n"/>
    </row>
    <row r="780" customFormat="1" s="163">
      <c r="A780" s="282" t="n"/>
      <c r="B780" s="277" t="n"/>
      <c r="C780" s="278" t="n"/>
      <c r="D780" s="269" t="n"/>
      <c r="E780" s="269" t="n"/>
      <c r="F780" s="269" t="n"/>
      <c r="G780" s="269" t="n"/>
      <c r="H780" s="269" t="n"/>
      <c r="I780" s="269" t="n"/>
      <c r="J780" s="269" t="n"/>
      <c r="K780" s="269" t="n"/>
      <c r="L780" s="269" t="n"/>
      <c r="M780" s="269" t="n"/>
      <c r="N780" s="269" t="n"/>
      <c r="O780" s="269" t="n"/>
      <c r="P780" s="269" t="n"/>
      <c r="Q780" s="269" t="n"/>
      <c r="R780" s="269" t="n"/>
      <c r="S780" s="269" t="n"/>
      <c r="T780" s="269" t="n"/>
      <c r="U780" s="269" t="n"/>
      <c r="V780" s="269" t="n"/>
      <c r="W780" s="270" t="n"/>
    </row>
    <row r="781" customFormat="1" s="163">
      <c r="A781" s="282" t="n"/>
      <c r="B781" s="277" t="n"/>
      <c r="C781" s="278" t="n"/>
      <c r="D781" s="269" t="n"/>
      <c r="E781" s="269" t="n"/>
      <c r="F781" s="269" t="n"/>
      <c r="G781" s="269" t="n"/>
      <c r="H781" s="269" t="n"/>
      <c r="I781" s="269" t="n"/>
      <c r="J781" s="269" t="n"/>
      <c r="K781" s="269" t="n"/>
      <c r="L781" s="269" t="n"/>
      <c r="M781" s="269" t="n"/>
      <c r="N781" s="269" t="n"/>
      <c r="O781" s="269" t="n"/>
      <c r="P781" s="269" t="n"/>
      <c r="Q781" s="269" t="n"/>
      <c r="R781" s="269" t="n"/>
      <c r="S781" s="269" t="n"/>
      <c r="T781" s="269" t="n"/>
      <c r="U781" s="269" t="n"/>
      <c r="V781" s="269" t="n"/>
      <c r="W781" s="270" t="n"/>
    </row>
    <row r="782" customFormat="1" s="163">
      <c r="A782" s="282" t="n"/>
      <c r="B782" s="277" t="n"/>
      <c r="C782" s="278" t="n"/>
      <c r="D782" s="269" t="n"/>
      <c r="E782" s="269" t="n"/>
      <c r="F782" s="269" t="n"/>
      <c r="G782" s="269" t="n"/>
      <c r="H782" s="269" t="n"/>
      <c r="I782" s="269" t="n"/>
      <c r="J782" s="269" t="n"/>
      <c r="K782" s="269" t="n"/>
      <c r="L782" s="269" t="n"/>
      <c r="M782" s="269" t="n"/>
      <c r="N782" s="269" t="n"/>
      <c r="O782" s="269" t="n"/>
      <c r="P782" s="269" t="n"/>
      <c r="Q782" s="269" t="n"/>
      <c r="R782" s="269" t="n"/>
      <c r="S782" s="269" t="n"/>
      <c r="T782" s="269" t="n"/>
      <c r="U782" s="269" t="n"/>
      <c r="V782" s="269" t="n"/>
      <c r="W782" s="270" t="n"/>
    </row>
    <row r="783" customFormat="1" s="163">
      <c r="A783" s="282" t="n"/>
      <c r="B783" s="277" t="n"/>
      <c r="C783" s="278" t="n"/>
      <c r="D783" s="269" t="n"/>
      <c r="E783" s="269" t="n"/>
      <c r="F783" s="269" t="n"/>
      <c r="G783" s="269" t="n"/>
      <c r="H783" s="269" t="n"/>
      <c r="I783" s="269" t="n"/>
      <c r="J783" s="269" t="n"/>
      <c r="K783" s="269" t="n"/>
      <c r="L783" s="269" t="n"/>
      <c r="M783" s="269" t="n"/>
      <c r="N783" s="269" t="n"/>
      <c r="O783" s="269" t="n"/>
      <c r="P783" s="269" t="n"/>
      <c r="Q783" s="269" t="n"/>
      <c r="R783" s="269" t="n"/>
      <c r="S783" s="269" t="n"/>
      <c r="T783" s="269" t="n"/>
      <c r="U783" s="269" t="n"/>
      <c r="V783" s="269" t="n"/>
      <c r="W783" s="270" t="n"/>
    </row>
    <row r="784" customFormat="1" s="163">
      <c r="A784" s="282" t="n"/>
      <c r="B784" s="277" t="n"/>
      <c r="C784" s="278" t="n"/>
      <c r="D784" s="269" t="n"/>
      <c r="E784" s="269" t="n"/>
      <c r="F784" s="269" t="n"/>
      <c r="G784" s="269" t="n"/>
      <c r="H784" s="269" t="n"/>
      <c r="I784" s="269" t="n"/>
      <c r="J784" s="269" t="n"/>
      <c r="K784" s="269" t="n"/>
      <c r="L784" s="269" t="n"/>
      <c r="M784" s="269" t="n"/>
      <c r="N784" s="269" t="n"/>
      <c r="O784" s="269" t="n"/>
      <c r="P784" s="269" t="n"/>
      <c r="Q784" s="269" t="n"/>
      <c r="R784" s="269" t="n"/>
      <c r="S784" s="269" t="n"/>
      <c r="T784" s="269" t="n"/>
      <c r="U784" s="269" t="n"/>
      <c r="V784" s="269" t="n"/>
      <c r="W784" s="270" t="n"/>
    </row>
    <row r="785" customFormat="1" s="163">
      <c r="A785" s="282" t="n"/>
      <c r="B785" s="277" t="n"/>
      <c r="C785" s="278" t="n"/>
      <c r="D785" s="269" t="n"/>
      <c r="E785" s="269" t="n"/>
      <c r="F785" s="269" t="n"/>
      <c r="G785" s="269" t="n"/>
      <c r="H785" s="269" t="n"/>
      <c r="I785" s="269" t="n"/>
      <c r="J785" s="269" t="n"/>
      <c r="K785" s="269" t="n"/>
      <c r="L785" s="269" t="n"/>
      <c r="M785" s="269" t="n"/>
      <c r="N785" s="269" t="n"/>
      <c r="O785" s="269" t="n"/>
      <c r="P785" s="269" t="n"/>
      <c r="Q785" s="269" t="n"/>
      <c r="R785" s="269" t="n"/>
      <c r="S785" s="269" t="n"/>
      <c r="T785" s="269" t="n"/>
      <c r="U785" s="269" t="n"/>
      <c r="V785" s="269" t="n"/>
      <c r="W785" s="270" t="n"/>
    </row>
    <row r="786" customFormat="1" s="163">
      <c r="A786" s="282" t="n"/>
      <c r="B786" s="277" t="n"/>
      <c r="C786" s="278" t="n"/>
      <c r="D786" s="269" t="n"/>
      <c r="E786" s="269" t="n"/>
      <c r="F786" s="269" t="n"/>
      <c r="G786" s="269" t="n"/>
      <c r="H786" s="269" t="n"/>
      <c r="I786" s="269" t="n"/>
      <c r="J786" s="269" t="n"/>
      <c r="K786" s="269" t="n"/>
      <c r="L786" s="269" t="n"/>
      <c r="M786" s="269" t="n"/>
      <c r="N786" s="269" t="n"/>
      <c r="O786" s="269" t="n"/>
      <c r="P786" s="269" t="n"/>
      <c r="Q786" s="269" t="n"/>
      <c r="R786" s="269" t="n"/>
      <c r="S786" s="269" t="n"/>
      <c r="T786" s="269" t="n"/>
      <c r="U786" s="269" t="n"/>
      <c r="V786" s="269" t="n"/>
      <c r="W786" s="270" t="n"/>
    </row>
    <row r="787" customFormat="1" s="163">
      <c r="A787" s="282" t="n"/>
      <c r="B787" s="277" t="n"/>
      <c r="C787" s="278" t="n"/>
      <c r="D787" s="269" t="n"/>
      <c r="E787" s="269" t="n"/>
      <c r="F787" s="269" t="n"/>
      <c r="G787" s="269" t="n"/>
      <c r="H787" s="269" t="n"/>
      <c r="I787" s="269" t="n"/>
      <c r="J787" s="269" t="n"/>
      <c r="K787" s="269" t="n"/>
      <c r="L787" s="269" t="n"/>
      <c r="M787" s="269" t="n"/>
      <c r="N787" s="269" t="n"/>
      <c r="O787" s="269" t="n"/>
      <c r="P787" s="269" t="n"/>
      <c r="Q787" s="269" t="n"/>
      <c r="R787" s="269" t="n"/>
      <c r="S787" s="269" t="n"/>
      <c r="T787" s="269" t="n"/>
      <c r="U787" s="269" t="n"/>
      <c r="V787" s="269" t="n"/>
      <c r="W787" s="270" t="n"/>
    </row>
    <row r="788" customFormat="1" s="163">
      <c r="A788" s="282" t="n"/>
      <c r="B788" s="277" t="n"/>
      <c r="C788" s="278" t="n"/>
      <c r="D788" s="269" t="n"/>
      <c r="E788" s="269" t="n"/>
      <c r="F788" s="269" t="n"/>
      <c r="G788" s="269" t="n"/>
      <c r="H788" s="269" t="n"/>
      <c r="I788" s="269" t="n"/>
      <c r="J788" s="269" t="n"/>
      <c r="K788" s="269" t="n"/>
      <c r="L788" s="269" t="n"/>
      <c r="M788" s="269" t="n"/>
      <c r="N788" s="269" t="n"/>
      <c r="O788" s="269" t="n"/>
      <c r="P788" s="269" t="n"/>
      <c r="Q788" s="269" t="n"/>
      <c r="R788" s="269" t="n"/>
      <c r="S788" s="269" t="n"/>
      <c r="T788" s="269" t="n"/>
      <c r="U788" s="269" t="n"/>
      <c r="V788" s="269" t="n"/>
      <c r="W788" s="270" t="n"/>
    </row>
    <row r="789" customFormat="1" s="163">
      <c r="A789" s="282" t="n"/>
      <c r="B789" s="277" t="n"/>
      <c r="C789" s="278" t="n"/>
      <c r="D789" s="269" t="n"/>
      <c r="E789" s="269" t="n"/>
      <c r="F789" s="269" t="n"/>
      <c r="G789" s="269" t="n"/>
      <c r="H789" s="269" t="n"/>
      <c r="I789" s="269" t="n"/>
      <c r="J789" s="269" t="n"/>
      <c r="K789" s="269" t="n"/>
      <c r="L789" s="269" t="n"/>
      <c r="M789" s="269" t="n"/>
      <c r="N789" s="269" t="n"/>
      <c r="O789" s="269" t="n"/>
      <c r="P789" s="269" t="n"/>
      <c r="Q789" s="269" t="n"/>
      <c r="R789" s="269" t="n"/>
      <c r="S789" s="269" t="n"/>
      <c r="T789" s="269" t="n"/>
      <c r="U789" s="269" t="n"/>
      <c r="V789" s="269" t="n"/>
      <c r="W789" s="270" t="n"/>
    </row>
    <row r="790" customFormat="1" s="163">
      <c r="A790" s="282" t="n"/>
      <c r="B790" s="277" t="n"/>
      <c r="C790" s="278" t="n"/>
      <c r="D790" s="269" t="n"/>
      <c r="E790" s="269" t="n"/>
      <c r="F790" s="269" t="n"/>
      <c r="G790" s="269" t="n"/>
      <c r="H790" s="269" t="n"/>
      <c r="I790" s="269" t="n"/>
      <c r="J790" s="269" t="n"/>
      <c r="K790" s="269" t="n"/>
      <c r="L790" s="269" t="n"/>
      <c r="M790" s="269" t="n"/>
      <c r="N790" s="269" t="n"/>
      <c r="O790" s="269" t="n"/>
      <c r="P790" s="269" t="n"/>
      <c r="Q790" s="269" t="n"/>
      <c r="R790" s="269" t="n"/>
      <c r="S790" s="269" t="n"/>
      <c r="T790" s="269" t="n"/>
      <c r="U790" s="269" t="n"/>
      <c r="V790" s="269" t="n"/>
      <c r="W790" s="270" t="n"/>
    </row>
    <row r="791" customFormat="1" s="163">
      <c r="A791" s="282" t="n"/>
      <c r="B791" s="277" t="n"/>
      <c r="C791" s="278" t="n"/>
      <c r="D791" s="269" t="n"/>
      <c r="E791" s="269" t="n"/>
      <c r="F791" s="269" t="n"/>
      <c r="G791" s="269" t="n"/>
      <c r="H791" s="269" t="n"/>
      <c r="I791" s="269" t="n"/>
      <c r="J791" s="269" t="n"/>
      <c r="K791" s="269" t="n"/>
      <c r="L791" s="269" t="n"/>
      <c r="M791" s="269" t="n"/>
      <c r="N791" s="269" t="n"/>
      <c r="O791" s="269" t="n"/>
      <c r="P791" s="269" t="n"/>
      <c r="Q791" s="269" t="n"/>
      <c r="R791" s="269" t="n"/>
      <c r="S791" s="269" t="n"/>
      <c r="T791" s="269" t="n"/>
      <c r="U791" s="269" t="n"/>
      <c r="V791" s="269" t="n"/>
      <c r="W791" s="270" t="n"/>
    </row>
    <row r="792" customFormat="1" s="163">
      <c r="A792" s="282" t="n"/>
      <c r="B792" s="277" t="n"/>
      <c r="C792" s="278" t="n"/>
      <c r="D792" s="269" t="n"/>
      <c r="E792" s="269" t="n"/>
      <c r="F792" s="269" t="n"/>
      <c r="G792" s="269" t="n"/>
      <c r="H792" s="269" t="n"/>
      <c r="I792" s="269" t="n"/>
      <c r="J792" s="269" t="n"/>
      <c r="K792" s="269" t="n"/>
      <c r="L792" s="269" t="n"/>
      <c r="M792" s="269" t="n"/>
      <c r="N792" s="269" t="n"/>
      <c r="O792" s="269" t="n"/>
      <c r="P792" s="269" t="n"/>
      <c r="Q792" s="269" t="n"/>
      <c r="R792" s="269" t="n"/>
      <c r="S792" s="269" t="n"/>
      <c r="T792" s="269" t="n"/>
      <c r="U792" s="269" t="n"/>
      <c r="V792" s="269" t="n"/>
      <c r="W792" s="270" t="n"/>
    </row>
    <row r="793" customFormat="1" s="163">
      <c r="A793" s="282" t="n"/>
      <c r="B793" s="277" t="n"/>
      <c r="C793" s="278" t="n"/>
      <c r="D793" s="269" t="n"/>
      <c r="E793" s="269" t="n"/>
      <c r="F793" s="269" t="n"/>
      <c r="G793" s="269" t="n"/>
      <c r="H793" s="269" t="n"/>
      <c r="I793" s="269" t="n"/>
      <c r="J793" s="269" t="n"/>
      <c r="K793" s="269" t="n"/>
      <c r="L793" s="269" t="n"/>
      <c r="M793" s="269" t="n"/>
      <c r="N793" s="269" t="n"/>
      <c r="O793" s="269" t="n"/>
      <c r="P793" s="269" t="n"/>
      <c r="Q793" s="269" t="n"/>
      <c r="R793" s="269" t="n"/>
      <c r="S793" s="269" t="n"/>
      <c r="T793" s="269" t="n"/>
      <c r="U793" s="269" t="n"/>
      <c r="V793" s="269" t="n"/>
      <c r="W793" s="270" t="n"/>
    </row>
    <row r="794" customFormat="1" s="163">
      <c r="A794" s="282" t="n"/>
      <c r="B794" s="277" t="n"/>
      <c r="C794" s="278" t="n"/>
      <c r="D794" s="269" t="n"/>
      <c r="E794" s="269" t="n"/>
      <c r="F794" s="269" t="n"/>
      <c r="G794" s="269" t="n"/>
      <c r="H794" s="269" t="n"/>
      <c r="I794" s="269" t="n"/>
      <c r="J794" s="269" t="n"/>
      <c r="K794" s="269" t="n"/>
      <c r="L794" s="269" t="n"/>
      <c r="M794" s="269" t="n"/>
      <c r="N794" s="269" t="n"/>
      <c r="O794" s="269" t="n"/>
      <c r="P794" s="269" t="n"/>
      <c r="Q794" s="269" t="n"/>
      <c r="R794" s="269" t="n"/>
      <c r="S794" s="269" t="n"/>
      <c r="T794" s="269" t="n"/>
      <c r="U794" s="269" t="n"/>
      <c r="V794" s="269" t="n"/>
      <c r="W794" s="270" t="n"/>
    </row>
    <row r="795" customFormat="1" s="163">
      <c r="A795" s="282" t="n"/>
      <c r="B795" s="277" t="n"/>
      <c r="C795" s="278" t="n"/>
      <c r="D795" s="269" t="n"/>
      <c r="E795" s="269" t="n"/>
      <c r="F795" s="269" t="n"/>
      <c r="G795" s="269" t="n"/>
      <c r="H795" s="269" t="n"/>
      <c r="I795" s="269" t="n"/>
      <c r="J795" s="269" t="n"/>
      <c r="K795" s="269" t="n"/>
      <c r="L795" s="269" t="n"/>
      <c r="M795" s="269" t="n"/>
      <c r="N795" s="269" t="n"/>
      <c r="O795" s="269" t="n"/>
      <c r="P795" s="269" t="n"/>
      <c r="Q795" s="269" t="n"/>
      <c r="R795" s="269" t="n"/>
      <c r="S795" s="269" t="n"/>
      <c r="T795" s="269" t="n"/>
      <c r="U795" s="269" t="n"/>
      <c r="V795" s="269" t="n"/>
      <c r="W795" s="270" t="n"/>
    </row>
    <row r="796" customFormat="1" s="163">
      <c r="A796" s="282" t="n"/>
      <c r="B796" s="277" t="n"/>
      <c r="C796" s="278" t="n"/>
      <c r="D796" s="269" t="n"/>
      <c r="E796" s="269" t="n"/>
      <c r="F796" s="269" t="n"/>
      <c r="G796" s="269" t="n"/>
      <c r="H796" s="269" t="n"/>
      <c r="I796" s="269" t="n"/>
      <c r="J796" s="269" t="n"/>
      <c r="K796" s="269" t="n"/>
      <c r="L796" s="269" t="n"/>
      <c r="M796" s="269" t="n"/>
      <c r="N796" s="269" t="n"/>
      <c r="O796" s="269" t="n"/>
      <c r="P796" s="269" t="n"/>
      <c r="Q796" s="269" t="n"/>
      <c r="R796" s="269" t="n"/>
      <c r="S796" s="269" t="n"/>
      <c r="T796" s="269" t="n"/>
      <c r="U796" s="269" t="n"/>
      <c r="V796" s="269" t="n"/>
      <c r="W796" s="270" t="n"/>
    </row>
    <row r="797" customFormat="1" s="163">
      <c r="A797" s="282" t="n"/>
      <c r="B797" s="277" t="n"/>
      <c r="C797" s="278" t="n"/>
      <c r="D797" s="269" t="n"/>
      <c r="E797" s="269" t="n"/>
      <c r="F797" s="269" t="n"/>
      <c r="G797" s="269" t="n"/>
      <c r="H797" s="269" t="n"/>
      <c r="I797" s="269" t="n"/>
      <c r="J797" s="269" t="n"/>
      <c r="K797" s="269" t="n"/>
      <c r="L797" s="269" t="n"/>
      <c r="M797" s="269" t="n"/>
      <c r="N797" s="269" t="n"/>
      <c r="O797" s="269" t="n"/>
      <c r="P797" s="269" t="n"/>
      <c r="Q797" s="269" t="n"/>
      <c r="R797" s="269" t="n"/>
      <c r="S797" s="269" t="n"/>
      <c r="T797" s="269" t="n"/>
      <c r="U797" s="269" t="n"/>
      <c r="V797" s="269" t="n"/>
      <c r="W797" s="270" t="n"/>
    </row>
    <row r="798" customFormat="1" s="163">
      <c r="A798" s="282" t="n"/>
      <c r="B798" s="277" t="n"/>
      <c r="C798" s="278" t="n"/>
      <c r="D798" s="269" t="n"/>
      <c r="E798" s="269" t="n"/>
      <c r="F798" s="269" t="n"/>
      <c r="G798" s="269" t="n"/>
      <c r="H798" s="269" t="n"/>
      <c r="I798" s="269" t="n"/>
      <c r="J798" s="269" t="n"/>
      <c r="K798" s="269" t="n"/>
      <c r="L798" s="269" t="n"/>
      <c r="M798" s="269" t="n"/>
      <c r="N798" s="269" t="n"/>
      <c r="O798" s="269" t="n"/>
      <c r="P798" s="269" t="n"/>
      <c r="Q798" s="269" t="n"/>
      <c r="R798" s="269" t="n"/>
      <c r="S798" s="269" t="n"/>
      <c r="T798" s="269" t="n"/>
      <c r="U798" s="269" t="n"/>
      <c r="V798" s="269" t="n"/>
      <c r="W798" s="270" t="n"/>
    </row>
    <row r="799" customFormat="1" s="163">
      <c r="A799" s="282" t="n"/>
      <c r="B799" s="277" t="n"/>
      <c r="C799" s="278" t="n"/>
      <c r="D799" s="269" t="n"/>
      <c r="E799" s="269" t="n"/>
      <c r="F799" s="269" t="n"/>
      <c r="G799" s="269" t="n"/>
      <c r="H799" s="269" t="n"/>
      <c r="I799" s="269" t="n"/>
      <c r="J799" s="269" t="n"/>
      <c r="K799" s="269" t="n"/>
      <c r="L799" s="269" t="n"/>
      <c r="M799" s="269" t="n"/>
      <c r="N799" s="269" t="n"/>
      <c r="O799" s="269" t="n"/>
      <c r="P799" s="269" t="n"/>
      <c r="Q799" s="269" t="n"/>
      <c r="R799" s="269" t="n"/>
      <c r="S799" s="269" t="n"/>
      <c r="T799" s="269" t="n"/>
      <c r="U799" s="269" t="n"/>
      <c r="V799" s="269" t="n"/>
      <c r="W799" s="270" t="n"/>
    </row>
    <row r="800" customFormat="1" s="163">
      <c r="A800" s="282" t="n"/>
      <c r="B800" s="277" t="n"/>
      <c r="C800" s="278" t="n"/>
      <c r="D800" s="269" t="n"/>
      <c r="E800" s="269" t="n"/>
      <c r="F800" s="269" t="n"/>
      <c r="G800" s="269" t="n"/>
      <c r="H800" s="269" t="n"/>
      <c r="I800" s="269" t="n"/>
      <c r="J800" s="269" t="n"/>
      <c r="K800" s="269" t="n"/>
      <c r="L800" s="269" t="n"/>
      <c r="M800" s="269" t="n"/>
      <c r="N800" s="269" t="n"/>
      <c r="O800" s="269" t="n"/>
      <c r="P800" s="269" t="n"/>
      <c r="Q800" s="269" t="n"/>
      <c r="R800" s="269" t="n"/>
      <c r="S800" s="269" t="n"/>
      <c r="T800" s="269" t="n"/>
      <c r="U800" s="269" t="n"/>
      <c r="V800" s="269" t="n"/>
      <c r="W800" s="270" t="n"/>
    </row>
    <row r="801" customFormat="1" s="163">
      <c r="A801" s="282" t="n"/>
      <c r="B801" s="277" t="n"/>
      <c r="C801" s="278" t="n"/>
      <c r="D801" s="269" t="n"/>
      <c r="E801" s="269" t="n"/>
      <c r="F801" s="269" t="n"/>
      <c r="G801" s="269" t="n"/>
      <c r="H801" s="269" t="n"/>
      <c r="I801" s="269" t="n"/>
      <c r="J801" s="269" t="n"/>
      <c r="K801" s="269" t="n"/>
      <c r="L801" s="269" t="n"/>
      <c r="M801" s="269" t="n"/>
      <c r="N801" s="269" t="n"/>
      <c r="O801" s="269" t="n"/>
      <c r="P801" s="269" t="n"/>
      <c r="Q801" s="269" t="n"/>
      <c r="R801" s="269" t="n"/>
      <c r="S801" s="269" t="n"/>
      <c r="T801" s="269" t="n"/>
      <c r="U801" s="269" t="n"/>
      <c r="V801" s="269" t="n"/>
      <c r="W801" s="270" t="n"/>
    </row>
    <row r="802" customFormat="1" s="163">
      <c r="A802" s="282" t="n"/>
      <c r="B802" s="277" t="n"/>
      <c r="C802" s="278" t="n"/>
      <c r="D802" s="269" t="n"/>
      <c r="E802" s="269" t="n"/>
      <c r="F802" s="269" t="n"/>
      <c r="G802" s="269" t="n"/>
      <c r="H802" s="269" t="n"/>
      <c r="I802" s="269" t="n"/>
      <c r="J802" s="269" t="n"/>
      <c r="K802" s="269" t="n"/>
      <c r="L802" s="269" t="n"/>
      <c r="M802" s="269" t="n"/>
      <c r="N802" s="269" t="n"/>
      <c r="O802" s="269" t="n"/>
      <c r="P802" s="269" t="n"/>
      <c r="Q802" s="269" t="n"/>
      <c r="R802" s="269" t="n"/>
      <c r="S802" s="269" t="n"/>
      <c r="T802" s="269" t="n"/>
      <c r="U802" s="269" t="n"/>
      <c r="V802" s="269" t="n"/>
      <c r="W802" s="270" t="n"/>
    </row>
    <row r="803" customFormat="1" s="163">
      <c r="A803" s="282" t="n"/>
      <c r="B803" s="277" t="n"/>
      <c r="C803" s="278" t="n"/>
      <c r="D803" s="269" t="n"/>
      <c r="E803" s="269" t="n"/>
      <c r="F803" s="269" t="n"/>
      <c r="G803" s="269" t="n"/>
      <c r="H803" s="269" t="n"/>
      <c r="I803" s="269" t="n"/>
      <c r="J803" s="269" t="n"/>
      <c r="K803" s="269" t="n"/>
      <c r="L803" s="269" t="n"/>
      <c r="M803" s="269" t="n"/>
      <c r="N803" s="269" t="n"/>
      <c r="O803" s="269" t="n"/>
      <c r="P803" s="269" t="n"/>
      <c r="Q803" s="269" t="n"/>
      <c r="R803" s="269" t="n"/>
      <c r="S803" s="269" t="n"/>
      <c r="T803" s="269" t="n"/>
      <c r="U803" s="269" t="n"/>
      <c r="V803" s="269" t="n"/>
      <c r="W803" s="270" t="n"/>
    </row>
    <row r="804" customFormat="1" s="163">
      <c r="A804" s="282" t="n"/>
      <c r="B804" s="277" t="n"/>
      <c r="C804" s="278" t="n"/>
      <c r="D804" s="269" t="n"/>
      <c r="E804" s="269" t="n"/>
      <c r="F804" s="269" t="n"/>
      <c r="G804" s="269" t="n"/>
      <c r="H804" s="269" t="n"/>
      <c r="I804" s="269" t="n"/>
      <c r="J804" s="269" t="n"/>
      <c r="K804" s="269" t="n"/>
      <c r="L804" s="269" t="n"/>
      <c r="M804" s="269" t="n"/>
      <c r="N804" s="269" t="n"/>
      <c r="O804" s="269" t="n"/>
      <c r="P804" s="269" t="n"/>
      <c r="Q804" s="269" t="n"/>
      <c r="R804" s="269" t="n"/>
      <c r="S804" s="269" t="n"/>
      <c r="T804" s="269" t="n"/>
      <c r="U804" s="269" t="n"/>
      <c r="V804" s="269" t="n"/>
      <c r="W804" s="270" t="n"/>
    </row>
    <row r="805" customFormat="1" s="163">
      <c r="A805" s="282" t="n"/>
      <c r="B805" s="277" t="n"/>
      <c r="C805" s="278" t="n"/>
      <c r="D805" s="269" t="n"/>
      <c r="E805" s="269" t="n"/>
      <c r="F805" s="269" t="n"/>
      <c r="G805" s="269" t="n"/>
      <c r="H805" s="269" t="n"/>
      <c r="I805" s="269" t="n"/>
      <c r="J805" s="269" t="n"/>
      <c r="K805" s="269" t="n"/>
      <c r="L805" s="269" t="n"/>
      <c r="M805" s="269" t="n"/>
      <c r="N805" s="269" t="n"/>
      <c r="O805" s="269" t="n"/>
      <c r="P805" s="269" t="n"/>
      <c r="Q805" s="269" t="n"/>
      <c r="R805" s="269" t="n"/>
      <c r="S805" s="269" t="n"/>
      <c r="T805" s="269" t="n"/>
      <c r="U805" s="269" t="n"/>
      <c r="V805" s="269" t="n"/>
      <c r="W805" s="270" t="n"/>
    </row>
    <row r="806" customFormat="1" s="163">
      <c r="A806" s="282" t="n"/>
      <c r="B806" s="277" t="n"/>
      <c r="C806" s="278" t="n"/>
      <c r="D806" s="269" t="n"/>
      <c r="E806" s="269" t="n"/>
      <c r="F806" s="269" t="n"/>
      <c r="G806" s="269" t="n"/>
      <c r="H806" s="269" t="n"/>
      <c r="I806" s="269" t="n"/>
      <c r="J806" s="269" t="n"/>
      <c r="K806" s="269" t="n"/>
      <c r="L806" s="269" t="n"/>
      <c r="M806" s="269" t="n"/>
      <c r="N806" s="269" t="n"/>
      <c r="O806" s="269" t="n"/>
      <c r="P806" s="269" t="n"/>
      <c r="Q806" s="269" t="n"/>
      <c r="R806" s="269" t="n"/>
      <c r="S806" s="269" t="n"/>
      <c r="T806" s="269" t="n"/>
      <c r="U806" s="269" t="n"/>
      <c r="V806" s="269" t="n"/>
      <c r="W806" s="270" t="n"/>
    </row>
    <row r="807" customFormat="1" s="163">
      <c r="A807" s="282" t="n"/>
      <c r="B807" s="277" t="n"/>
      <c r="C807" s="278" t="n"/>
      <c r="D807" s="269" t="n"/>
      <c r="E807" s="269" t="n"/>
      <c r="F807" s="269" t="n"/>
      <c r="G807" s="269" t="n"/>
      <c r="H807" s="269" t="n"/>
      <c r="I807" s="269" t="n"/>
      <c r="J807" s="269" t="n"/>
      <c r="K807" s="269" t="n"/>
      <c r="L807" s="269" t="n"/>
      <c r="M807" s="269" t="n"/>
      <c r="N807" s="269" t="n"/>
      <c r="O807" s="269" t="n"/>
      <c r="P807" s="269" t="n"/>
      <c r="Q807" s="269" t="n"/>
      <c r="R807" s="269" t="n"/>
      <c r="S807" s="269" t="n"/>
      <c r="T807" s="269" t="n"/>
      <c r="U807" s="269" t="n"/>
      <c r="V807" s="269" t="n"/>
      <c r="W807" s="270" t="n"/>
    </row>
    <row r="808" customFormat="1" s="163">
      <c r="A808" s="282" t="n"/>
      <c r="B808" s="277" t="n"/>
      <c r="C808" s="278" t="n"/>
      <c r="D808" s="269" t="n"/>
      <c r="E808" s="269" t="n"/>
      <c r="F808" s="269" t="n"/>
      <c r="G808" s="269" t="n"/>
      <c r="H808" s="269" t="n"/>
      <c r="I808" s="269" t="n"/>
      <c r="J808" s="269" t="n"/>
      <c r="K808" s="269" t="n"/>
      <c r="L808" s="269" t="n"/>
      <c r="M808" s="269" t="n"/>
      <c r="N808" s="269" t="n"/>
      <c r="O808" s="269" t="n"/>
      <c r="P808" s="269" t="n"/>
      <c r="Q808" s="269" t="n"/>
      <c r="R808" s="269" t="n"/>
      <c r="S808" s="269" t="n"/>
      <c r="T808" s="269" t="n"/>
      <c r="U808" s="269" t="n"/>
      <c r="V808" s="269" t="n"/>
      <c r="W808" s="270" t="n"/>
    </row>
    <row r="809" customFormat="1" s="163">
      <c r="A809" s="282" t="n"/>
      <c r="B809" s="277" t="n"/>
      <c r="C809" s="278" t="n"/>
      <c r="D809" s="269" t="n"/>
      <c r="E809" s="269" t="n"/>
      <c r="F809" s="269" t="n"/>
      <c r="G809" s="269" t="n"/>
      <c r="H809" s="269" t="n"/>
      <c r="I809" s="269" t="n"/>
      <c r="J809" s="269" t="n"/>
      <c r="K809" s="269" t="n"/>
      <c r="L809" s="269" t="n"/>
      <c r="M809" s="269" t="n"/>
      <c r="N809" s="269" t="n"/>
      <c r="O809" s="269" t="n"/>
      <c r="P809" s="269" t="n"/>
      <c r="Q809" s="269" t="n"/>
      <c r="R809" s="269" t="n"/>
      <c r="S809" s="269" t="n"/>
      <c r="T809" s="269" t="n"/>
      <c r="U809" s="269" t="n"/>
      <c r="V809" s="269" t="n"/>
      <c r="W809" s="270" t="n"/>
    </row>
    <row r="810" customFormat="1" s="163">
      <c r="A810" s="282" t="n"/>
      <c r="B810" s="277" t="n"/>
      <c r="C810" s="278" t="n"/>
      <c r="D810" s="269" t="n"/>
      <c r="E810" s="269" t="n"/>
      <c r="F810" s="269" t="n"/>
      <c r="G810" s="269" t="n"/>
      <c r="H810" s="269" t="n"/>
      <c r="I810" s="269" t="n"/>
      <c r="J810" s="269" t="n"/>
      <c r="K810" s="269" t="n"/>
      <c r="L810" s="269" t="n"/>
      <c r="M810" s="269" t="n"/>
      <c r="N810" s="269" t="n"/>
      <c r="O810" s="269" t="n"/>
      <c r="P810" s="269" t="n"/>
      <c r="Q810" s="269" t="n"/>
      <c r="R810" s="269" t="n"/>
      <c r="S810" s="269" t="n"/>
      <c r="T810" s="269" t="n"/>
      <c r="U810" s="269" t="n"/>
      <c r="V810" s="269" t="n"/>
      <c r="W810" s="270" t="n"/>
    </row>
    <row r="811" customFormat="1" s="163">
      <c r="A811" s="282" t="n"/>
      <c r="B811" s="277" t="n"/>
      <c r="C811" s="278" t="n"/>
      <c r="D811" s="269" t="n"/>
      <c r="E811" s="269" t="n"/>
      <c r="F811" s="269" t="n"/>
      <c r="G811" s="269" t="n"/>
      <c r="H811" s="269" t="n"/>
      <c r="I811" s="269" t="n"/>
      <c r="J811" s="269" t="n"/>
      <c r="K811" s="269" t="n"/>
      <c r="L811" s="269" t="n"/>
      <c r="M811" s="269" t="n"/>
      <c r="N811" s="269" t="n"/>
      <c r="O811" s="269" t="n"/>
      <c r="P811" s="269" t="n"/>
      <c r="Q811" s="269" t="n"/>
      <c r="R811" s="269" t="n"/>
      <c r="S811" s="269" t="n"/>
      <c r="T811" s="269" t="n"/>
      <c r="U811" s="269" t="n"/>
      <c r="V811" s="269" t="n"/>
      <c r="W811" s="270" t="n"/>
    </row>
    <row r="812" customFormat="1" s="163">
      <c r="A812" s="282" t="n"/>
      <c r="B812" s="277" t="n"/>
      <c r="C812" s="278" t="n"/>
      <c r="D812" s="269" t="n"/>
      <c r="E812" s="269" t="n"/>
      <c r="F812" s="269" t="n"/>
      <c r="G812" s="269" t="n"/>
      <c r="H812" s="269" t="n"/>
      <c r="I812" s="269" t="n"/>
      <c r="J812" s="269" t="n"/>
      <c r="K812" s="269" t="n"/>
      <c r="L812" s="269" t="n"/>
      <c r="M812" s="269" t="n"/>
      <c r="N812" s="269" t="n"/>
      <c r="O812" s="269" t="n"/>
      <c r="P812" s="269" t="n"/>
      <c r="Q812" s="269" t="n"/>
      <c r="R812" s="269" t="n"/>
      <c r="S812" s="269" t="n"/>
      <c r="T812" s="269" t="n"/>
      <c r="U812" s="269" t="n"/>
      <c r="V812" s="269" t="n"/>
      <c r="W812" s="270" t="n"/>
    </row>
    <row r="813" customFormat="1" s="163">
      <c r="A813" s="282" t="n"/>
      <c r="B813" s="277" t="n"/>
      <c r="C813" s="278" t="n"/>
      <c r="D813" s="269" t="n"/>
      <c r="E813" s="269" t="n"/>
      <c r="F813" s="269" t="n"/>
      <c r="G813" s="269" t="n"/>
      <c r="H813" s="269" t="n"/>
      <c r="I813" s="269" t="n"/>
      <c r="J813" s="269" t="n"/>
      <c r="K813" s="269" t="n"/>
      <c r="L813" s="269" t="n"/>
      <c r="M813" s="269" t="n"/>
      <c r="N813" s="269" t="n"/>
      <c r="O813" s="269" t="n"/>
      <c r="P813" s="269" t="n"/>
      <c r="Q813" s="269" t="n"/>
      <c r="R813" s="269" t="n"/>
      <c r="S813" s="269" t="n"/>
      <c r="T813" s="269" t="n"/>
      <c r="U813" s="269" t="n"/>
      <c r="V813" s="269" t="n"/>
      <c r="W813" s="270" t="n"/>
    </row>
    <row r="814" customFormat="1" s="163">
      <c r="A814" s="282" t="n"/>
      <c r="B814" s="277" t="n"/>
      <c r="C814" s="278" t="n"/>
      <c r="D814" s="269" t="n"/>
      <c r="E814" s="269" t="n"/>
      <c r="F814" s="269" t="n"/>
      <c r="G814" s="269" t="n"/>
      <c r="H814" s="269" t="n"/>
      <c r="I814" s="269" t="n"/>
      <c r="J814" s="269" t="n"/>
      <c r="K814" s="269" t="n"/>
      <c r="L814" s="269" t="n"/>
      <c r="M814" s="269" t="n"/>
      <c r="N814" s="269" t="n"/>
      <c r="O814" s="269" t="n"/>
      <c r="P814" s="269" t="n"/>
      <c r="Q814" s="269" t="n"/>
      <c r="R814" s="269" t="n"/>
      <c r="S814" s="269" t="n"/>
      <c r="T814" s="269" t="n"/>
      <c r="U814" s="269" t="n"/>
      <c r="V814" s="269" t="n"/>
      <c r="W814" s="270" t="n"/>
    </row>
    <row r="815" customFormat="1" s="163">
      <c r="A815" s="282" t="n"/>
      <c r="B815" s="277" t="n"/>
      <c r="C815" s="278" t="n"/>
      <c r="D815" s="269" t="n"/>
      <c r="E815" s="269" t="n"/>
      <c r="F815" s="269" t="n"/>
      <c r="G815" s="269" t="n"/>
      <c r="H815" s="269" t="n"/>
      <c r="I815" s="269" t="n"/>
      <c r="J815" s="269" t="n"/>
      <c r="K815" s="269" t="n"/>
      <c r="L815" s="269" t="n"/>
      <c r="M815" s="269" t="n"/>
      <c r="N815" s="269" t="n"/>
      <c r="O815" s="269" t="n"/>
      <c r="P815" s="269" t="n"/>
      <c r="Q815" s="269" t="n"/>
      <c r="R815" s="269" t="n"/>
      <c r="S815" s="269" t="n"/>
      <c r="T815" s="269" t="n"/>
      <c r="U815" s="269" t="n"/>
      <c r="V815" s="269" t="n"/>
      <c r="W815" s="270" t="n"/>
    </row>
    <row r="816" customFormat="1" s="163">
      <c r="A816" s="282" t="n"/>
      <c r="B816" s="277" t="n"/>
      <c r="C816" s="278" t="n"/>
      <c r="D816" s="269" t="n"/>
      <c r="E816" s="269" t="n"/>
      <c r="F816" s="269" t="n"/>
      <c r="G816" s="269" t="n"/>
      <c r="H816" s="269" t="n"/>
      <c r="I816" s="269" t="n"/>
      <c r="J816" s="269" t="n"/>
      <c r="K816" s="269" t="n"/>
      <c r="L816" s="269" t="n"/>
      <c r="M816" s="269" t="n"/>
      <c r="N816" s="269" t="n"/>
      <c r="O816" s="269" t="n"/>
      <c r="P816" s="269" t="n"/>
      <c r="Q816" s="269" t="n"/>
      <c r="R816" s="269" t="n"/>
      <c r="S816" s="269" t="n"/>
      <c r="T816" s="269" t="n"/>
      <c r="U816" s="269" t="n"/>
      <c r="V816" s="269" t="n"/>
      <c r="W816" s="270" t="n"/>
    </row>
    <row r="817" customFormat="1" s="163">
      <c r="A817" s="282" t="n"/>
      <c r="B817" s="277" t="n"/>
      <c r="C817" s="278" t="n"/>
      <c r="D817" s="269" t="n"/>
      <c r="E817" s="269" t="n"/>
      <c r="F817" s="269" t="n"/>
      <c r="G817" s="269" t="n"/>
      <c r="H817" s="269" t="n"/>
      <c r="I817" s="269" t="n"/>
      <c r="J817" s="269" t="n"/>
      <c r="K817" s="269" t="n"/>
      <c r="L817" s="269" t="n"/>
      <c r="M817" s="269" t="n"/>
      <c r="N817" s="269" t="n"/>
      <c r="O817" s="269" t="n"/>
      <c r="P817" s="269" t="n"/>
      <c r="Q817" s="269" t="n"/>
      <c r="R817" s="269" t="n"/>
      <c r="S817" s="269" t="n"/>
      <c r="T817" s="269" t="n"/>
      <c r="U817" s="269" t="n"/>
      <c r="V817" s="269" t="n"/>
      <c r="W817" s="270" t="n"/>
    </row>
    <row r="818" customFormat="1" s="163">
      <c r="A818" s="282" t="n"/>
      <c r="B818" s="277" t="n"/>
      <c r="C818" s="278" t="n"/>
      <c r="D818" s="269" t="n"/>
      <c r="E818" s="269" t="n"/>
      <c r="F818" s="269" t="n"/>
      <c r="G818" s="269" t="n"/>
      <c r="H818" s="269" t="n"/>
      <c r="I818" s="269" t="n"/>
      <c r="J818" s="269" t="n"/>
      <c r="K818" s="269" t="n"/>
      <c r="L818" s="269" t="n"/>
      <c r="M818" s="269" t="n"/>
      <c r="N818" s="269" t="n"/>
      <c r="O818" s="269" t="n"/>
      <c r="P818" s="269" t="n"/>
      <c r="Q818" s="269" t="n"/>
      <c r="R818" s="269" t="n"/>
      <c r="S818" s="269" t="n"/>
      <c r="T818" s="269" t="n"/>
      <c r="U818" s="269" t="n"/>
      <c r="V818" s="269" t="n"/>
      <c r="W818" s="270" t="n"/>
    </row>
    <row r="819" customFormat="1" s="163">
      <c r="A819" s="282" t="n"/>
      <c r="B819" s="277" t="n"/>
      <c r="C819" s="278" t="n"/>
      <c r="D819" s="269" t="n"/>
      <c r="E819" s="269" t="n"/>
      <c r="F819" s="269" t="n"/>
      <c r="G819" s="269" t="n"/>
      <c r="H819" s="269" t="n"/>
      <c r="I819" s="269" t="n"/>
      <c r="J819" s="269" t="n"/>
      <c r="K819" s="269" t="n"/>
      <c r="L819" s="269" t="n"/>
      <c r="M819" s="269" t="n"/>
      <c r="N819" s="269" t="n"/>
      <c r="O819" s="269" t="n"/>
      <c r="P819" s="269" t="n"/>
      <c r="Q819" s="269" t="n"/>
      <c r="R819" s="269" t="n"/>
      <c r="S819" s="269" t="n"/>
      <c r="T819" s="269" t="n"/>
      <c r="U819" s="269" t="n"/>
      <c r="V819" s="269" t="n"/>
      <c r="W819" s="270" t="n"/>
    </row>
    <row r="820" customFormat="1" s="163">
      <c r="A820" s="282" t="n"/>
      <c r="B820" s="277" t="n"/>
      <c r="C820" s="278" t="n"/>
      <c r="D820" s="269" t="n"/>
      <c r="E820" s="269" t="n"/>
      <c r="F820" s="269" t="n"/>
      <c r="G820" s="269" t="n"/>
      <c r="H820" s="269" t="n"/>
      <c r="I820" s="269" t="n"/>
      <c r="J820" s="269" t="n"/>
      <c r="K820" s="269" t="n"/>
      <c r="L820" s="269" t="n"/>
      <c r="M820" s="269" t="n"/>
      <c r="N820" s="269" t="n"/>
      <c r="O820" s="269" t="n"/>
      <c r="P820" s="269" t="n"/>
      <c r="Q820" s="269" t="n"/>
      <c r="R820" s="269" t="n"/>
      <c r="S820" s="269" t="n"/>
      <c r="T820" s="269" t="n"/>
      <c r="U820" s="269" t="n"/>
      <c r="V820" s="269" t="n"/>
      <c r="W820" s="270" t="n"/>
    </row>
    <row r="821" customFormat="1" s="163">
      <c r="A821" s="282" t="n"/>
      <c r="B821" s="277" t="n"/>
      <c r="C821" s="278" t="n"/>
      <c r="D821" s="269" t="n"/>
      <c r="E821" s="269" t="n"/>
      <c r="F821" s="269" t="n"/>
      <c r="G821" s="269" t="n"/>
      <c r="H821" s="269" t="n"/>
      <c r="I821" s="269" t="n"/>
      <c r="J821" s="269" t="n"/>
      <c r="K821" s="269" t="n"/>
      <c r="L821" s="269" t="n"/>
      <c r="M821" s="269" t="n"/>
      <c r="N821" s="269" t="n"/>
      <c r="O821" s="269" t="n"/>
      <c r="P821" s="269" t="n"/>
      <c r="Q821" s="269" t="n"/>
      <c r="R821" s="269" t="n"/>
      <c r="S821" s="269" t="n"/>
      <c r="T821" s="269" t="n"/>
      <c r="U821" s="269" t="n"/>
      <c r="V821" s="269" t="n"/>
      <c r="W821" s="270" t="n"/>
    </row>
    <row r="822" customFormat="1" s="163">
      <c r="A822" s="282" t="n"/>
      <c r="B822" s="277" t="n"/>
      <c r="C822" s="278" t="n"/>
      <c r="D822" s="269" t="n"/>
      <c r="E822" s="269" t="n"/>
      <c r="F822" s="269" t="n"/>
      <c r="G822" s="269" t="n"/>
      <c r="H822" s="269" t="n"/>
      <c r="I822" s="269" t="n"/>
      <c r="J822" s="269" t="n"/>
      <c r="K822" s="269" t="n"/>
      <c r="L822" s="269" t="n"/>
      <c r="M822" s="269" t="n"/>
      <c r="N822" s="269" t="n"/>
      <c r="O822" s="269" t="n"/>
      <c r="P822" s="269" t="n"/>
      <c r="Q822" s="269" t="n"/>
      <c r="R822" s="269" t="n"/>
      <c r="S822" s="269" t="n"/>
      <c r="T822" s="269" t="n"/>
      <c r="U822" s="269" t="n"/>
      <c r="V822" s="269" t="n"/>
      <c r="W822" s="270" t="n"/>
    </row>
    <row r="823" customFormat="1" s="163">
      <c r="A823" s="282" t="n"/>
      <c r="B823" s="277" t="n"/>
      <c r="C823" s="278" t="n"/>
      <c r="D823" s="269" t="n"/>
      <c r="E823" s="269" t="n"/>
      <c r="F823" s="269" t="n"/>
      <c r="G823" s="269" t="n"/>
      <c r="H823" s="269" t="n"/>
      <c r="I823" s="269" t="n"/>
      <c r="J823" s="269" t="n"/>
      <c r="K823" s="269" t="n"/>
      <c r="L823" s="269" t="n"/>
      <c r="M823" s="269" t="n"/>
      <c r="N823" s="269" t="n"/>
      <c r="O823" s="269" t="n"/>
      <c r="P823" s="269" t="n"/>
      <c r="Q823" s="269" t="n"/>
      <c r="R823" s="269" t="n"/>
      <c r="S823" s="269" t="n"/>
      <c r="T823" s="269" t="n"/>
      <c r="U823" s="269" t="n"/>
      <c r="V823" s="269" t="n"/>
      <c r="W823" s="270" t="n"/>
    </row>
    <row r="824" customFormat="1" s="163">
      <c r="A824" s="282" t="n"/>
      <c r="B824" s="277" t="n"/>
      <c r="C824" s="278" t="n"/>
      <c r="D824" s="269" t="n"/>
      <c r="E824" s="269" t="n"/>
      <c r="F824" s="269" t="n"/>
      <c r="G824" s="269" t="n"/>
      <c r="H824" s="269" t="n"/>
      <c r="I824" s="269" t="n"/>
      <c r="J824" s="269" t="n"/>
      <c r="K824" s="269" t="n"/>
      <c r="L824" s="269" t="n"/>
      <c r="M824" s="269" t="n"/>
      <c r="N824" s="269" t="n"/>
      <c r="O824" s="269" t="n"/>
      <c r="P824" s="269" t="n"/>
      <c r="Q824" s="269" t="n"/>
      <c r="R824" s="269" t="n"/>
      <c r="S824" s="269" t="n"/>
      <c r="T824" s="269" t="n"/>
      <c r="U824" s="269" t="n"/>
      <c r="V824" s="269" t="n"/>
      <c r="W824" s="270" t="n"/>
    </row>
    <row r="825" customFormat="1" s="163">
      <c r="A825" s="282" t="n"/>
      <c r="B825" s="277" t="n"/>
      <c r="C825" s="278" t="n"/>
      <c r="D825" s="269" t="n"/>
      <c r="E825" s="269" t="n"/>
      <c r="F825" s="269" t="n"/>
      <c r="G825" s="269" t="n"/>
      <c r="H825" s="269" t="n"/>
      <c r="I825" s="269" t="n"/>
      <c r="J825" s="269" t="n"/>
      <c r="K825" s="269" t="n"/>
      <c r="L825" s="269" t="n"/>
      <c r="M825" s="269" t="n"/>
      <c r="N825" s="269" t="n"/>
      <c r="O825" s="269" t="n"/>
      <c r="P825" s="269" t="n"/>
      <c r="Q825" s="269" t="n"/>
      <c r="R825" s="269" t="n"/>
      <c r="S825" s="269" t="n"/>
      <c r="T825" s="269" t="n"/>
      <c r="U825" s="269" t="n"/>
      <c r="V825" s="269" t="n"/>
      <c r="W825" s="270" t="n"/>
    </row>
    <row r="826" customFormat="1" s="163">
      <c r="A826" s="282" t="n"/>
      <c r="B826" s="277" t="n"/>
      <c r="C826" s="278" t="n"/>
      <c r="D826" s="269" t="n"/>
      <c r="E826" s="269" t="n"/>
      <c r="F826" s="269" t="n"/>
      <c r="G826" s="269" t="n"/>
      <c r="H826" s="269" t="n"/>
      <c r="I826" s="269" t="n"/>
      <c r="J826" s="269" t="n"/>
      <c r="K826" s="269" t="n"/>
      <c r="L826" s="269" t="n"/>
      <c r="M826" s="269" t="n"/>
      <c r="N826" s="269" t="n"/>
      <c r="O826" s="269" t="n"/>
      <c r="P826" s="269" t="n"/>
      <c r="Q826" s="269" t="n"/>
      <c r="R826" s="269" t="n"/>
      <c r="S826" s="269" t="n"/>
      <c r="T826" s="269" t="n"/>
      <c r="U826" s="269" t="n"/>
      <c r="V826" s="269" t="n"/>
      <c r="W826" s="270" t="n"/>
    </row>
    <row r="827" customFormat="1" s="163">
      <c r="A827" s="282" t="n"/>
      <c r="B827" s="277" t="n"/>
      <c r="C827" s="278" t="n"/>
      <c r="D827" s="269" t="n"/>
      <c r="E827" s="269" t="n"/>
      <c r="F827" s="269" t="n"/>
      <c r="G827" s="269" t="n"/>
      <c r="H827" s="269" t="n"/>
      <c r="I827" s="269" t="n"/>
      <c r="J827" s="269" t="n"/>
      <c r="K827" s="269" t="n"/>
      <c r="L827" s="269" t="n"/>
      <c r="M827" s="269" t="n"/>
      <c r="N827" s="269" t="n"/>
      <c r="O827" s="269" t="n"/>
      <c r="P827" s="269" t="n"/>
      <c r="Q827" s="269" t="n"/>
      <c r="R827" s="269" t="n"/>
      <c r="S827" s="269" t="n"/>
      <c r="T827" s="269" t="n"/>
      <c r="U827" s="269" t="n"/>
      <c r="V827" s="269" t="n"/>
      <c r="W827" s="270" t="n"/>
    </row>
    <row r="828" customFormat="1" s="163">
      <c r="A828" s="282" t="n"/>
      <c r="B828" s="277" t="n"/>
      <c r="C828" s="278" t="n"/>
      <c r="D828" s="269" t="n"/>
      <c r="E828" s="269" t="n"/>
      <c r="F828" s="269" t="n"/>
      <c r="G828" s="269" t="n"/>
      <c r="H828" s="269" t="n"/>
      <c r="I828" s="269" t="n"/>
      <c r="J828" s="269" t="n"/>
      <c r="K828" s="269" t="n"/>
      <c r="L828" s="269" t="n"/>
      <c r="M828" s="269" t="n"/>
      <c r="N828" s="269" t="n"/>
      <c r="O828" s="269" t="n"/>
      <c r="P828" s="269" t="n"/>
      <c r="Q828" s="269" t="n"/>
      <c r="R828" s="269" t="n"/>
      <c r="S828" s="269" t="n"/>
      <c r="T828" s="269" t="n"/>
      <c r="U828" s="269" t="n"/>
      <c r="V828" s="269" t="n"/>
      <c r="W828" s="270" t="n"/>
    </row>
    <row r="829" customFormat="1" s="163">
      <c r="A829" s="282" t="n"/>
      <c r="B829" s="277" t="n"/>
      <c r="C829" s="278" t="n"/>
      <c r="D829" s="269" t="n"/>
      <c r="E829" s="269" t="n"/>
      <c r="F829" s="269" t="n"/>
      <c r="G829" s="269" t="n"/>
      <c r="H829" s="269" t="n"/>
      <c r="I829" s="269" t="n"/>
      <c r="J829" s="269" t="n"/>
      <c r="K829" s="269" t="n"/>
      <c r="L829" s="269" t="n"/>
      <c r="M829" s="269" t="n"/>
      <c r="N829" s="269" t="n"/>
      <c r="O829" s="269" t="n"/>
      <c r="P829" s="269" t="n"/>
      <c r="Q829" s="269" t="n"/>
      <c r="R829" s="269" t="n"/>
      <c r="S829" s="269" t="n"/>
      <c r="T829" s="269" t="n"/>
      <c r="U829" s="269" t="n"/>
      <c r="V829" s="269" t="n"/>
      <c r="W829" s="270" t="n"/>
    </row>
    <row r="830" customFormat="1" s="163">
      <c r="A830" s="282" t="n"/>
      <c r="B830" s="277" t="n"/>
      <c r="C830" s="278" t="n"/>
      <c r="D830" s="269" t="n"/>
      <c r="E830" s="269" t="n"/>
      <c r="F830" s="269" t="n"/>
      <c r="G830" s="269" t="n"/>
      <c r="H830" s="269" t="n"/>
      <c r="I830" s="269" t="n"/>
      <c r="J830" s="269" t="n"/>
      <c r="K830" s="269" t="n"/>
      <c r="L830" s="269" t="n"/>
      <c r="M830" s="269" t="n"/>
      <c r="N830" s="269" t="n"/>
      <c r="O830" s="269" t="n"/>
      <c r="P830" s="269" t="n"/>
      <c r="Q830" s="269" t="n"/>
      <c r="R830" s="269" t="n"/>
      <c r="S830" s="269" t="n"/>
      <c r="T830" s="269" t="n"/>
      <c r="U830" s="269" t="n"/>
      <c r="V830" s="269" t="n"/>
      <c r="W830" s="270" t="n"/>
    </row>
    <row r="831" customFormat="1" s="163">
      <c r="A831" s="282" t="n"/>
      <c r="B831" s="277" t="n"/>
      <c r="C831" s="278" t="n"/>
      <c r="D831" s="269" t="n"/>
      <c r="E831" s="269" t="n"/>
      <c r="F831" s="269" t="n"/>
      <c r="G831" s="269" t="n"/>
      <c r="H831" s="269" t="n"/>
      <c r="I831" s="269" t="n"/>
      <c r="J831" s="269" t="n"/>
      <c r="K831" s="269" t="n"/>
      <c r="L831" s="269" t="n"/>
      <c r="M831" s="269" t="n"/>
      <c r="N831" s="269" t="n"/>
      <c r="O831" s="269" t="n"/>
      <c r="P831" s="269" t="n"/>
      <c r="Q831" s="269" t="n"/>
      <c r="R831" s="269" t="n"/>
      <c r="S831" s="269" t="n"/>
      <c r="T831" s="269" t="n"/>
      <c r="U831" s="269" t="n"/>
      <c r="V831" s="269" t="n"/>
      <c r="W831" s="270" t="n"/>
    </row>
    <row r="832" customFormat="1" s="163">
      <c r="A832" s="282" t="n"/>
      <c r="B832" s="277" t="n"/>
      <c r="C832" s="278" t="n"/>
      <c r="D832" s="269" t="n"/>
      <c r="E832" s="269" t="n"/>
      <c r="F832" s="269" t="n"/>
      <c r="G832" s="269" t="n"/>
      <c r="H832" s="269" t="n"/>
      <c r="I832" s="269" t="n"/>
      <c r="J832" s="269" t="n"/>
      <c r="K832" s="269" t="n"/>
      <c r="L832" s="269" t="n"/>
      <c r="M832" s="269" t="n"/>
      <c r="N832" s="269" t="n"/>
      <c r="O832" s="269" t="n"/>
      <c r="P832" s="269" t="n"/>
      <c r="Q832" s="269" t="n"/>
      <c r="R832" s="269" t="n"/>
      <c r="S832" s="269" t="n"/>
      <c r="T832" s="269" t="n"/>
      <c r="U832" s="269" t="n"/>
      <c r="V832" s="269" t="n"/>
      <c r="W832" s="270" t="n"/>
    </row>
    <row r="833" customFormat="1" s="163">
      <c r="A833" s="282" t="n"/>
      <c r="B833" s="277" t="n"/>
      <c r="C833" s="278" t="n"/>
      <c r="D833" s="269" t="n"/>
      <c r="E833" s="269" t="n"/>
      <c r="F833" s="269" t="n"/>
      <c r="G833" s="269" t="n"/>
      <c r="H833" s="269" t="n"/>
      <c r="I833" s="269" t="n"/>
      <c r="J833" s="269" t="n"/>
      <c r="K833" s="269" t="n"/>
      <c r="L833" s="269" t="n"/>
      <c r="M833" s="269" t="n"/>
      <c r="N833" s="269" t="n"/>
      <c r="O833" s="269" t="n"/>
      <c r="P833" s="269" t="n"/>
      <c r="Q833" s="269" t="n"/>
      <c r="R833" s="269" t="n"/>
      <c r="S833" s="269" t="n"/>
      <c r="T833" s="269" t="n"/>
      <c r="U833" s="269" t="n"/>
      <c r="V833" s="269" t="n"/>
      <c r="W833" s="270" t="n"/>
    </row>
    <row r="834" customFormat="1" s="163">
      <c r="A834" s="282" t="n"/>
      <c r="B834" s="277" t="n"/>
      <c r="C834" s="278" t="n"/>
      <c r="D834" s="269" t="n"/>
      <c r="E834" s="269" t="n"/>
      <c r="F834" s="269" t="n"/>
      <c r="G834" s="269" t="n"/>
      <c r="H834" s="269" t="n"/>
      <c r="I834" s="269" t="n"/>
      <c r="J834" s="269" t="n"/>
      <c r="K834" s="269" t="n"/>
      <c r="L834" s="269" t="n"/>
      <c r="M834" s="269" t="n"/>
      <c r="N834" s="269" t="n"/>
      <c r="O834" s="269" t="n"/>
      <c r="P834" s="269" t="n"/>
      <c r="Q834" s="269" t="n"/>
      <c r="R834" s="269" t="n"/>
      <c r="S834" s="269" t="n"/>
      <c r="T834" s="269" t="n"/>
      <c r="U834" s="269" t="n"/>
      <c r="V834" s="269" t="n"/>
      <c r="W834" s="270" t="n"/>
    </row>
    <row r="835" customFormat="1" s="163">
      <c r="A835" s="282" t="n"/>
      <c r="B835" s="277" t="n"/>
      <c r="C835" s="278" t="n"/>
      <c r="D835" s="269" t="n"/>
      <c r="E835" s="269" t="n"/>
      <c r="F835" s="269" t="n"/>
      <c r="G835" s="269" t="n"/>
      <c r="H835" s="269" t="n"/>
      <c r="I835" s="269" t="n"/>
      <c r="J835" s="269" t="n"/>
      <c r="K835" s="269" t="n"/>
      <c r="L835" s="269" t="n"/>
      <c r="M835" s="269" t="n"/>
      <c r="N835" s="269" t="n"/>
      <c r="O835" s="269" t="n"/>
      <c r="P835" s="269" t="n"/>
      <c r="Q835" s="269" t="n"/>
      <c r="R835" s="269" t="n"/>
      <c r="S835" s="269" t="n"/>
      <c r="T835" s="269" t="n"/>
      <c r="U835" s="269" t="n"/>
      <c r="V835" s="269" t="n"/>
      <c r="W835" s="270" t="n"/>
    </row>
    <row r="836" customFormat="1" s="163">
      <c r="A836" s="282" t="n"/>
      <c r="B836" s="277" t="n"/>
      <c r="C836" s="278" t="n"/>
      <c r="D836" s="269" t="n"/>
      <c r="E836" s="269" t="n"/>
      <c r="F836" s="269" t="n"/>
      <c r="G836" s="269" t="n"/>
      <c r="H836" s="269" t="n"/>
      <c r="I836" s="269" t="n"/>
      <c r="J836" s="269" t="n"/>
      <c r="K836" s="269" t="n"/>
      <c r="L836" s="269" t="n"/>
      <c r="M836" s="269" t="n"/>
      <c r="N836" s="269" t="n"/>
      <c r="O836" s="269" t="n"/>
      <c r="P836" s="269" t="n"/>
      <c r="Q836" s="269" t="n"/>
      <c r="R836" s="269" t="n"/>
      <c r="S836" s="269" t="n"/>
      <c r="T836" s="269" t="n"/>
      <c r="U836" s="269" t="n"/>
      <c r="V836" s="269" t="n"/>
      <c r="W836" s="270" t="n"/>
    </row>
    <row r="837" customFormat="1" s="163">
      <c r="A837" s="282" t="n"/>
      <c r="B837" s="277" t="n"/>
      <c r="C837" s="278" t="n"/>
      <c r="D837" s="269" t="n"/>
      <c r="E837" s="269" t="n"/>
      <c r="F837" s="269" t="n"/>
      <c r="G837" s="269" t="n"/>
      <c r="H837" s="269" t="n"/>
      <c r="I837" s="269" t="n"/>
      <c r="J837" s="269" t="n"/>
      <c r="K837" s="269" t="n"/>
      <c r="L837" s="269" t="n"/>
      <c r="M837" s="269" t="n"/>
      <c r="N837" s="269" t="n"/>
      <c r="O837" s="269" t="n"/>
      <c r="P837" s="269" t="n"/>
      <c r="Q837" s="269" t="n"/>
      <c r="R837" s="269" t="n"/>
      <c r="S837" s="269" t="n"/>
      <c r="T837" s="269" t="n"/>
      <c r="U837" s="269" t="n"/>
      <c r="V837" s="269" t="n"/>
      <c r="W837" s="270" t="n"/>
    </row>
    <row r="838" customFormat="1" s="163">
      <c r="A838" s="282" t="n"/>
      <c r="B838" s="277" t="n"/>
      <c r="C838" s="278" t="n"/>
      <c r="D838" s="269" t="n"/>
      <c r="E838" s="269" t="n"/>
      <c r="F838" s="269" t="n"/>
      <c r="G838" s="269" t="n"/>
      <c r="H838" s="269" t="n"/>
      <c r="I838" s="269" t="n"/>
      <c r="J838" s="269" t="n"/>
      <c r="K838" s="269" t="n"/>
      <c r="L838" s="269" t="n"/>
      <c r="M838" s="269" t="n"/>
      <c r="N838" s="269" t="n"/>
      <c r="O838" s="269" t="n"/>
      <c r="P838" s="269" t="n"/>
      <c r="Q838" s="269" t="n"/>
      <c r="R838" s="269" t="n"/>
      <c r="S838" s="269" t="n"/>
      <c r="T838" s="269" t="n"/>
      <c r="U838" s="269" t="n"/>
      <c r="V838" s="269" t="n"/>
      <c r="W838" s="270" t="n"/>
    </row>
    <row r="839" customFormat="1" s="163">
      <c r="A839" s="282" t="n"/>
      <c r="B839" s="277" t="n"/>
      <c r="C839" s="278" t="n"/>
      <c r="D839" s="269" t="n"/>
      <c r="E839" s="269" t="n"/>
      <c r="F839" s="269" t="n"/>
      <c r="G839" s="269" t="n"/>
      <c r="H839" s="269" t="n"/>
      <c r="I839" s="269" t="n"/>
      <c r="J839" s="269" t="n"/>
      <c r="K839" s="269" t="n"/>
      <c r="L839" s="269" t="n"/>
      <c r="M839" s="269" t="n"/>
      <c r="N839" s="269" t="n"/>
      <c r="O839" s="269" t="n"/>
      <c r="P839" s="269" t="n"/>
      <c r="Q839" s="269" t="n"/>
      <c r="R839" s="269" t="n"/>
      <c r="S839" s="269" t="n"/>
      <c r="T839" s="269" t="n"/>
      <c r="U839" s="269" t="n"/>
      <c r="V839" s="269" t="n"/>
      <c r="W839" s="270" t="n"/>
    </row>
    <row r="840" customFormat="1" s="163">
      <c r="A840" s="282" t="n"/>
      <c r="B840" s="277" t="n"/>
      <c r="C840" s="278" t="n"/>
      <c r="D840" s="269" t="n"/>
      <c r="E840" s="269" t="n"/>
      <c r="F840" s="269" t="n"/>
      <c r="G840" s="269" t="n"/>
      <c r="H840" s="269" t="n"/>
      <c r="I840" s="269" t="n"/>
      <c r="J840" s="269" t="n"/>
      <c r="K840" s="269" t="n"/>
      <c r="L840" s="269" t="n"/>
      <c r="M840" s="269" t="n"/>
      <c r="N840" s="269" t="n"/>
      <c r="O840" s="269" t="n"/>
      <c r="P840" s="269" t="n"/>
      <c r="Q840" s="269" t="n"/>
      <c r="R840" s="269" t="n"/>
      <c r="S840" s="269" t="n"/>
      <c r="T840" s="269" t="n"/>
      <c r="U840" s="269" t="n"/>
      <c r="V840" s="269" t="n"/>
      <c r="W840" s="270" t="n"/>
    </row>
    <row r="841" customFormat="1" s="163">
      <c r="A841" s="282" t="n"/>
      <c r="B841" s="277" t="n"/>
      <c r="C841" s="278" t="n"/>
      <c r="D841" s="269" t="n"/>
      <c r="E841" s="269" t="n"/>
      <c r="F841" s="269" t="n"/>
      <c r="G841" s="269" t="n"/>
      <c r="H841" s="269" t="n"/>
      <c r="I841" s="269" t="n"/>
      <c r="J841" s="269" t="n"/>
      <c r="K841" s="269" t="n"/>
      <c r="L841" s="269" t="n"/>
      <c r="M841" s="269" t="n"/>
      <c r="N841" s="269" t="n"/>
      <c r="O841" s="269" t="n"/>
      <c r="P841" s="269" t="n"/>
      <c r="Q841" s="269" t="n"/>
      <c r="R841" s="269" t="n"/>
      <c r="S841" s="269" t="n"/>
      <c r="T841" s="269" t="n"/>
      <c r="U841" s="269" t="n"/>
      <c r="V841" s="269" t="n"/>
      <c r="W841" s="270" t="n"/>
    </row>
    <row r="842" customFormat="1" s="163">
      <c r="A842" s="282" t="n"/>
      <c r="B842" s="277" t="n"/>
      <c r="C842" s="278" t="n"/>
      <c r="D842" s="269" t="n"/>
      <c r="E842" s="269" t="n"/>
      <c r="F842" s="269" t="n"/>
      <c r="G842" s="269" t="n"/>
      <c r="H842" s="269" t="n"/>
      <c r="I842" s="269" t="n"/>
      <c r="J842" s="269" t="n"/>
      <c r="K842" s="269" t="n"/>
      <c r="L842" s="269" t="n"/>
      <c r="M842" s="269" t="n"/>
      <c r="N842" s="269" t="n"/>
      <c r="O842" s="269" t="n"/>
      <c r="P842" s="269" t="n"/>
      <c r="Q842" s="269" t="n"/>
      <c r="R842" s="269" t="n"/>
      <c r="S842" s="269" t="n"/>
      <c r="T842" s="269" t="n"/>
      <c r="U842" s="269" t="n"/>
      <c r="V842" s="269" t="n"/>
      <c r="W842" s="270" t="n"/>
    </row>
    <row r="843" customFormat="1" s="163">
      <c r="A843" s="282" t="n"/>
      <c r="B843" s="277" t="n"/>
      <c r="C843" s="278" t="n"/>
      <c r="D843" s="269" t="n"/>
      <c r="E843" s="269" t="n"/>
      <c r="F843" s="269" t="n"/>
      <c r="G843" s="269" t="n"/>
      <c r="H843" s="269" t="n"/>
      <c r="I843" s="269" t="n"/>
      <c r="J843" s="269" t="n"/>
      <c r="K843" s="269" t="n"/>
      <c r="L843" s="269" t="n"/>
      <c r="M843" s="269" t="n"/>
      <c r="N843" s="269" t="n"/>
      <c r="O843" s="269" t="n"/>
      <c r="P843" s="269" t="n"/>
      <c r="Q843" s="269" t="n"/>
      <c r="R843" s="269" t="n"/>
      <c r="S843" s="269" t="n"/>
      <c r="T843" s="269" t="n"/>
      <c r="U843" s="269" t="n"/>
      <c r="V843" s="269" t="n"/>
      <c r="W843" s="270" t="n"/>
    </row>
    <row r="844" customFormat="1" s="163">
      <c r="A844" s="282" t="n"/>
      <c r="B844" s="277" t="n"/>
      <c r="C844" s="278" t="n"/>
      <c r="D844" s="269" t="n"/>
      <c r="E844" s="269" t="n"/>
      <c r="F844" s="269" t="n"/>
      <c r="G844" s="269" t="n"/>
      <c r="H844" s="269" t="n"/>
      <c r="I844" s="269" t="n"/>
      <c r="J844" s="269" t="n"/>
      <c r="K844" s="269" t="n"/>
      <c r="L844" s="269" t="n"/>
      <c r="M844" s="269" t="n"/>
      <c r="N844" s="269" t="n"/>
      <c r="O844" s="269" t="n"/>
      <c r="P844" s="269" t="n"/>
      <c r="Q844" s="269" t="n"/>
      <c r="R844" s="269" t="n"/>
      <c r="S844" s="269" t="n"/>
      <c r="T844" s="269" t="n"/>
      <c r="U844" s="269" t="n"/>
      <c r="V844" s="269" t="n"/>
      <c r="W844" s="270" t="n"/>
    </row>
    <row r="845" customFormat="1" s="163">
      <c r="A845" s="282" t="n"/>
      <c r="B845" s="277" t="n"/>
      <c r="C845" s="278" t="n"/>
      <c r="D845" s="269" t="n"/>
      <c r="E845" s="269" t="n"/>
      <c r="F845" s="269" t="n"/>
      <c r="G845" s="269" t="n"/>
      <c r="H845" s="269" t="n"/>
      <c r="I845" s="269" t="n"/>
      <c r="J845" s="269" t="n"/>
      <c r="K845" s="269" t="n"/>
      <c r="L845" s="269" t="n"/>
      <c r="M845" s="269" t="n"/>
      <c r="N845" s="269" t="n"/>
      <c r="O845" s="269" t="n"/>
      <c r="P845" s="269" t="n"/>
      <c r="Q845" s="269" t="n"/>
      <c r="R845" s="269" t="n"/>
      <c r="S845" s="269" t="n"/>
      <c r="T845" s="269" t="n"/>
      <c r="U845" s="269" t="n"/>
      <c r="V845" s="269" t="n"/>
      <c r="W845" s="270" t="n"/>
    </row>
    <row r="846" customFormat="1" s="163">
      <c r="A846" s="282" t="n"/>
      <c r="B846" s="277" t="n"/>
      <c r="C846" s="278" t="n"/>
      <c r="D846" s="269" t="n"/>
      <c r="E846" s="269" t="n"/>
      <c r="F846" s="269" t="n"/>
      <c r="G846" s="269" t="n"/>
      <c r="H846" s="269" t="n"/>
      <c r="I846" s="269" t="n"/>
      <c r="J846" s="269" t="n"/>
      <c r="K846" s="269" t="n"/>
      <c r="L846" s="269" t="n"/>
      <c r="M846" s="269" t="n"/>
      <c r="N846" s="269" t="n"/>
      <c r="O846" s="269" t="n"/>
      <c r="P846" s="269" t="n"/>
      <c r="Q846" s="269" t="n"/>
      <c r="R846" s="269" t="n"/>
      <c r="S846" s="269" t="n"/>
      <c r="T846" s="269" t="n"/>
      <c r="U846" s="269" t="n"/>
      <c r="V846" s="269" t="n"/>
      <c r="W846" s="270" t="n"/>
    </row>
    <row r="847" customFormat="1" s="163">
      <c r="A847" s="282" t="n"/>
      <c r="B847" s="277" t="n"/>
      <c r="C847" s="278" t="n"/>
      <c r="D847" s="269" t="n"/>
      <c r="E847" s="269" t="n"/>
      <c r="F847" s="269" t="n"/>
      <c r="G847" s="269" t="n"/>
      <c r="H847" s="269" t="n"/>
      <c r="I847" s="269" t="n"/>
      <c r="J847" s="269" t="n"/>
      <c r="K847" s="269" t="n"/>
      <c r="L847" s="269" t="n"/>
      <c r="M847" s="269" t="n"/>
      <c r="N847" s="269" t="n"/>
      <c r="O847" s="269" t="n"/>
      <c r="P847" s="269" t="n"/>
      <c r="Q847" s="269" t="n"/>
      <c r="R847" s="269" t="n"/>
      <c r="S847" s="269" t="n"/>
      <c r="T847" s="269" t="n"/>
      <c r="U847" s="269" t="n"/>
      <c r="V847" s="269" t="n"/>
      <c r="W847" s="270" t="n"/>
    </row>
    <row r="848" customFormat="1" s="163">
      <c r="A848" s="282" t="n"/>
      <c r="B848" s="277" t="n"/>
      <c r="C848" s="278" t="n"/>
      <c r="D848" s="269" t="n"/>
      <c r="E848" s="269" t="n"/>
      <c r="F848" s="269" t="n"/>
      <c r="G848" s="269" t="n"/>
      <c r="H848" s="269" t="n"/>
      <c r="I848" s="269" t="n"/>
      <c r="J848" s="269" t="n"/>
      <c r="K848" s="269" t="n"/>
      <c r="L848" s="269" t="n"/>
      <c r="M848" s="269" t="n"/>
      <c r="N848" s="269" t="n"/>
      <c r="O848" s="269" t="n"/>
      <c r="P848" s="269" t="n"/>
      <c r="Q848" s="269" t="n"/>
      <c r="R848" s="269" t="n"/>
      <c r="S848" s="269" t="n"/>
      <c r="T848" s="269" t="n"/>
      <c r="U848" s="269" t="n"/>
      <c r="V848" s="269" t="n"/>
      <c r="W848" s="270" t="n"/>
    </row>
    <row r="849" customFormat="1" s="163">
      <c r="A849" s="282" t="n"/>
      <c r="B849" s="277" t="n"/>
      <c r="C849" s="278" t="n"/>
      <c r="D849" s="269" t="n"/>
      <c r="E849" s="269" t="n"/>
      <c r="F849" s="269" t="n"/>
      <c r="G849" s="269" t="n"/>
      <c r="H849" s="269" t="n"/>
      <c r="I849" s="269" t="n"/>
      <c r="J849" s="269" t="n"/>
      <c r="K849" s="269" t="n"/>
      <c r="L849" s="269" t="n"/>
      <c r="M849" s="269" t="n"/>
      <c r="N849" s="269" t="n"/>
      <c r="O849" s="269" t="n"/>
      <c r="P849" s="269" t="n"/>
      <c r="Q849" s="269" t="n"/>
      <c r="R849" s="269" t="n"/>
      <c r="S849" s="269" t="n"/>
      <c r="T849" s="269" t="n"/>
      <c r="U849" s="269" t="n"/>
      <c r="V849" s="269" t="n"/>
      <c r="W849" s="270" t="n"/>
    </row>
    <row r="850" customFormat="1" s="163">
      <c r="A850" s="282" t="n"/>
      <c r="B850" s="277" t="n"/>
      <c r="C850" s="278" t="n"/>
      <c r="D850" s="269" t="n"/>
      <c r="E850" s="269" t="n"/>
      <c r="F850" s="269" t="n"/>
      <c r="G850" s="269" t="n"/>
      <c r="H850" s="269" t="n"/>
      <c r="I850" s="269" t="n"/>
      <c r="J850" s="269" t="n"/>
      <c r="K850" s="269" t="n"/>
      <c r="L850" s="269" t="n"/>
      <c r="M850" s="269" t="n"/>
      <c r="N850" s="269" t="n"/>
      <c r="O850" s="269" t="n"/>
      <c r="P850" s="269" t="n"/>
      <c r="Q850" s="269" t="n"/>
      <c r="R850" s="269" t="n"/>
      <c r="S850" s="269" t="n"/>
      <c r="T850" s="269" t="n"/>
      <c r="U850" s="269" t="n"/>
      <c r="V850" s="269" t="n"/>
      <c r="W850" s="270" t="n"/>
    </row>
    <row r="851" customFormat="1" s="163">
      <c r="A851" s="282" t="n"/>
      <c r="B851" s="277" t="n"/>
      <c r="C851" s="278" t="n"/>
      <c r="D851" s="269" t="n"/>
      <c r="E851" s="269" t="n"/>
      <c r="F851" s="269" t="n"/>
      <c r="G851" s="269" t="n"/>
      <c r="H851" s="269" t="n"/>
      <c r="I851" s="269" t="n"/>
      <c r="J851" s="269" t="n"/>
      <c r="K851" s="269" t="n"/>
      <c r="L851" s="269" t="n"/>
      <c r="M851" s="269" t="n"/>
      <c r="N851" s="269" t="n"/>
      <c r="O851" s="269" t="n"/>
      <c r="P851" s="269" t="n"/>
      <c r="Q851" s="269" t="n"/>
      <c r="R851" s="269" t="n"/>
      <c r="S851" s="269" t="n"/>
      <c r="T851" s="269" t="n"/>
      <c r="U851" s="269" t="n"/>
      <c r="V851" s="269" t="n"/>
      <c r="W851" s="270" t="n"/>
    </row>
    <row r="852" customFormat="1" s="163">
      <c r="A852" s="282" t="n"/>
      <c r="B852" s="277" t="n"/>
      <c r="C852" s="278" t="n"/>
      <c r="D852" s="269" t="n"/>
      <c r="E852" s="269" t="n"/>
      <c r="F852" s="269" t="n"/>
      <c r="G852" s="269" t="n"/>
      <c r="H852" s="269" t="n"/>
      <c r="I852" s="269" t="n"/>
      <c r="J852" s="269" t="n"/>
      <c r="K852" s="269" t="n"/>
      <c r="L852" s="269" t="n"/>
      <c r="M852" s="269" t="n"/>
      <c r="N852" s="269" t="n"/>
      <c r="O852" s="269" t="n"/>
      <c r="P852" s="269" t="n"/>
      <c r="Q852" s="269" t="n"/>
      <c r="R852" s="269" t="n"/>
      <c r="S852" s="269" t="n"/>
      <c r="T852" s="269" t="n"/>
      <c r="U852" s="269" t="n"/>
      <c r="V852" s="269" t="n"/>
      <c r="W852" s="270" t="n"/>
    </row>
    <row r="853" customFormat="1" s="163">
      <c r="A853" s="282" t="n"/>
      <c r="B853" s="277" t="n"/>
      <c r="C853" s="278" t="n"/>
      <c r="D853" s="269" t="n"/>
      <c r="E853" s="269" t="n"/>
      <c r="F853" s="269" t="n"/>
      <c r="G853" s="269" t="n"/>
      <c r="H853" s="269" t="n"/>
      <c r="I853" s="269" t="n"/>
      <c r="J853" s="269" t="n"/>
      <c r="K853" s="269" t="n"/>
      <c r="L853" s="269" t="n"/>
      <c r="M853" s="269" t="n"/>
      <c r="N853" s="269" t="n"/>
      <c r="O853" s="269" t="n"/>
      <c r="P853" s="269" t="n"/>
      <c r="Q853" s="269" t="n"/>
      <c r="R853" s="269" t="n"/>
      <c r="S853" s="269" t="n"/>
      <c r="T853" s="269" t="n"/>
      <c r="U853" s="269" t="n"/>
      <c r="V853" s="269" t="n"/>
      <c r="W853" s="270" t="n"/>
    </row>
    <row r="854" customFormat="1" s="163">
      <c r="A854" s="282" t="n"/>
      <c r="B854" s="277" t="n"/>
      <c r="C854" s="278" t="n"/>
      <c r="D854" s="269" t="n"/>
      <c r="E854" s="269" t="n"/>
      <c r="F854" s="269" t="n"/>
      <c r="G854" s="269" t="n"/>
      <c r="H854" s="269" t="n"/>
      <c r="I854" s="269" t="n"/>
      <c r="J854" s="269" t="n"/>
      <c r="K854" s="269" t="n"/>
      <c r="L854" s="269" t="n"/>
      <c r="M854" s="269" t="n"/>
      <c r="N854" s="269" t="n"/>
      <c r="O854" s="269" t="n"/>
      <c r="P854" s="269" t="n"/>
      <c r="Q854" s="269" t="n"/>
      <c r="R854" s="269" t="n"/>
      <c r="S854" s="269" t="n"/>
      <c r="T854" s="269" t="n"/>
      <c r="U854" s="269" t="n"/>
      <c r="V854" s="269" t="n"/>
      <c r="W854" s="270" t="n"/>
    </row>
    <row r="855" customFormat="1" s="163">
      <c r="A855" s="282" t="n"/>
      <c r="B855" s="277" t="n"/>
      <c r="C855" s="278" t="n"/>
      <c r="D855" s="269" t="n"/>
      <c r="E855" s="269" t="n"/>
      <c r="F855" s="269" t="n"/>
      <c r="G855" s="269" t="n"/>
      <c r="H855" s="269" t="n"/>
      <c r="I855" s="269" t="n"/>
      <c r="J855" s="269" t="n"/>
      <c r="K855" s="269" t="n"/>
      <c r="L855" s="269" t="n"/>
      <c r="M855" s="269" t="n"/>
      <c r="N855" s="269" t="n"/>
      <c r="O855" s="269" t="n"/>
      <c r="P855" s="269" t="n"/>
      <c r="Q855" s="269" t="n"/>
      <c r="R855" s="269" t="n"/>
      <c r="S855" s="269" t="n"/>
      <c r="T855" s="269" t="n"/>
      <c r="U855" s="269" t="n"/>
      <c r="V855" s="269" t="n"/>
      <c r="W855" s="270" t="n"/>
    </row>
    <row r="856" customFormat="1" s="163">
      <c r="A856" s="282" t="n"/>
      <c r="B856" s="277" t="n"/>
      <c r="C856" s="278" t="n"/>
      <c r="D856" s="269" t="n"/>
      <c r="E856" s="269" t="n"/>
      <c r="F856" s="269" t="n"/>
      <c r="G856" s="269" t="n"/>
      <c r="H856" s="269" t="n"/>
      <c r="I856" s="269" t="n"/>
      <c r="J856" s="269" t="n"/>
      <c r="K856" s="269" t="n"/>
      <c r="L856" s="269" t="n"/>
      <c r="M856" s="269" t="n"/>
      <c r="N856" s="269" t="n"/>
      <c r="O856" s="269" t="n"/>
      <c r="P856" s="269" t="n"/>
      <c r="Q856" s="269" t="n"/>
      <c r="R856" s="269" t="n"/>
      <c r="S856" s="269" t="n"/>
      <c r="T856" s="269" t="n"/>
      <c r="U856" s="269" t="n"/>
      <c r="V856" s="269" t="n"/>
      <c r="W856" s="270" t="n"/>
    </row>
    <row r="857" customFormat="1" s="163">
      <c r="A857" s="282" t="n"/>
      <c r="B857" s="277" t="n"/>
      <c r="C857" s="278" t="n"/>
      <c r="D857" s="269" t="n"/>
      <c r="E857" s="269" t="n"/>
      <c r="F857" s="269" t="n"/>
      <c r="G857" s="269" t="n"/>
      <c r="H857" s="269" t="n"/>
      <c r="I857" s="269" t="n"/>
      <c r="J857" s="269" t="n"/>
      <c r="K857" s="269" t="n"/>
      <c r="L857" s="269" t="n"/>
      <c r="M857" s="269" t="n"/>
      <c r="N857" s="269" t="n"/>
      <c r="O857" s="269" t="n"/>
      <c r="P857" s="269" t="n"/>
      <c r="Q857" s="269" t="n"/>
      <c r="R857" s="269" t="n"/>
      <c r="S857" s="269" t="n"/>
      <c r="T857" s="269" t="n"/>
      <c r="U857" s="269" t="n"/>
      <c r="V857" s="269" t="n"/>
      <c r="W857" s="270" t="n"/>
    </row>
    <row r="858" customFormat="1" s="163">
      <c r="A858" s="282" t="n"/>
      <c r="B858" s="277" t="n"/>
      <c r="C858" s="278" t="n"/>
      <c r="D858" s="269" t="n"/>
      <c r="E858" s="269" t="n"/>
      <c r="F858" s="269" t="n"/>
      <c r="G858" s="269" t="n"/>
      <c r="H858" s="269" t="n"/>
      <c r="I858" s="269" t="n"/>
      <c r="J858" s="269" t="n"/>
      <c r="K858" s="269" t="n"/>
      <c r="L858" s="269" t="n"/>
      <c r="M858" s="269" t="n"/>
      <c r="N858" s="269" t="n"/>
      <c r="O858" s="269" t="n"/>
      <c r="P858" s="269" t="n"/>
      <c r="Q858" s="269" t="n"/>
      <c r="R858" s="269" t="n"/>
      <c r="S858" s="269" t="n"/>
      <c r="T858" s="269" t="n"/>
      <c r="U858" s="269" t="n"/>
      <c r="V858" s="269" t="n"/>
      <c r="W858" s="270" t="n"/>
    </row>
    <row r="859" customFormat="1" s="163">
      <c r="A859" s="282" t="n"/>
      <c r="B859" s="277" t="n"/>
      <c r="C859" s="278" t="n"/>
      <c r="D859" s="269" t="n"/>
      <c r="E859" s="269" t="n"/>
      <c r="F859" s="269" t="n"/>
      <c r="G859" s="269" t="n"/>
      <c r="H859" s="269" t="n"/>
      <c r="I859" s="269" t="n"/>
      <c r="J859" s="269" t="n"/>
      <c r="K859" s="269" t="n"/>
      <c r="L859" s="269" t="n"/>
      <c r="M859" s="269" t="n"/>
      <c r="N859" s="269" t="n"/>
      <c r="O859" s="269" t="n"/>
      <c r="P859" s="269" t="n"/>
      <c r="Q859" s="269" t="n"/>
      <c r="R859" s="269" t="n"/>
      <c r="S859" s="269" t="n"/>
      <c r="T859" s="269" t="n"/>
      <c r="U859" s="269" t="n"/>
      <c r="V859" s="269" t="n"/>
      <c r="W859" s="270" t="n"/>
    </row>
    <row r="860" customFormat="1" s="163">
      <c r="A860" s="282" t="n"/>
      <c r="B860" s="277" t="n"/>
      <c r="C860" s="278" t="n"/>
      <c r="D860" s="269" t="n"/>
      <c r="E860" s="269" t="n"/>
      <c r="F860" s="269" t="n"/>
      <c r="G860" s="269" t="n"/>
      <c r="H860" s="269" t="n"/>
      <c r="I860" s="269" t="n"/>
      <c r="J860" s="269" t="n"/>
      <c r="K860" s="269" t="n"/>
      <c r="L860" s="269" t="n"/>
      <c r="M860" s="269" t="n"/>
      <c r="N860" s="269" t="n"/>
      <c r="O860" s="269" t="n"/>
      <c r="P860" s="269" t="n"/>
      <c r="Q860" s="269" t="n"/>
      <c r="R860" s="269" t="n"/>
      <c r="S860" s="269" t="n"/>
      <c r="T860" s="269" t="n"/>
      <c r="U860" s="269" t="n"/>
      <c r="V860" s="269" t="n"/>
      <c r="W860" s="270" t="n"/>
    </row>
    <row r="861" customFormat="1" s="163">
      <c r="A861" s="282" t="n"/>
      <c r="B861" s="277" t="n"/>
      <c r="C861" s="278" t="n"/>
      <c r="D861" s="269" t="n"/>
      <c r="E861" s="269" t="n"/>
      <c r="F861" s="269" t="n"/>
      <c r="G861" s="269" t="n"/>
      <c r="H861" s="269" t="n"/>
      <c r="I861" s="269" t="n"/>
      <c r="J861" s="269" t="n"/>
      <c r="K861" s="269" t="n"/>
      <c r="L861" s="269" t="n"/>
      <c r="M861" s="269" t="n"/>
      <c r="N861" s="269" t="n"/>
      <c r="O861" s="269" t="n"/>
      <c r="P861" s="269" t="n"/>
      <c r="Q861" s="269" t="n"/>
      <c r="R861" s="269" t="n"/>
      <c r="S861" s="269" t="n"/>
      <c r="T861" s="269" t="n"/>
      <c r="U861" s="269" t="n"/>
      <c r="V861" s="269" t="n"/>
      <c r="W861" s="270" t="n"/>
    </row>
    <row r="862" customFormat="1" s="163">
      <c r="A862" s="282" t="n"/>
      <c r="B862" s="277" t="n"/>
      <c r="C862" s="278" t="n"/>
      <c r="D862" s="269" t="n"/>
      <c r="E862" s="269" t="n"/>
      <c r="F862" s="269" t="n"/>
      <c r="G862" s="269" t="n"/>
      <c r="H862" s="269" t="n"/>
      <c r="I862" s="269" t="n"/>
      <c r="J862" s="269" t="n"/>
      <c r="K862" s="269" t="n"/>
      <c r="L862" s="269" t="n"/>
      <c r="M862" s="269" t="n"/>
      <c r="N862" s="269" t="n"/>
      <c r="O862" s="269" t="n"/>
      <c r="P862" s="269" t="n"/>
      <c r="Q862" s="269" t="n"/>
      <c r="R862" s="269" t="n"/>
      <c r="S862" s="269" t="n"/>
      <c r="T862" s="269" t="n"/>
      <c r="U862" s="269" t="n"/>
      <c r="V862" s="269" t="n"/>
      <c r="W862" s="270" t="n"/>
    </row>
    <row r="863" customFormat="1" s="163">
      <c r="A863" s="282" t="n"/>
      <c r="B863" s="277" t="n"/>
      <c r="C863" s="278" t="n"/>
      <c r="D863" s="269" t="n"/>
      <c r="E863" s="269" t="n"/>
      <c r="F863" s="269" t="n"/>
      <c r="G863" s="269" t="n"/>
      <c r="H863" s="269" t="n"/>
      <c r="I863" s="269" t="n"/>
      <c r="J863" s="269" t="n"/>
      <c r="K863" s="269" t="n"/>
      <c r="L863" s="269" t="n"/>
      <c r="M863" s="269" t="n"/>
      <c r="N863" s="269" t="n"/>
      <c r="O863" s="269" t="n"/>
      <c r="P863" s="269" t="n"/>
      <c r="Q863" s="269" t="n"/>
      <c r="R863" s="269" t="n"/>
      <c r="S863" s="269" t="n"/>
      <c r="T863" s="269" t="n"/>
      <c r="U863" s="269" t="n"/>
      <c r="V863" s="269" t="n"/>
      <c r="W863" s="270" t="n"/>
    </row>
    <row r="864" customFormat="1" s="163">
      <c r="A864" s="282" t="n"/>
      <c r="B864" s="277" t="n"/>
      <c r="C864" s="278" t="n"/>
      <c r="D864" s="269" t="n"/>
      <c r="E864" s="269" t="n"/>
      <c r="F864" s="269" t="n"/>
      <c r="G864" s="269" t="n"/>
      <c r="H864" s="269" t="n"/>
      <c r="I864" s="269" t="n"/>
      <c r="J864" s="269" t="n"/>
      <c r="K864" s="269" t="n"/>
      <c r="L864" s="269" t="n"/>
      <c r="M864" s="269" t="n"/>
      <c r="N864" s="269" t="n"/>
      <c r="O864" s="269" t="n"/>
      <c r="P864" s="269" t="n"/>
      <c r="Q864" s="269" t="n"/>
      <c r="R864" s="269" t="n"/>
      <c r="S864" s="269" t="n"/>
      <c r="T864" s="269" t="n"/>
      <c r="U864" s="269" t="n"/>
      <c r="V864" s="269" t="n"/>
      <c r="W864" s="270" t="n"/>
    </row>
    <row r="865" customFormat="1" s="163">
      <c r="A865" s="282" t="n"/>
      <c r="B865" s="277" t="n"/>
      <c r="C865" s="278" t="n"/>
      <c r="D865" s="269" t="n"/>
      <c r="E865" s="269" t="n"/>
      <c r="F865" s="269" t="n"/>
      <c r="G865" s="269" t="n"/>
      <c r="H865" s="269" t="n"/>
      <c r="I865" s="269" t="n"/>
      <c r="J865" s="269" t="n"/>
      <c r="K865" s="269" t="n"/>
      <c r="L865" s="269" t="n"/>
      <c r="M865" s="269" t="n"/>
      <c r="N865" s="269" t="n"/>
      <c r="O865" s="269" t="n"/>
      <c r="P865" s="269" t="n"/>
      <c r="Q865" s="269" t="n"/>
      <c r="R865" s="269" t="n"/>
      <c r="S865" s="269" t="n"/>
      <c r="T865" s="269" t="n"/>
      <c r="U865" s="269" t="n"/>
      <c r="V865" s="269" t="n"/>
      <c r="W865" s="270" t="n"/>
    </row>
    <row r="866" customFormat="1" s="163">
      <c r="A866" s="282" t="n"/>
      <c r="B866" s="277" t="n"/>
      <c r="C866" s="278" t="n"/>
      <c r="D866" s="269" t="n"/>
      <c r="E866" s="269" t="n"/>
      <c r="F866" s="269" t="n"/>
      <c r="G866" s="269" t="n"/>
      <c r="H866" s="269" t="n"/>
      <c r="I866" s="269" t="n"/>
      <c r="J866" s="269" t="n"/>
      <c r="K866" s="269" t="n"/>
      <c r="L866" s="269" t="n"/>
      <c r="M866" s="269" t="n"/>
      <c r="N866" s="269" t="n"/>
      <c r="O866" s="269" t="n"/>
      <c r="P866" s="269" t="n"/>
      <c r="Q866" s="269" t="n"/>
      <c r="R866" s="269" t="n"/>
      <c r="S866" s="269" t="n"/>
      <c r="T866" s="269" t="n"/>
      <c r="U866" s="269" t="n"/>
      <c r="V866" s="269" t="n"/>
      <c r="W866" s="270" t="n"/>
    </row>
    <row r="867" customFormat="1" s="163">
      <c r="A867" s="282" t="n"/>
      <c r="B867" s="277" t="n"/>
      <c r="C867" s="278" t="n"/>
      <c r="D867" s="269" t="n"/>
      <c r="E867" s="269" t="n"/>
      <c r="F867" s="269" t="n"/>
      <c r="G867" s="269" t="n"/>
      <c r="H867" s="269" t="n"/>
      <c r="I867" s="269" t="n"/>
      <c r="J867" s="269" t="n"/>
      <c r="K867" s="269" t="n"/>
      <c r="L867" s="269" t="n"/>
      <c r="M867" s="269" t="n"/>
      <c r="N867" s="269" t="n"/>
      <c r="O867" s="269" t="n"/>
      <c r="P867" s="269" t="n"/>
      <c r="Q867" s="269" t="n"/>
      <c r="R867" s="269" t="n"/>
      <c r="S867" s="269" t="n"/>
      <c r="T867" s="269" t="n"/>
      <c r="U867" s="269" t="n"/>
      <c r="V867" s="269" t="n"/>
      <c r="W867" s="270" t="n"/>
    </row>
    <row r="868" customFormat="1" s="163">
      <c r="A868" s="282" t="n"/>
      <c r="B868" s="277" t="n"/>
      <c r="C868" s="278" t="n"/>
      <c r="D868" s="269" t="n"/>
      <c r="E868" s="269" t="n"/>
      <c r="F868" s="269" t="n"/>
      <c r="G868" s="269" t="n"/>
      <c r="H868" s="269" t="n"/>
      <c r="I868" s="269" t="n"/>
      <c r="J868" s="269" t="n"/>
      <c r="K868" s="269" t="n"/>
      <c r="L868" s="269" t="n"/>
      <c r="M868" s="269" t="n"/>
      <c r="N868" s="269" t="n"/>
      <c r="O868" s="269" t="n"/>
      <c r="P868" s="269" t="n"/>
      <c r="Q868" s="269" t="n"/>
      <c r="R868" s="269" t="n"/>
      <c r="S868" s="269" t="n"/>
      <c r="T868" s="269" t="n"/>
      <c r="U868" s="269" t="n"/>
      <c r="V868" s="269" t="n"/>
      <c r="W868" s="270" t="n"/>
    </row>
    <row r="869" customFormat="1" s="163">
      <c r="A869" s="282" t="n"/>
      <c r="B869" s="277" t="n"/>
      <c r="C869" s="278" t="n"/>
      <c r="D869" s="269" t="n"/>
      <c r="E869" s="269" t="n"/>
      <c r="F869" s="269" t="n"/>
      <c r="G869" s="269" t="n"/>
      <c r="H869" s="269" t="n"/>
      <c r="I869" s="269" t="n"/>
      <c r="J869" s="269" t="n"/>
      <c r="K869" s="269" t="n"/>
      <c r="L869" s="269" t="n"/>
      <c r="M869" s="269" t="n"/>
      <c r="N869" s="269" t="n"/>
      <c r="O869" s="269" t="n"/>
      <c r="P869" s="269" t="n"/>
      <c r="Q869" s="269" t="n"/>
      <c r="R869" s="269" t="n"/>
      <c r="S869" s="269" t="n"/>
      <c r="T869" s="269" t="n"/>
      <c r="U869" s="269" t="n"/>
      <c r="V869" s="269" t="n"/>
      <c r="W869" s="270" t="n"/>
    </row>
    <row r="870" customFormat="1" s="163">
      <c r="A870" s="282" t="n"/>
      <c r="B870" s="277" t="n"/>
      <c r="C870" s="278" t="n"/>
      <c r="D870" s="269" t="n"/>
      <c r="E870" s="269" t="n"/>
      <c r="F870" s="269" t="n"/>
      <c r="G870" s="269" t="n"/>
      <c r="H870" s="269" t="n"/>
      <c r="I870" s="269" t="n"/>
      <c r="J870" s="269" t="n"/>
      <c r="K870" s="269" t="n"/>
      <c r="L870" s="269" t="n"/>
      <c r="M870" s="269" t="n"/>
      <c r="N870" s="269" t="n"/>
      <c r="O870" s="269" t="n"/>
      <c r="P870" s="269" t="n"/>
      <c r="Q870" s="269" t="n"/>
      <c r="R870" s="269" t="n"/>
      <c r="S870" s="269" t="n"/>
      <c r="T870" s="269" t="n"/>
      <c r="U870" s="269" t="n"/>
      <c r="V870" s="269" t="n"/>
      <c r="W870" s="270" t="n"/>
    </row>
    <row r="871" customFormat="1" s="163">
      <c r="A871" s="282" t="n"/>
      <c r="B871" s="277" t="n"/>
      <c r="C871" s="278" t="n"/>
      <c r="D871" s="269" t="n"/>
      <c r="E871" s="269" t="n"/>
      <c r="F871" s="269" t="n"/>
      <c r="G871" s="269" t="n"/>
      <c r="H871" s="269" t="n"/>
      <c r="I871" s="269" t="n"/>
      <c r="J871" s="269" t="n"/>
      <c r="K871" s="269" t="n"/>
      <c r="L871" s="269" t="n"/>
      <c r="M871" s="269" t="n"/>
      <c r="N871" s="269" t="n"/>
      <c r="O871" s="269" t="n"/>
      <c r="P871" s="269" t="n"/>
      <c r="Q871" s="269" t="n"/>
      <c r="R871" s="269" t="n"/>
      <c r="S871" s="269" t="n"/>
      <c r="T871" s="269" t="n"/>
      <c r="U871" s="269" t="n"/>
      <c r="V871" s="269" t="n"/>
      <c r="W871" s="270" t="n"/>
    </row>
    <row r="872" customFormat="1" s="163">
      <c r="A872" s="282" t="n"/>
      <c r="B872" s="277" t="n"/>
      <c r="C872" s="278" t="n"/>
      <c r="D872" s="269" t="n"/>
      <c r="E872" s="269" t="n"/>
      <c r="F872" s="269" t="n"/>
      <c r="G872" s="269" t="n"/>
      <c r="H872" s="269" t="n"/>
      <c r="I872" s="269" t="n"/>
      <c r="J872" s="269" t="n"/>
      <c r="K872" s="269" t="n"/>
      <c r="L872" s="269" t="n"/>
      <c r="M872" s="269" t="n"/>
      <c r="N872" s="269" t="n"/>
      <c r="O872" s="269" t="n"/>
      <c r="P872" s="269" t="n"/>
      <c r="Q872" s="269" t="n"/>
      <c r="R872" s="269" t="n"/>
      <c r="S872" s="269" t="n"/>
      <c r="T872" s="269" t="n"/>
      <c r="U872" s="269" t="n"/>
      <c r="V872" s="269" t="n"/>
      <c r="W872" s="270" t="n"/>
    </row>
    <row r="873" customFormat="1" s="163">
      <c r="A873" s="282" t="n"/>
      <c r="B873" s="277" t="n"/>
      <c r="C873" s="278" t="n"/>
      <c r="D873" s="269" t="n"/>
      <c r="E873" s="269" t="n"/>
      <c r="F873" s="269" t="n"/>
      <c r="G873" s="269" t="n"/>
      <c r="H873" s="269" t="n"/>
      <c r="I873" s="269" t="n"/>
      <c r="J873" s="269" t="n"/>
      <c r="K873" s="269" t="n"/>
      <c r="L873" s="269" t="n"/>
      <c r="M873" s="269" t="n"/>
      <c r="N873" s="269" t="n"/>
      <c r="O873" s="269" t="n"/>
      <c r="P873" s="269" t="n"/>
      <c r="Q873" s="269" t="n"/>
      <c r="R873" s="269" t="n"/>
      <c r="S873" s="269" t="n"/>
      <c r="T873" s="269" t="n"/>
      <c r="U873" s="269" t="n"/>
      <c r="V873" s="269" t="n"/>
      <c r="W873" s="270" t="n"/>
    </row>
    <row r="874" customFormat="1" s="163">
      <c r="A874" s="282" t="n"/>
      <c r="B874" s="277" t="n"/>
      <c r="C874" s="278" t="n"/>
      <c r="D874" s="269" t="n"/>
      <c r="E874" s="269" t="n"/>
      <c r="F874" s="269" t="n"/>
      <c r="G874" s="269" t="n"/>
      <c r="H874" s="269" t="n"/>
      <c r="I874" s="269" t="n"/>
      <c r="J874" s="269" t="n"/>
      <c r="K874" s="269" t="n"/>
      <c r="L874" s="269" t="n"/>
      <c r="M874" s="269" t="n"/>
      <c r="N874" s="269" t="n"/>
      <c r="O874" s="269" t="n"/>
      <c r="P874" s="269" t="n"/>
      <c r="Q874" s="269" t="n"/>
      <c r="R874" s="269" t="n"/>
      <c r="S874" s="269" t="n"/>
      <c r="T874" s="269" t="n"/>
      <c r="U874" s="269" t="n"/>
      <c r="V874" s="269" t="n"/>
      <c r="W874" s="270" t="n"/>
    </row>
    <row r="875" customFormat="1" s="163">
      <c r="A875" s="282" t="n"/>
      <c r="B875" s="277" t="n"/>
      <c r="C875" s="278" t="n"/>
      <c r="D875" s="269" t="n"/>
      <c r="E875" s="269" t="n"/>
      <c r="F875" s="269" t="n"/>
      <c r="G875" s="269" t="n"/>
      <c r="H875" s="269" t="n"/>
      <c r="I875" s="269" t="n"/>
      <c r="J875" s="269" t="n"/>
      <c r="K875" s="269" t="n"/>
      <c r="L875" s="269" t="n"/>
      <c r="M875" s="269" t="n"/>
      <c r="N875" s="269" t="n"/>
      <c r="O875" s="269" t="n"/>
      <c r="P875" s="269" t="n"/>
      <c r="Q875" s="269" t="n"/>
      <c r="R875" s="269" t="n"/>
      <c r="S875" s="269" t="n"/>
      <c r="T875" s="269" t="n"/>
      <c r="U875" s="269" t="n"/>
      <c r="V875" s="269" t="n"/>
      <c r="W875" s="270" t="n"/>
    </row>
    <row r="876" customFormat="1" s="163">
      <c r="A876" s="282" t="n"/>
      <c r="B876" s="277" t="n"/>
      <c r="C876" s="278" t="n"/>
      <c r="D876" s="269" t="n"/>
      <c r="E876" s="269" t="n"/>
      <c r="F876" s="269" t="n"/>
      <c r="G876" s="269" t="n"/>
      <c r="H876" s="269" t="n"/>
      <c r="I876" s="269" t="n"/>
      <c r="J876" s="269" t="n"/>
      <c r="K876" s="269" t="n"/>
      <c r="L876" s="269" t="n"/>
      <c r="M876" s="269" t="n"/>
      <c r="N876" s="269" t="n"/>
      <c r="O876" s="269" t="n"/>
      <c r="P876" s="269" t="n"/>
      <c r="Q876" s="269" t="n"/>
      <c r="R876" s="269" t="n"/>
      <c r="S876" s="269" t="n"/>
      <c r="T876" s="269" t="n"/>
      <c r="U876" s="269" t="n"/>
      <c r="V876" s="269" t="n"/>
      <c r="W876" s="270" t="n"/>
    </row>
    <row r="877" customFormat="1" s="163">
      <c r="A877" s="282" t="n"/>
      <c r="B877" s="277" t="n"/>
      <c r="C877" s="278" t="n"/>
      <c r="D877" s="269" t="n"/>
      <c r="E877" s="269" t="n"/>
      <c r="F877" s="269" t="n"/>
      <c r="G877" s="269" t="n"/>
      <c r="H877" s="269" t="n"/>
      <c r="I877" s="269" t="n"/>
      <c r="J877" s="269" t="n"/>
      <c r="K877" s="269" t="n"/>
      <c r="L877" s="269" t="n"/>
      <c r="M877" s="269" t="n"/>
      <c r="N877" s="269" t="n"/>
      <c r="O877" s="269" t="n"/>
      <c r="P877" s="269" t="n"/>
      <c r="Q877" s="269" t="n"/>
      <c r="R877" s="269" t="n"/>
      <c r="S877" s="269" t="n"/>
      <c r="T877" s="269" t="n"/>
      <c r="U877" s="269" t="n"/>
      <c r="V877" s="269" t="n"/>
      <c r="W877" s="270" t="n"/>
    </row>
    <row r="878" customFormat="1" s="163">
      <c r="A878" s="282" t="n"/>
      <c r="B878" s="277" t="n"/>
      <c r="C878" s="278" t="n"/>
      <c r="D878" s="269" t="n"/>
      <c r="E878" s="269" t="n"/>
      <c r="F878" s="269" t="n"/>
      <c r="G878" s="269" t="n"/>
      <c r="H878" s="269" t="n"/>
      <c r="I878" s="269" t="n"/>
      <c r="J878" s="269" t="n"/>
      <c r="K878" s="269" t="n"/>
      <c r="L878" s="269" t="n"/>
      <c r="M878" s="269" t="n"/>
      <c r="N878" s="269" t="n"/>
      <c r="O878" s="269" t="n"/>
      <c r="P878" s="269" t="n"/>
      <c r="Q878" s="269" t="n"/>
      <c r="R878" s="269" t="n"/>
      <c r="S878" s="269" t="n"/>
      <c r="T878" s="269" t="n"/>
      <c r="U878" s="269" t="n"/>
      <c r="V878" s="269" t="n"/>
      <c r="W878" s="270" t="n"/>
    </row>
    <row r="879" customFormat="1" s="163">
      <c r="A879" s="282" t="n"/>
      <c r="B879" s="277" t="n"/>
      <c r="C879" s="278" t="n"/>
      <c r="D879" s="269" t="n"/>
      <c r="E879" s="269" t="n"/>
      <c r="F879" s="269" t="n"/>
      <c r="G879" s="269" t="n"/>
      <c r="H879" s="269" t="n"/>
      <c r="I879" s="269" t="n"/>
      <c r="J879" s="269" t="n"/>
      <c r="K879" s="269" t="n"/>
      <c r="L879" s="269" t="n"/>
      <c r="M879" s="269" t="n"/>
      <c r="N879" s="269" t="n"/>
      <c r="O879" s="269" t="n"/>
      <c r="P879" s="269" t="n"/>
      <c r="Q879" s="269" t="n"/>
      <c r="R879" s="269" t="n"/>
      <c r="S879" s="269" t="n"/>
      <c r="T879" s="269" t="n"/>
      <c r="U879" s="269" t="n"/>
      <c r="V879" s="269" t="n"/>
      <c r="W879" s="270" t="n"/>
    </row>
    <row r="880" customFormat="1" s="163">
      <c r="A880" s="282" t="n"/>
      <c r="B880" s="277" t="n"/>
      <c r="C880" s="278" t="n"/>
      <c r="D880" s="269" t="n"/>
      <c r="E880" s="269" t="n"/>
      <c r="F880" s="269" t="n"/>
      <c r="G880" s="269" t="n"/>
      <c r="H880" s="269" t="n"/>
      <c r="I880" s="269" t="n"/>
      <c r="J880" s="269" t="n"/>
      <c r="K880" s="269" t="n"/>
      <c r="L880" s="269" t="n"/>
      <c r="M880" s="269" t="n"/>
      <c r="N880" s="269" t="n"/>
      <c r="O880" s="269" t="n"/>
      <c r="P880" s="269" t="n"/>
      <c r="Q880" s="269" t="n"/>
      <c r="R880" s="269" t="n"/>
      <c r="S880" s="269" t="n"/>
      <c r="T880" s="269" t="n"/>
      <c r="U880" s="269" t="n"/>
      <c r="V880" s="269" t="n"/>
      <c r="W880" s="270" t="n"/>
    </row>
    <row r="881" customFormat="1" s="163">
      <c r="A881" s="282" t="n"/>
      <c r="B881" s="277" t="n"/>
      <c r="C881" s="278" t="n"/>
      <c r="D881" s="269" t="n"/>
      <c r="E881" s="269" t="n"/>
      <c r="F881" s="269" t="n"/>
      <c r="G881" s="269" t="n"/>
      <c r="H881" s="269" t="n"/>
      <c r="I881" s="269" t="n"/>
      <c r="J881" s="269" t="n"/>
      <c r="K881" s="269" t="n"/>
      <c r="L881" s="269" t="n"/>
      <c r="M881" s="269" t="n"/>
      <c r="N881" s="269" t="n"/>
      <c r="O881" s="269" t="n"/>
      <c r="P881" s="269" t="n"/>
      <c r="Q881" s="269" t="n"/>
      <c r="R881" s="269" t="n"/>
      <c r="S881" s="269" t="n"/>
      <c r="T881" s="269" t="n"/>
      <c r="U881" s="269" t="n"/>
      <c r="V881" s="269" t="n"/>
      <c r="W881" s="270" t="n"/>
    </row>
    <row r="882" customFormat="1" s="163">
      <c r="A882" s="282" t="n"/>
      <c r="B882" s="277" t="n"/>
      <c r="C882" s="278" t="n"/>
      <c r="D882" s="269" t="n"/>
      <c r="E882" s="269" t="n"/>
      <c r="F882" s="269" t="n"/>
      <c r="G882" s="269" t="n"/>
      <c r="H882" s="269" t="n"/>
      <c r="I882" s="269" t="n"/>
      <c r="J882" s="269" t="n"/>
      <c r="K882" s="269" t="n"/>
      <c r="L882" s="269" t="n"/>
      <c r="M882" s="269" t="n"/>
      <c r="N882" s="269" t="n"/>
      <c r="O882" s="269" t="n"/>
      <c r="P882" s="269" t="n"/>
      <c r="Q882" s="269" t="n"/>
      <c r="R882" s="269" t="n"/>
      <c r="S882" s="269" t="n"/>
      <c r="T882" s="269" t="n"/>
      <c r="U882" s="269" t="n"/>
      <c r="V882" s="269" t="n"/>
      <c r="W882" s="270" t="n"/>
    </row>
    <row r="883" customFormat="1" s="163">
      <c r="A883" s="282" t="n"/>
      <c r="B883" s="277" t="n"/>
      <c r="C883" s="278" t="n"/>
      <c r="D883" s="269" t="n"/>
      <c r="E883" s="269" t="n"/>
      <c r="F883" s="269" t="n"/>
      <c r="G883" s="269" t="n"/>
      <c r="H883" s="269" t="n"/>
      <c r="I883" s="269" t="n"/>
      <c r="J883" s="269" t="n"/>
      <c r="K883" s="269" t="n"/>
      <c r="L883" s="269" t="n"/>
      <c r="M883" s="269" t="n"/>
      <c r="N883" s="269" t="n"/>
      <c r="O883" s="269" t="n"/>
      <c r="P883" s="269" t="n"/>
      <c r="Q883" s="269" t="n"/>
      <c r="R883" s="269" t="n"/>
      <c r="S883" s="269" t="n"/>
      <c r="T883" s="269" t="n"/>
      <c r="U883" s="269" t="n"/>
      <c r="V883" s="269" t="n"/>
      <c r="W883" s="270" t="n"/>
    </row>
    <row r="884" customFormat="1" s="163">
      <c r="A884" s="282" t="n"/>
      <c r="B884" s="277" t="n"/>
      <c r="C884" s="278" t="n"/>
      <c r="D884" s="269" t="n"/>
      <c r="E884" s="269" t="n"/>
      <c r="F884" s="269" t="n"/>
      <c r="G884" s="269" t="n"/>
      <c r="H884" s="269" t="n"/>
      <c r="I884" s="269" t="n"/>
      <c r="J884" s="269" t="n"/>
      <c r="K884" s="269" t="n"/>
      <c r="L884" s="269" t="n"/>
      <c r="M884" s="269" t="n"/>
      <c r="N884" s="269" t="n"/>
      <c r="O884" s="269" t="n"/>
      <c r="P884" s="269" t="n"/>
      <c r="Q884" s="269" t="n"/>
      <c r="R884" s="269" t="n"/>
      <c r="S884" s="269" t="n"/>
      <c r="T884" s="269" t="n"/>
      <c r="U884" s="269" t="n"/>
      <c r="V884" s="269" t="n"/>
      <c r="W884" s="270" t="n"/>
    </row>
    <row r="885" customFormat="1" s="163">
      <c r="A885" s="282" t="n"/>
      <c r="B885" s="277" t="n"/>
      <c r="C885" s="278" t="n"/>
      <c r="D885" s="269" t="n"/>
      <c r="E885" s="269" t="n"/>
      <c r="F885" s="269" t="n"/>
      <c r="G885" s="269" t="n"/>
      <c r="H885" s="269" t="n"/>
      <c r="I885" s="269" t="n"/>
      <c r="J885" s="269" t="n"/>
      <c r="K885" s="269" t="n"/>
      <c r="L885" s="269" t="n"/>
      <c r="M885" s="269" t="n"/>
      <c r="N885" s="269" t="n"/>
      <c r="O885" s="269" t="n"/>
      <c r="P885" s="269" t="n"/>
      <c r="Q885" s="269" t="n"/>
      <c r="R885" s="269" t="n"/>
      <c r="S885" s="269" t="n"/>
      <c r="T885" s="269" t="n"/>
      <c r="U885" s="269" t="n"/>
      <c r="V885" s="269" t="n"/>
      <c r="W885" s="270" t="n"/>
    </row>
    <row r="886" customFormat="1" s="163">
      <c r="A886" s="282" t="n"/>
      <c r="B886" s="277" t="n"/>
      <c r="C886" s="278" t="n"/>
      <c r="D886" s="269" t="n"/>
      <c r="E886" s="269" t="n"/>
      <c r="F886" s="269" t="n"/>
      <c r="G886" s="269" t="n"/>
      <c r="H886" s="269" t="n"/>
      <c r="I886" s="269" t="n"/>
      <c r="J886" s="269" t="n"/>
      <c r="K886" s="269" t="n"/>
      <c r="L886" s="269" t="n"/>
      <c r="M886" s="269" t="n"/>
      <c r="N886" s="269" t="n"/>
      <c r="O886" s="269" t="n"/>
      <c r="P886" s="269" t="n"/>
      <c r="Q886" s="269" t="n"/>
      <c r="R886" s="269" t="n"/>
      <c r="S886" s="269" t="n"/>
      <c r="T886" s="269" t="n"/>
      <c r="U886" s="269" t="n"/>
      <c r="V886" s="269" t="n"/>
      <c r="W886" s="270" t="n"/>
    </row>
    <row r="887" customFormat="1" s="163">
      <c r="A887" s="282" t="n"/>
      <c r="B887" s="277" t="n"/>
      <c r="C887" s="278" t="n"/>
      <c r="D887" s="269" t="n"/>
      <c r="E887" s="269" t="n"/>
      <c r="F887" s="269" t="n"/>
      <c r="G887" s="269" t="n"/>
      <c r="H887" s="269" t="n"/>
      <c r="I887" s="269" t="n"/>
      <c r="J887" s="269" t="n"/>
      <c r="K887" s="269" t="n"/>
      <c r="L887" s="269" t="n"/>
      <c r="M887" s="269" t="n"/>
      <c r="N887" s="269" t="n"/>
      <c r="O887" s="269" t="n"/>
      <c r="P887" s="269" t="n"/>
      <c r="Q887" s="269" t="n"/>
      <c r="R887" s="269" t="n"/>
      <c r="S887" s="269" t="n"/>
      <c r="T887" s="269" t="n"/>
      <c r="U887" s="269" t="n"/>
      <c r="V887" s="269" t="n"/>
      <c r="W887" s="270" t="n"/>
    </row>
    <row r="888" customFormat="1" s="163">
      <c r="A888" s="282" t="n"/>
      <c r="B888" s="277" t="n"/>
      <c r="C888" s="278" t="n"/>
      <c r="D888" s="269" t="n"/>
      <c r="E888" s="269" t="n"/>
      <c r="F888" s="269" t="n"/>
      <c r="G888" s="269" t="n"/>
      <c r="H888" s="269" t="n"/>
      <c r="I888" s="269" t="n"/>
      <c r="J888" s="269" t="n"/>
      <c r="K888" s="269" t="n"/>
      <c r="L888" s="269" t="n"/>
      <c r="M888" s="269" t="n"/>
      <c r="N888" s="269" t="n"/>
      <c r="O888" s="269" t="n"/>
      <c r="P888" s="269" t="n"/>
      <c r="Q888" s="269" t="n"/>
      <c r="R888" s="269" t="n"/>
      <c r="S888" s="269" t="n"/>
      <c r="T888" s="269" t="n"/>
      <c r="U888" s="269" t="n"/>
      <c r="V888" s="269" t="n"/>
      <c r="W888" s="270" t="n"/>
    </row>
    <row r="889" customFormat="1" s="163">
      <c r="A889" s="282" t="n"/>
      <c r="B889" s="277" t="n"/>
      <c r="C889" s="278" t="n"/>
      <c r="D889" s="269" t="n"/>
      <c r="E889" s="269" t="n"/>
      <c r="F889" s="269" t="n"/>
      <c r="G889" s="269" t="n"/>
      <c r="H889" s="269" t="n"/>
      <c r="I889" s="269" t="n"/>
      <c r="J889" s="269" t="n"/>
      <c r="K889" s="269" t="n"/>
      <c r="L889" s="269" t="n"/>
      <c r="M889" s="269" t="n"/>
      <c r="N889" s="269" t="n"/>
      <c r="O889" s="269" t="n"/>
      <c r="P889" s="269" t="n"/>
      <c r="Q889" s="269" t="n"/>
      <c r="R889" s="269" t="n"/>
      <c r="S889" s="269" t="n"/>
      <c r="T889" s="269" t="n"/>
      <c r="U889" s="269" t="n"/>
      <c r="V889" s="269" t="n"/>
      <c r="W889" s="270" t="n"/>
    </row>
    <row r="890" customFormat="1" s="163">
      <c r="A890" s="282" t="n"/>
      <c r="B890" s="277" t="n"/>
      <c r="C890" s="278" t="n"/>
      <c r="D890" s="269" t="n"/>
      <c r="E890" s="269" t="n"/>
      <c r="F890" s="269" t="n"/>
      <c r="G890" s="269" t="n"/>
      <c r="H890" s="269" t="n"/>
      <c r="I890" s="269" t="n"/>
      <c r="J890" s="269" t="n"/>
      <c r="K890" s="269" t="n"/>
      <c r="L890" s="269" t="n"/>
      <c r="M890" s="269" t="n"/>
      <c r="N890" s="269" t="n"/>
      <c r="O890" s="269" t="n"/>
      <c r="P890" s="269" t="n"/>
      <c r="Q890" s="269" t="n"/>
      <c r="R890" s="269" t="n"/>
      <c r="S890" s="269" t="n"/>
      <c r="T890" s="269" t="n"/>
      <c r="U890" s="269" t="n"/>
      <c r="V890" s="269" t="n"/>
      <c r="W890" s="270" t="n"/>
    </row>
    <row r="891" customFormat="1" s="163">
      <c r="A891" s="282" t="n"/>
      <c r="B891" s="277" t="n"/>
      <c r="C891" s="278" t="n"/>
      <c r="D891" s="269" t="n"/>
      <c r="E891" s="269" t="n"/>
      <c r="F891" s="269" t="n"/>
      <c r="G891" s="269" t="n"/>
      <c r="H891" s="269" t="n"/>
      <c r="I891" s="269" t="n"/>
      <c r="J891" s="269" t="n"/>
      <c r="K891" s="269" t="n"/>
      <c r="L891" s="269" t="n"/>
      <c r="M891" s="269" t="n"/>
      <c r="N891" s="269" t="n"/>
      <c r="O891" s="269" t="n"/>
      <c r="P891" s="269" t="n"/>
      <c r="Q891" s="269" t="n"/>
      <c r="R891" s="269" t="n"/>
      <c r="S891" s="269" t="n"/>
      <c r="T891" s="269" t="n"/>
      <c r="U891" s="269" t="n"/>
      <c r="V891" s="269" t="n"/>
      <c r="W891" s="270" t="n"/>
    </row>
    <row r="892" customFormat="1" s="163">
      <c r="A892" s="282" t="n"/>
      <c r="B892" s="277" t="n"/>
      <c r="C892" s="278" t="n"/>
      <c r="D892" s="269" t="n"/>
      <c r="E892" s="269" t="n"/>
      <c r="F892" s="269" t="n"/>
      <c r="G892" s="269" t="n"/>
      <c r="H892" s="269" t="n"/>
      <c r="I892" s="269" t="n"/>
      <c r="J892" s="269" t="n"/>
      <c r="K892" s="269" t="n"/>
      <c r="L892" s="269" t="n"/>
      <c r="M892" s="269" t="n"/>
      <c r="N892" s="269" t="n"/>
      <c r="O892" s="269" t="n"/>
      <c r="P892" s="269" t="n"/>
      <c r="Q892" s="269" t="n"/>
      <c r="R892" s="269" t="n"/>
      <c r="S892" s="269" t="n"/>
      <c r="T892" s="269" t="n"/>
      <c r="U892" s="269" t="n"/>
      <c r="V892" s="269" t="n"/>
      <c r="W892" s="270" t="n"/>
    </row>
    <row r="893" customFormat="1" s="163">
      <c r="A893" s="282" t="n"/>
      <c r="B893" s="277" t="n"/>
      <c r="C893" s="278" t="n"/>
      <c r="D893" s="269" t="n"/>
      <c r="E893" s="269" t="n"/>
      <c r="F893" s="269" t="n"/>
      <c r="G893" s="269" t="n"/>
      <c r="H893" s="269" t="n"/>
      <c r="I893" s="269" t="n"/>
      <c r="J893" s="269" t="n"/>
      <c r="K893" s="269" t="n"/>
      <c r="L893" s="269" t="n"/>
      <c r="M893" s="269" t="n"/>
      <c r="N893" s="269" t="n"/>
      <c r="O893" s="269" t="n"/>
      <c r="P893" s="269" t="n"/>
      <c r="Q893" s="269" t="n"/>
      <c r="R893" s="269" t="n"/>
      <c r="S893" s="269" t="n"/>
      <c r="T893" s="269" t="n"/>
      <c r="U893" s="269" t="n"/>
      <c r="V893" s="269" t="n"/>
      <c r="W893" s="270" t="n"/>
    </row>
    <row r="894" customFormat="1" s="163">
      <c r="A894" s="282" t="n"/>
      <c r="B894" s="277" t="n"/>
      <c r="C894" s="278" t="n"/>
      <c r="D894" s="269" t="n"/>
      <c r="E894" s="269" t="n"/>
      <c r="F894" s="269" t="n"/>
      <c r="G894" s="269" t="n"/>
      <c r="H894" s="269" t="n"/>
      <c r="I894" s="269" t="n"/>
      <c r="J894" s="269" t="n"/>
      <c r="K894" s="269" t="n"/>
      <c r="L894" s="269" t="n"/>
      <c r="M894" s="269" t="n"/>
      <c r="N894" s="269" t="n"/>
      <c r="O894" s="269" t="n"/>
      <c r="P894" s="269" t="n"/>
      <c r="Q894" s="269" t="n"/>
      <c r="R894" s="269" t="n"/>
      <c r="S894" s="269" t="n"/>
      <c r="T894" s="269" t="n"/>
      <c r="U894" s="269" t="n"/>
      <c r="V894" s="269" t="n"/>
      <c r="W894" s="270" t="n"/>
    </row>
    <row r="895" customFormat="1" s="163">
      <c r="A895" s="282" t="n"/>
      <c r="B895" s="277" t="n"/>
      <c r="C895" s="278" t="n"/>
      <c r="D895" s="269" t="n"/>
      <c r="E895" s="269" t="n"/>
      <c r="F895" s="269" t="n"/>
      <c r="G895" s="269" t="n"/>
      <c r="H895" s="269" t="n"/>
      <c r="I895" s="269" t="n"/>
      <c r="J895" s="269" t="n"/>
      <c r="K895" s="269" t="n"/>
      <c r="L895" s="269" t="n"/>
      <c r="M895" s="269" t="n"/>
      <c r="N895" s="269" t="n"/>
      <c r="O895" s="269" t="n"/>
      <c r="P895" s="269" t="n"/>
      <c r="Q895" s="269" t="n"/>
      <c r="R895" s="269" t="n"/>
      <c r="S895" s="269" t="n"/>
      <c r="T895" s="269" t="n"/>
      <c r="U895" s="269" t="n"/>
      <c r="V895" s="269" t="n"/>
      <c r="W895" s="270" t="n"/>
    </row>
    <row r="896" customFormat="1" s="163">
      <c r="A896" s="282" t="n"/>
      <c r="B896" s="277" t="n"/>
      <c r="C896" s="278" t="n"/>
      <c r="D896" s="269" t="n"/>
      <c r="E896" s="269" t="n"/>
      <c r="F896" s="269" t="n"/>
      <c r="G896" s="269" t="n"/>
      <c r="H896" s="269" t="n"/>
      <c r="I896" s="269" t="n"/>
      <c r="J896" s="269" t="n"/>
      <c r="K896" s="269" t="n"/>
      <c r="L896" s="269" t="n"/>
      <c r="M896" s="269" t="n"/>
      <c r="N896" s="269" t="n"/>
      <c r="O896" s="269" t="n"/>
      <c r="P896" s="269" t="n"/>
      <c r="Q896" s="269" t="n"/>
      <c r="R896" s="269" t="n"/>
      <c r="S896" s="269" t="n"/>
      <c r="T896" s="269" t="n"/>
      <c r="U896" s="269" t="n"/>
      <c r="V896" s="269" t="n"/>
      <c r="W896" s="270" t="n"/>
    </row>
    <row r="897" customFormat="1" s="163">
      <c r="A897" s="282" t="n"/>
      <c r="B897" s="277" t="n"/>
      <c r="C897" s="278" t="n"/>
      <c r="D897" s="269" t="n"/>
      <c r="E897" s="269" t="n"/>
      <c r="F897" s="269" t="n"/>
      <c r="G897" s="269" t="n"/>
      <c r="H897" s="269" t="n"/>
      <c r="I897" s="269" t="n"/>
      <c r="J897" s="269" t="n"/>
      <c r="K897" s="269" t="n"/>
      <c r="L897" s="269" t="n"/>
      <c r="M897" s="269" t="n"/>
      <c r="N897" s="269" t="n"/>
      <c r="O897" s="269" t="n"/>
      <c r="P897" s="269" t="n"/>
      <c r="Q897" s="269" t="n"/>
      <c r="R897" s="269" t="n"/>
      <c r="S897" s="269" t="n"/>
      <c r="T897" s="269" t="n"/>
      <c r="U897" s="269" t="n"/>
      <c r="V897" s="269" t="n"/>
      <c r="W897" s="270" t="n"/>
    </row>
    <row r="898" customFormat="1" s="163">
      <c r="A898" s="282" t="n"/>
      <c r="B898" s="277" t="n"/>
      <c r="C898" s="278" t="n"/>
      <c r="D898" s="269" t="n"/>
      <c r="E898" s="269" t="n"/>
      <c r="F898" s="269" t="n"/>
      <c r="G898" s="269" t="n"/>
      <c r="H898" s="269" t="n"/>
      <c r="I898" s="269" t="n"/>
      <c r="J898" s="269" t="n"/>
      <c r="K898" s="269" t="n"/>
      <c r="L898" s="269" t="n"/>
      <c r="M898" s="269" t="n"/>
      <c r="N898" s="269" t="n"/>
      <c r="O898" s="269" t="n"/>
      <c r="P898" s="269" t="n"/>
      <c r="Q898" s="269" t="n"/>
      <c r="R898" s="269" t="n"/>
      <c r="S898" s="269" t="n"/>
      <c r="T898" s="269" t="n"/>
      <c r="U898" s="269" t="n"/>
      <c r="V898" s="269" t="n"/>
      <c r="W898" s="270" t="n"/>
    </row>
    <row r="899" customFormat="1" s="163">
      <c r="A899" s="282" t="n"/>
      <c r="B899" s="277" t="n"/>
      <c r="C899" s="278" t="n"/>
      <c r="D899" s="269" t="n"/>
      <c r="E899" s="269" t="n"/>
      <c r="F899" s="269" t="n"/>
      <c r="G899" s="269" t="n"/>
      <c r="H899" s="269" t="n"/>
      <c r="I899" s="269" t="n"/>
      <c r="J899" s="269" t="n"/>
      <c r="K899" s="269" t="n"/>
      <c r="L899" s="269" t="n"/>
      <c r="M899" s="269" t="n"/>
      <c r="N899" s="269" t="n"/>
      <c r="O899" s="269" t="n"/>
      <c r="P899" s="269" t="n"/>
      <c r="Q899" s="269" t="n"/>
      <c r="R899" s="269" t="n"/>
      <c r="S899" s="269" t="n"/>
      <c r="T899" s="269" t="n"/>
      <c r="U899" s="269" t="n"/>
      <c r="V899" s="269" t="n"/>
      <c r="W899" s="270" t="n"/>
    </row>
    <row r="900" customFormat="1" s="163">
      <c r="A900" s="282" t="n"/>
      <c r="B900" s="277" t="n"/>
      <c r="C900" s="278" t="n"/>
      <c r="D900" s="269" t="n"/>
      <c r="E900" s="269" t="n"/>
      <c r="F900" s="269" t="n"/>
      <c r="G900" s="269" t="n"/>
      <c r="H900" s="269" t="n"/>
      <c r="I900" s="269" t="n"/>
      <c r="J900" s="269" t="n"/>
      <c r="K900" s="269" t="n"/>
      <c r="L900" s="269" t="n"/>
      <c r="M900" s="269" t="n"/>
      <c r="N900" s="269" t="n"/>
      <c r="O900" s="269" t="n"/>
      <c r="P900" s="269" t="n"/>
      <c r="Q900" s="269" t="n"/>
      <c r="R900" s="269" t="n"/>
      <c r="S900" s="269" t="n"/>
      <c r="T900" s="269" t="n"/>
      <c r="U900" s="269" t="n"/>
      <c r="V900" s="269" t="n"/>
      <c r="W900" s="270" t="n"/>
    </row>
    <row r="901" customFormat="1" s="163">
      <c r="A901" s="282" t="n"/>
      <c r="B901" s="277" t="n"/>
      <c r="C901" s="278" t="n"/>
      <c r="D901" s="269" t="n"/>
      <c r="E901" s="269" t="n"/>
      <c r="F901" s="269" t="n"/>
      <c r="G901" s="269" t="n"/>
      <c r="H901" s="269" t="n"/>
      <c r="I901" s="269" t="n"/>
      <c r="J901" s="269" t="n"/>
      <c r="K901" s="269" t="n"/>
      <c r="L901" s="269" t="n"/>
      <c r="M901" s="269" t="n"/>
      <c r="N901" s="269" t="n"/>
      <c r="O901" s="269" t="n"/>
      <c r="P901" s="269" t="n"/>
      <c r="Q901" s="269" t="n"/>
      <c r="R901" s="269" t="n"/>
      <c r="S901" s="269" t="n"/>
      <c r="T901" s="269" t="n"/>
      <c r="U901" s="269" t="n"/>
      <c r="V901" s="269" t="n"/>
      <c r="W901" s="270" t="n"/>
    </row>
    <row r="902" customFormat="1" s="163">
      <c r="A902" s="282" t="n"/>
      <c r="B902" s="277" t="n"/>
      <c r="C902" s="278" t="n"/>
      <c r="D902" s="269" t="n"/>
      <c r="E902" s="269" t="n"/>
      <c r="F902" s="269" t="n"/>
      <c r="G902" s="269" t="n"/>
      <c r="H902" s="269" t="n"/>
      <c r="I902" s="269" t="n"/>
      <c r="J902" s="269" t="n"/>
      <c r="K902" s="269" t="n"/>
      <c r="L902" s="269" t="n"/>
      <c r="M902" s="269" t="n"/>
      <c r="N902" s="269" t="n"/>
      <c r="O902" s="269" t="n"/>
      <c r="P902" s="269" t="n"/>
      <c r="Q902" s="269" t="n"/>
      <c r="R902" s="269" t="n"/>
      <c r="S902" s="269" t="n"/>
      <c r="T902" s="269" t="n"/>
      <c r="U902" s="269" t="n"/>
      <c r="V902" s="269" t="n"/>
      <c r="W902" s="270" t="n"/>
    </row>
    <row r="903" customFormat="1" s="163">
      <c r="A903" s="282" t="n"/>
      <c r="B903" s="277" t="n"/>
      <c r="C903" s="278" t="n"/>
      <c r="D903" s="269" t="n"/>
      <c r="E903" s="269" t="n"/>
      <c r="F903" s="269" t="n"/>
      <c r="G903" s="269" t="n"/>
      <c r="H903" s="269" t="n"/>
      <c r="I903" s="269" t="n"/>
      <c r="J903" s="269" t="n"/>
      <c r="K903" s="269" t="n"/>
      <c r="L903" s="269" t="n"/>
      <c r="M903" s="269" t="n"/>
      <c r="N903" s="269" t="n"/>
      <c r="O903" s="269" t="n"/>
      <c r="P903" s="269" t="n"/>
      <c r="Q903" s="269" t="n"/>
      <c r="R903" s="269" t="n"/>
      <c r="S903" s="269" t="n"/>
      <c r="T903" s="269" t="n"/>
      <c r="U903" s="269" t="n"/>
      <c r="V903" s="269" t="n"/>
      <c r="W903" s="270" t="n"/>
    </row>
    <row r="904" customFormat="1" s="163">
      <c r="A904" s="282" t="n"/>
      <c r="B904" s="277" t="n"/>
      <c r="C904" s="278" t="n"/>
      <c r="D904" s="269" t="n"/>
      <c r="E904" s="269" t="n"/>
      <c r="F904" s="269" t="n"/>
      <c r="G904" s="269" t="n"/>
      <c r="H904" s="269" t="n"/>
      <c r="I904" s="269" t="n"/>
      <c r="J904" s="269" t="n"/>
      <c r="K904" s="269" t="n"/>
      <c r="L904" s="269" t="n"/>
      <c r="M904" s="269" t="n"/>
      <c r="N904" s="269" t="n"/>
      <c r="O904" s="269" t="n"/>
      <c r="P904" s="269" t="n"/>
      <c r="Q904" s="269" t="n"/>
      <c r="R904" s="269" t="n"/>
      <c r="S904" s="269" t="n"/>
      <c r="T904" s="269" t="n"/>
      <c r="U904" s="269" t="n"/>
      <c r="V904" s="269" t="n"/>
      <c r="W904" s="270" t="n"/>
    </row>
    <row r="905" customFormat="1" s="163">
      <c r="A905" s="282" t="n"/>
      <c r="B905" s="277" t="n"/>
      <c r="C905" s="278" t="n"/>
      <c r="D905" s="269" t="n"/>
      <c r="E905" s="269" t="n"/>
      <c r="F905" s="269" t="n"/>
      <c r="G905" s="269" t="n"/>
      <c r="H905" s="269" t="n"/>
      <c r="I905" s="269" t="n"/>
      <c r="J905" s="269" t="n"/>
      <c r="K905" s="269" t="n"/>
      <c r="L905" s="269" t="n"/>
      <c r="M905" s="269" t="n"/>
      <c r="N905" s="269" t="n"/>
      <c r="O905" s="269" t="n"/>
      <c r="P905" s="269" t="n"/>
      <c r="Q905" s="269" t="n"/>
      <c r="R905" s="269" t="n"/>
      <c r="S905" s="269" t="n"/>
      <c r="T905" s="269" t="n"/>
      <c r="U905" s="269" t="n"/>
      <c r="V905" s="269" t="n"/>
      <c r="W905" s="270" t="n"/>
    </row>
    <row r="906" customFormat="1" s="163">
      <c r="A906" s="282" t="n"/>
      <c r="B906" s="277" t="n"/>
      <c r="C906" s="278" t="n"/>
      <c r="D906" s="269" t="n"/>
      <c r="E906" s="269" t="n"/>
      <c r="F906" s="269" t="n"/>
      <c r="G906" s="269" t="n"/>
      <c r="H906" s="269" t="n"/>
      <c r="I906" s="269" t="n"/>
      <c r="J906" s="269" t="n"/>
      <c r="K906" s="269" t="n"/>
      <c r="L906" s="269" t="n"/>
      <c r="M906" s="269" t="n"/>
      <c r="N906" s="269" t="n"/>
      <c r="O906" s="269" t="n"/>
      <c r="P906" s="269" t="n"/>
      <c r="Q906" s="269" t="n"/>
      <c r="R906" s="269" t="n"/>
      <c r="S906" s="269" t="n"/>
      <c r="T906" s="269" t="n"/>
      <c r="U906" s="269" t="n"/>
      <c r="V906" s="269" t="n"/>
      <c r="W906" s="270" t="n"/>
    </row>
    <row r="907" customFormat="1" s="163">
      <c r="A907" s="282" t="n"/>
      <c r="B907" s="277" t="n"/>
      <c r="C907" s="278" t="n"/>
      <c r="D907" s="269" t="n"/>
      <c r="E907" s="269" t="n"/>
      <c r="F907" s="269" t="n"/>
      <c r="G907" s="269" t="n"/>
      <c r="H907" s="269" t="n"/>
      <c r="I907" s="269" t="n"/>
      <c r="J907" s="269" t="n"/>
      <c r="K907" s="269" t="n"/>
      <c r="L907" s="269" t="n"/>
      <c r="M907" s="269" t="n"/>
      <c r="N907" s="269" t="n"/>
      <c r="O907" s="269" t="n"/>
      <c r="P907" s="269" t="n"/>
      <c r="Q907" s="269" t="n"/>
      <c r="R907" s="269" t="n"/>
      <c r="S907" s="269" t="n"/>
      <c r="T907" s="269" t="n"/>
      <c r="U907" s="269" t="n"/>
      <c r="V907" s="269" t="n"/>
      <c r="W907" s="270" t="n"/>
    </row>
    <row r="908" customFormat="1" s="163">
      <c r="A908" s="282" t="n"/>
      <c r="B908" s="277" t="n"/>
      <c r="C908" s="278" t="n"/>
      <c r="D908" s="269" t="n"/>
      <c r="E908" s="269" t="n"/>
      <c r="F908" s="269" t="n"/>
      <c r="G908" s="269" t="n"/>
      <c r="H908" s="269" t="n"/>
      <c r="I908" s="269" t="n"/>
      <c r="J908" s="269" t="n"/>
      <c r="K908" s="269" t="n"/>
      <c r="L908" s="269" t="n"/>
      <c r="M908" s="269" t="n"/>
      <c r="N908" s="269" t="n"/>
      <c r="O908" s="269" t="n"/>
      <c r="P908" s="269" t="n"/>
      <c r="Q908" s="269" t="n"/>
      <c r="R908" s="269" t="n"/>
      <c r="S908" s="269" t="n"/>
      <c r="T908" s="269" t="n"/>
      <c r="U908" s="269" t="n"/>
      <c r="V908" s="269" t="n"/>
      <c r="W908" s="270" t="n"/>
    </row>
    <row r="909" customFormat="1" s="163">
      <c r="A909" s="282" t="n"/>
      <c r="B909" s="277" t="n"/>
      <c r="C909" s="278" t="n"/>
      <c r="D909" s="269" t="n"/>
      <c r="E909" s="269" t="n"/>
      <c r="F909" s="269" t="n"/>
      <c r="G909" s="269" t="n"/>
      <c r="H909" s="269" t="n"/>
      <c r="I909" s="269" t="n"/>
      <c r="J909" s="269" t="n"/>
      <c r="K909" s="269" t="n"/>
      <c r="L909" s="269" t="n"/>
      <c r="M909" s="269" t="n"/>
      <c r="N909" s="269" t="n"/>
      <c r="O909" s="269" t="n"/>
      <c r="P909" s="269" t="n"/>
      <c r="Q909" s="269" t="n"/>
      <c r="R909" s="269" t="n"/>
      <c r="S909" s="269" t="n"/>
      <c r="T909" s="269" t="n"/>
      <c r="U909" s="269" t="n"/>
      <c r="V909" s="269" t="n"/>
      <c r="W909" s="270" t="n"/>
    </row>
    <row r="910" customFormat="1" s="163">
      <c r="A910" s="282" t="n"/>
      <c r="B910" s="277" t="n"/>
      <c r="C910" s="278" t="n"/>
      <c r="D910" s="269" t="n"/>
      <c r="E910" s="269" t="n"/>
      <c r="F910" s="269" t="n"/>
      <c r="G910" s="269" t="n"/>
      <c r="H910" s="269" t="n"/>
      <c r="I910" s="269" t="n"/>
      <c r="J910" s="269" t="n"/>
      <c r="K910" s="269" t="n"/>
      <c r="L910" s="269" t="n"/>
      <c r="M910" s="269" t="n"/>
      <c r="N910" s="269" t="n"/>
      <c r="O910" s="269" t="n"/>
      <c r="P910" s="269" t="n"/>
      <c r="Q910" s="269" t="n"/>
      <c r="R910" s="269" t="n"/>
      <c r="S910" s="269" t="n"/>
      <c r="T910" s="269" t="n"/>
      <c r="U910" s="269" t="n"/>
      <c r="V910" s="269" t="n"/>
      <c r="W910" s="270" t="n"/>
    </row>
    <row r="911" customFormat="1" s="163">
      <c r="A911" s="282" t="n"/>
      <c r="B911" s="277" t="n"/>
      <c r="C911" s="278" t="n"/>
      <c r="D911" s="269" t="n"/>
      <c r="E911" s="269" t="n"/>
      <c r="F911" s="269" t="n"/>
      <c r="G911" s="269" t="n"/>
      <c r="H911" s="269" t="n"/>
      <c r="I911" s="269" t="n"/>
      <c r="J911" s="269" t="n"/>
      <c r="K911" s="269" t="n"/>
      <c r="L911" s="269" t="n"/>
      <c r="M911" s="269" t="n"/>
      <c r="N911" s="269" t="n"/>
      <c r="O911" s="269" t="n"/>
      <c r="P911" s="269" t="n"/>
      <c r="Q911" s="269" t="n"/>
      <c r="R911" s="269" t="n"/>
      <c r="S911" s="269" t="n"/>
      <c r="T911" s="269" t="n"/>
      <c r="U911" s="269" t="n"/>
      <c r="V911" s="269" t="n"/>
      <c r="W911" s="270" t="n"/>
    </row>
    <row r="912" customFormat="1" s="163">
      <c r="A912" s="282" t="n"/>
      <c r="B912" s="277" t="n"/>
      <c r="C912" s="278" t="n"/>
      <c r="D912" s="269" t="n"/>
      <c r="E912" s="269" t="n"/>
      <c r="F912" s="269" t="n"/>
      <c r="G912" s="269" t="n"/>
      <c r="H912" s="269" t="n"/>
      <c r="I912" s="269" t="n"/>
      <c r="J912" s="269" t="n"/>
      <c r="K912" s="269" t="n"/>
      <c r="L912" s="269" t="n"/>
      <c r="M912" s="269" t="n"/>
      <c r="N912" s="269" t="n"/>
      <c r="O912" s="269" t="n"/>
      <c r="P912" s="269" t="n"/>
      <c r="Q912" s="269" t="n"/>
      <c r="R912" s="269" t="n"/>
      <c r="S912" s="269" t="n"/>
      <c r="T912" s="269" t="n"/>
      <c r="U912" s="269" t="n"/>
      <c r="V912" s="269" t="n"/>
      <c r="W912" s="270" t="n"/>
    </row>
    <row r="913" customFormat="1" s="163">
      <c r="A913" s="282" t="n"/>
      <c r="B913" s="277" t="n"/>
      <c r="C913" s="278" t="n"/>
      <c r="D913" s="269" t="n"/>
      <c r="E913" s="269" t="n"/>
      <c r="F913" s="269" t="n"/>
      <c r="G913" s="269" t="n"/>
      <c r="H913" s="269" t="n"/>
      <c r="I913" s="269" t="n"/>
      <c r="J913" s="269" t="n"/>
      <c r="K913" s="269" t="n"/>
      <c r="L913" s="269" t="n"/>
      <c r="M913" s="269" t="n"/>
      <c r="N913" s="269" t="n"/>
      <c r="O913" s="269" t="n"/>
      <c r="P913" s="269" t="n"/>
      <c r="Q913" s="269" t="n"/>
      <c r="R913" s="269" t="n"/>
      <c r="S913" s="269" t="n"/>
      <c r="T913" s="269" t="n"/>
      <c r="U913" s="269" t="n"/>
      <c r="V913" s="269" t="n"/>
      <c r="W913" s="270" t="n"/>
    </row>
    <row r="914" customFormat="1" s="163">
      <c r="A914" s="282" t="n"/>
      <c r="B914" s="277" t="n"/>
      <c r="C914" s="278" t="n"/>
      <c r="D914" s="269" t="n"/>
      <c r="E914" s="269" t="n"/>
      <c r="F914" s="269" t="n"/>
      <c r="G914" s="269" t="n"/>
      <c r="H914" s="269" t="n"/>
      <c r="I914" s="269" t="n"/>
      <c r="J914" s="269" t="n"/>
      <c r="K914" s="269" t="n"/>
      <c r="L914" s="269" t="n"/>
      <c r="M914" s="269" t="n"/>
      <c r="N914" s="269" t="n"/>
      <c r="O914" s="269" t="n"/>
      <c r="P914" s="269" t="n"/>
      <c r="Q914" s="269" t="n"/>
      <c r="R914" s="269" t="n"/>
      <c r="S914" s="269" t="n"/>
      <c r="T914" s="269" t="n"/>
      <c r="U914" s="269" t="n"/>
      <c r="V914" s="269" t="n"/>
      <c r="W914" s="270" t="n"/>
    </row>
    <row r="915" customFormat="1" s="163">
      <c r="A915" s="282" t="n"/>
      <c r="B915" s="277" t="n"/>
      <c r="C915" s="278" t="n"/>
      <c r="D915" s="269" t="n"/>
      <c r="E915" s="269" t="n"/>
      <c r="F915" s="269" t="n"/>
      <c r="G915" s="269" t="n"/>
      <c r="H915" s="269" t="n"/>
      <c r="I915" s="269" t="n"/>
      <c r="J915" s="269" t="n"/>
      <c r="K915" s="269" t="n"/>
      <c r="L915" s="269" t="n"/>
      <c r="M915" s="269" t="n"/>
      <c r="N915" s="269" t="n"/>
      <c r="O915" s="269" t="n"/>
      <c r="P915" s="269" t="n"/>
      <c r="Q915" s="269" t="n"/>
      <c r="R915" s="269" t="n"/>
      <c r="S915" s="269" t="n"/>
      <c r="T915" s="269" t="n"/>
      <c r="U915" s="269" t="n"/>
      <c r="V915" s="269" t="n"/>
      <c r="W915" s="270" t="n"/>
    </row>
    <row r="916" customFormat="1" s="163">
      <c r="A916" s="282" t="n"/>
      <c r="B916" s="277" t="n"/>
      <c r="C916" s="278" t="n"/>
      <c r="D916" s="269" t="n"/>
      <c r="E916" s="269" t="n"/>
      <c r="F916" s="269" t="n"/>
      <c r="G916" s="269" t="n"/>
      <c r="H916" s="269" t="n"/>
      <c r="I916" s="269" t="n"/>
      <c r="J916" s="269" t="n"/>
      <c r="K916" s="269" t="n"/>
      <c r="L916" s="269" t="n"/>
      <c r="M916" s="269" t="n"/>
      <c r="N916" s="269" t="n"/>
      <c r="O916" s="269" t="n"/>
      <c r="P916" s="269" t="n"/>
      <c r="Q916" s="269" t="n"/>
      <c r="R916" s="269" t="n"/>
      <c r="S916" s="269" t="n"/>
      <c r="T916" s="269" t="n"/>
      <c r="U916" s="269" t="n"/>
      <c r="V916" s="269" t="n"/>
      <c r="W916" s="270" t="n"/>
    </row>
    <row r="917" customFormat="1" s="163">
      <c r="A917" s="282" t="n"/>
      <c r="B917" s="277" t="n"/>
      <c r="C917" s="278" t="n"/>
      <c r="D917" s="269" t="n"/>
      <c r="E917" s="269" t="n"/>
      <c r="F917" s="269" t="n"/>
      <c r="G917" s="269" t="n"/>
      <c r="H917" s="269" t="n"/>
      <c r="I917" s="269" t="n"/>
      <c r="J917" s="269" t="n"/>
      <c r="K917" s="269" t="n"/>
      <c r="L917" s="269" t="n"/>
      <c r="M917" s="269" t="n"/>
      <c r="N917" s="269" t="n"/>
      <c r="O917" s="269" t="n"/>
      <c r="P917" s="269" t="n"/>
      <c r="Q917" s="269" t="n"/>
      <c r="R917" s="269" t="n"/>
      <c r="S917" s="269" t="n"/>
      <c r="T917" s="269" t="n"/>
      <c r="U917" s="269" t="n"/>
      <c r="V917" s="269" t="n"/>
      <c r="W917" s="270" t="n"/>
    </row>
    <row r="918" customFormat="1" s="163">
      <c r="A918" s="282" t="n"/>
      <c r="B918" s="277" t="n"/>
      <c r="C918" s="278" t="n"/>
      <c r="D918" s="269" t="n"/>
      <c r="E918" s="269" t="n"/>
      <c r="F918" s="269" t="n"/>
      <c r="G918" s="269" t="n"/>
      <c r="H918" s="269" t="n"/>
      <c r="I918" s="269" t="n"/>
      <c r="J918" s="269" t="n"/>
      <c r="K918" s="269" t="n"/>
      <c r="L918" s="269" t="n"/>
      <c r="M918" s="269" t="n"/>
      <c r="N918" s="269" t="n"/>
      <c r="O918" s="269" t="n"/>
      <c r="P918" s="269" t="n"/>
      <c r="Q918" s="269" t="n"/>
      <c r="R918" s="269" t="n"/>
      <c r="S918" s="269" t="n"/>
      <c r="T918" s="269" t="n"/>
      <c r="U918" s="269" t="n"/>
      <c r="V918" s="269" t="n"/>
      <c r="W918" s="270" t="n"/>
    </row>
    <row r="919" customFormat="1" s="163">
      <c r="A919" s="282" t="n"/>
      <c r="B919" s="277" t="n"/>
      <c r="C919" s="278" t="n"/>
      <c r="D919" s="269" t="n"/>
      <c r="E919" s="269" t="n"/>
      <c r="F919" s="269" t="n"/>
      <c r="G919" s="269" t="n"/>
      <c r="H919" s="269" t="n"/>
      <c r="I919" s="269" t="n"/>
      <c r="J919" s="269" t="n"/>
      <c r="K919" s="269" t="n"/>
      <c r="L919" s="269" t="n"/>
      <c r="M919" s="269" t="n"/>
      <c r="N919" s="269" t="n"/>
      <c r="O919" s="269" t="n"/>
      <c r="P919" s="269" t="n"/>
      <c r="Q919" s="269" t="n"/>
      <c r="R919" s="269" t="n"/>
      <c r="S919" s="269" t="n"/>
      <c r="T919" s="269" t="n"/>
      <c r="U919" s="269" t="n"/>
      <c r="V919" s="269" t="n"/>
      <c r="W919" s="270" t="n"/>
    </row>
    <row r="920" customFormat="1" s="163">
      <c r="A920" s="282" t="n"/>
      <c r="B920" s="277" t="n"/>
      <c r="C920" s="278" t="n"/>
      <c r="D920" s="269" t="n"/>
      <c r="E920" s="269" t="n"/>
      <c r="F920" s="269" t="n"/>
      <c r="G920" s="269" t="n"/>
      <c r="H920" s="269" t="n"/>
      <c r="I920" s="269" t="n"/>
      <c r="J920" s="269" t="n"/>
      <c r="K920" s="269" t="n"/>
      <c r="L920" s="269" t="n"/>
      <c r="M920" s="269" t="n"/>
      <c r="N920" s="269" t="n"/>
      <c r="O920" s="269" t="n"/>
      <c r="P920" s="269" t="n"/>
      <c r="Q920" s="269" t="n"/>
      <c r="R920" s="269" t="n"/>
      <c r="S920" s="269" t="n"/>
      <c r="T920" s="269" t="n"/>
      <c r="U920" s="269" t="n"/>
      <c r="V920" s="269" t="n"/>
      <c r="W920" s="270" t="n"/>
    </row>
    <row r="921" customFormat="1" s="163">
      <c r="A921" s="282" t="n"/>
      <c r="B921" s="277" t="n"/>
      <c r="C921" s="278" t="n"/>
      <c r="D921" s="269" t="n"/>
      <c r="E921" s="269" t="n"/>
      <c r="F921" s="269" t="n"/>
      <c r="G921" s="269" t="n"/>
      <c r="H921" s="269" t="n"/>
      <c r="I921" s="269" t="n"/>
      <c r="J921" s="269" t="n"/>
      <c r="K921" s="269" t="n"/>
      <c r="L921" s="269" t="n"/>
      <c r="M921" s="269" t="n"/>
      <c r="N921" s="269" t="n"/>
      <c r="O921" s="269" t="n"/>
      <c r="P921" s="269" t="n"/>
      <c r="Q921" s="269" t="n"/>
      <c r="R921" s="269" t="n"/>
      <c r="S921" s="269" t="n"/>
      <c r="T921" s="269" t="n"/>
      <c r="U921" s="269" t="n"/>
      <c r="V921" s="269" t="n"/>
      <c r="W921" s="270" t="n"/>
    </row>
    <row r="922" customFormat="1" s="163">
      <c r="A922" s="282" t="n"/>
      <c r="B922" s="277" t="n"/>
      <c r="C922" s="278" t="n"/>
      <c r="D922" s="269" t="n"/>
      <c r="E922" s="269" t="n"/>
      <c r="F922" s="269" t="n"/>
      <c r="G922" s="269" t="n"/>
      <c r="H922" s="269" t="n"/>
      <c r="I922" s="269" t="n"/>
      <c r="J922" s="269" t="n"/>
      <c r="K922" s="269" t="n"/>
      <c r="L922" s="269" t="n"/>
      <c r="M922" s="269" t="n"/>
      <c r="N922" s="269" t="n"/>
      <c r="O922" s="269" t="n"/>
      <c r="P922" s="269" t="n"/>
      <c r="Q922" s="269" t="n"/>
      <c r="R922" s="269" t="n"/>
      <c r="S922" s="269" t="n"/>
      <c r="T922" s="269" t="n"/>
      <c r="U922" s="269" t="n"/>
      <c r="V922" s="269" t="n"/>
      <c r="W922" s="270" t="n"/>
    </row>
    <row r="923" customFormat="1" s="163">
      <c r="A923" s="282" t="n"/>
      <c r="B923" s="277" t="n"/>
      <c r="C923" s="278" t="n"/>
      <c r="D923" s="269" t="n"/>
      <c r="E923" s="269" t="n"/>
      <c r="F923" s="269" t="n"/>
      <c r="G923" s="269" t="n"/>
      <c r="H923" s="269" t="n"/>
      <c r="I923" s="269" t="n"/>
      <c r="J923" s="269" t="n"/>
      <c r="K923" s="269" t="n"/>
      <c r="L923" s="269" t="n"/>
      <c r="M923" s="269" t="n"/>
      <c r="N923" s="269" t="n"/>
      <c r="O923" s="269" t="n"/>
      <c r="P923" s="269" t="n"/>
      <c r="Q923" s="269" t="n"/>
      <c r="R923" s="269" t="n"/>
      <c r="S923" s="269" t="n"/>
      <c r="T923" s="269" t="n"/>
      <c r="U923" s="269" t="n"/>
      <c r="V923" s="269" t="n"/>
      <c r="W923" s="270" t="n"/>
    </row>
    <row r="924" customFormat="1" s="163">
      <c r="A924" s="282" t="n"/>
      <c r="B924" s="277" t="n"/>
      <c r="C924" s="278" t="n"/>
      <c r="D924" s="269" t="n"/>
      <c r="E924" s="269" t="n"/>
      <c r="F924" s="269" t="n"/>
      <c r="G924" s="269" t="n"/>
      <c r="H924" s="269" t="n"/>
      <c r="I924" s="269" t="n"/>
      <c r="J924" s="269" t="n"/>
      <c r="K924" s="269" t="n"/>
      <c r="L924" s="269" t="n"/>
      <c r="M924" s="269" t="n"/>
      <c r="N924" s="269" t="n"/>
      <c r="O924" s="269" t="n"/>
      <c r="P924" s="269" t="n"/>
      <c r="Q924" s="269" t="n"/>
      <c r="R924" s="269" t="n"/>
      <c r="S924" s="269" t="n"/>
      <c r="T924" s="269" t="n"/>
      <c r="U924" s="269" t="n"/>
      <c r="V924" s="269" t="n"/>
      <c r="W924" s="270" t="n"/>
    </row>
    <row r="925" customFormat="1" s="163">
      <c r="A925" s="282" t="n"/>
      <c r="B925" s="277" t="n"/>
      <c r="C925" s="278" t="n"/>
      <c r="D925" s="269" t="n"/>
      <c r="E925" s="269" t="n"/>
      <c r="F925" s="269" t="n"/>
      <c r="G925" s="269" t="n"/>
      <c r="H925" s="269" t="n"/>
      <c r="I925" s="269" t="n"/>
      <c r="J925" s="269" t="n"/>
      <c r="K925" s="269" t="n"/>
      <c r="L925" s="269" t="n"/>
      <c r="M925" s="269" t="n"/>
      <c r="N925" s="269" t="n"/>
      <c r="O925" s="269" t="n"/>
      <c r="P925" s="269" t="n"/>
      <c r="Q925" s="269" t="n"/>
      <c r="R925" s="269" t="n"/>
      <c r="S925" s="269" t="n"/>
      <c r="T925" s="269" t="n"/>
      <c r="U925" s="269" t="n"/>
      <c r="V925" s="269" t="n"/>
      <c r="W925" s="270" t="n"/>
    </row>
    <row r="926" customFormat="1" s="163">
      <c r="A926" s="282" t="n"/>
      <c r="B926" s="277" t="n"/>
      <c r="C926" s="278" t="n"/>
      <c r="D926" s="269" t="n"/>
      <c r="E926" s="269" t="n"/>
      <c r="F926" s="269" t="n"/>
      <c r="G926" s="269" t="n"/>
      <c r="H926" s="269" t="n"/>
      <c r="I926" s="269" t="n"/>
      <c r="J926" s="269" t="n"/>
      <c r="K926" s="269" t="n"/>
      <c r="L926" s="269" t="n"/>
      <c r="M926" s="269" t="n"/>
      <c r="N926" s="269" t="n"/>
      <c r="O926" s="269" t="n"/>
      <c r="P926" s="269" t="n"/>
      <c r="Q926" s="269" t="n"/>
      <c r="R926" s="269" t="n"/>
      <c r="S926" s="269" t="n"/>
      <c r="T926" s="269" t="n"/>
      <c r="U926" s="269" t="n"/>
      <c r="V926" s="269" t="n"/>
      <c r="W926" s="270" t="n"/>
    </row>
    <row r="927" customFormat="1" s="163">
      <c r="A927" s="282" t="n"/>
      <c r="B927" s="277" t="n"/>
      <c r="C927" s="278" t="n"/>
      <c r="D927" s="269" t="n"/>
      <c r="E927" s="269" t="n"/>
      <c r="F927" s="269" t="n"/>
      <c r="G927" s="269" t="n"/>
      <c r="H927" s="269" t="n"/>
      <c r="I927" s="269" t="n"/>
      <c r="J927" s="269" t="n"/>
      <c r="K927" s="269" t="n"/>
      <c r="L927" s="269" t="n"/>
      <c r="M927" s="269" t="n"/>
      <c r="N927" s="269" t="n"/>
      <c r="O927" s="269" t="n"/>
      <c r="P927" s="269" t="n"/>
      <c r="Q927" s="269" t="n"/>
      <c r="R927" s="269" t="n"/>
      <c r="S927" s="269" t="n"/>
      <c r="T927" s="269" t="n"/>
      <c r="U927" s="269" t="n"/>
      <c r="V927" s="269" t="n"/>
      <c r="W927" s="270" t="n"/>
    </row>
    <row r="928" customFormat="1" s="163">
      <c r="A928" s="282" t="n"/>
      <c r="B928" s="277" t="n"/>
      <c r="C928" s="278" t="n"/>
      <c r="D928" s="269" t="n"/>
      <c r="E928" s="269" t="n"/>
      <c r="F928" s="269" t="n"/>
      <c r="G928" s="269" t="n"/>
      <c r="H928" s="269" t="n"/>
      <c r="I928" s="269" t="n"/>
      <c r="J928" s="269" t="n"/>
      <c r="K928" s="269" t="n"/>
      <c r="L928" s="269" t="n"/>
      <c r="M928" s="269" t="n"/>
      <c r="N928" s="269" t="n"/>
      <c r="O928" s="269" t="n"/>
      <c r="P928" s="269" t="n"/>
      <c r="Q928" s="269" t="n"/>
      <c r="R928" s="269" t="n"/>
      <c r="S928" s="269" t="n"/>
      <c r="T928" s="269" t="n"/>
      <c r="U928" s="269" t="n"/>
      <c r="V928" s="269" t="n"/>
      <c r="W928" s="270" t="n"/>
    </row>
    <row r="929" customFormat="1" s="163">
      <c r="A929" s="282" t="n"/>
      <c r="B929" s="277" t="n"/>
      <c r="C929" s="278" t="n"/>
      <c r="D929" s="269" t="n"/>
      <c r="E929" s="269" t="n"/>
      <c r="F929" s="269" t="n"/>
      <c r="G929" s="269" t="n"/>
      <c r="H929" s="269" t="n"/>
      <c r="I929" s="269" t="n"/>
      <c r="J929" s="269" t="n"/>
      <c r="K929" s="269" t="n"/>
      <c r="L929" s="269" t="n"/>
      <c r="M929" s="269" t="n"/>
      <c r="N929" s="269" t="n"/>
      <c r="O929" s="269" t="n"/>
      <c r="P929" s="269" t="n"/>
      <c r="Q929" s="269" t="n"/>
      <c r="R929" s="269" t="n"/>
      <c r="S929" s="269" t="n"/>
      <c r="T929" s="269" t="n"/>
      <c r="U929" s="269" t="n"/>
      <c r="V929" s="269" t="n"/>
      <c r="W929" s="270" t="n"/>
    </row>
    <row r="930" customFormat="1" s="163">
      <c r="A930" s="282" t="n"/>
      <c r="B930" s="277" t="n"/>
      <c r="C930" s="278" t="n"/>
      <c r="D930" s="269" t="n"/>
      <c r="E930" s="269" t="n"/>
      <c r="F930" s="269" t="n"/>
      <c r="G930" s="269" t="n"/>
      <c r="H930" s="269" t="n"/>
      <c r="I930" s="269" t="n"/>
      <c r="J930" s="269" t="n"/>
      <c r="K930" s="269" t="n"/>
      <c r="L930" s="269" t="n"/>
      <c r="M930" s="269" t="n"/>
      <c r="N930" s="269" t="n"/>
      <c r="O930" s="269" t="n"/>
      <c r="P930" s="269" t="n"/>
      <c r="Q930" s="269" t="n"/>
      <c r="R930" s="269" t="n"/>
      <c r="S930" s="269" t="n"/>
      <c r="T930" s="269" t="n"/>
      <c r="U930" s="269" t="n"/>
      <c r="V930" s="269" t="n"/>
      <c r="W930" s="270" t="n"/>
    </row>
    <row r="931" customFormat="1" s="163">
      <c r="A931" s="282" t="n"/>
      <c r="B931" s="277" t="n"/>
      <c r="C931" s="278" t="n"/>
      <c r="D931" s="269" t="n"/>
      <c r="E931" s="269" t="n"/>
      <c r="F931" s="269" t="n"/>
      <c r="G931" s="269" t="n"/>
      <c r="H931" s="269" t="n"/>
      <c r="I931" s="269" t="n"/>
      <c r="J931" s="269" t="n"/>
      <c r="K931" s="269" t="n"/>
      <c r="L931" s="269" t="n"/>
      <c r="M931" s="269" t="n"/>
      <c r="N931" s="269" t="n"/>
      <c r="O931" s="269" t="n"/>
      <c r="P931" s="269" t="n"/>
      <c r="Q931" s="269" t="n"/>
      <c r="R931" s="269" t="n"/>
      <c r="S931" s="269" t="n"/>
      <c r="T931" s="269" t="n"/>
      <c r="U931" s="269" t="n"/>
      <c r="V931" s="269" t="n"/>
      <c r="W931" s="270" t="n"/>
    </row>
    <row r="932" customFormat="1" s="163">
      <c r="A932" s="282" t="n"/>
      <c r="B932" s="277" t="n"/>
      <c r="C932" s="278" t="n"/>
      <c r="D932" s="269" t="n"/>
      <c r="E932" s="269" t="n"/>
      <c r="F932" s="269" t="n"/>
      <c r="G932" s="269" t="n"/>
      <c r="H932" s="269" t="n"/>
      <c r="I932" s="269" t="n"/>
      <c r="J932" s="269" t="n"/>
      <c r="K932" s="269" t="n"/>
      <c r="L932" s="269" t="n"/>
      <c r="M932" s="269" t="n"/>
      <c r="N932" s="269" t="n"/>
      <c r="O932" s="269" t="n"/>
      <c r="P932" s="269" t="n"/>
      <c r="Q932" s="269" t="n"/>
      <c r="R932" s="269" t="n"/>
      <c r="S932" s="269" t="n"/>
      <c r="T932" s="269" t="n"/>
      <c r="U932" s="269" t="n"/>
      <c r="V932" s="269" t="n"/>
      <c r="W932" s="270" t="n"/>
    </row>
    <row r="933" customFormat="1" s="163">
      <c r="A933" s="282" t="n"/>
      <c r="B933" s="277" t="n"/>
      <c r="C933" s="278" t="n"/>
      <c r="D933" s="269" t="n"/>
      <c r="E933" s="269" t="n"/>
      <c r="F933" s="269" t="n"/>
      <c r="G933" s="269" t="n"/>
      <c r="H933" s="269" t="n"/>
      <c r="I933" s="269" t="n"/>
      <c r="J933" s="269" t="n"/>
      <c r="K933" s="269" t="n"/>
      <c r="L933" s="269" t="n"/>
      <c r="M933" s="269" t="n"/>
      <c r="N933" s="269" t="n"/>
      <c r="O933" s="269" t="n"/>
      <c r="P933" s="269" t="n"/>
      <c r="Q933" s="269" t="n"/>
      <c r="R933" s="269" t="n"/>
      <c r="S933" s="269" t="n"/>
      <c r="T933" s="269" t="n"/>
      <c r="U933" s="269" t="n"/>
      <c r="V933" s="269" t="n"/>
      <c r="W933" s="270" t="n"/>
    </row>
    <row r="934" customFormat="1" s="163">
      <c r="A934" s="282" t="n"/>
      <c r="B934" s="277" t="n"/>
      <c r="C934" s="278" t="n"/>
      <c r="D934" s="269" t="n"/>
      <c r="E934" s="269" t="n"/>
      <c r="F934" s="269" t="n"/>
      <c r="G934" s="269" t="n"/>
      <c r="H934" s="269" t="n"/>
      <c r="I934" s="269" t="n"/>
      <c r="J934" s="269" t="n"/>
      <c r="K934" s="269" t="n"/>
      <c r="L934" s="269" t="n"/>
      <c r="M934" s="269" t="n"/>
      <c r="N934" s="269" t="n"/>
      <c r="O934" s="269" t="n"/>
      <c r="P934" s="269" t="n"/>
      <c r="Q934" s="269" t="n"/>
      <c r="R934" s="269" t="n"/>
      <c r="S934" s="269" t="n"/>
      <c r="T934" s="269" t="n"/>
      <c r="U934" s="269" t="n"/>
      <c r="V934" s="269" t="n"/>
      <c r="W934" s="270" t="n"/>
    </row>
    <row r="935" customFormat="1" s="163">
      <c r="A935" s="282" t="n"/>
      <c r="B935" s="277" t="n"/>
      <c r="C935" s="278" t="n"/>
      <c r="D935" s="269" t="n"/>
      <c r="E935" s="269" t="n"/>
      <c r="F935" s="269" t="n"/>
      <c r="G935" s="269" t="n"/>
      <c r="H935" s="269" t="n"/>
      <c r="I935" s="269" t="n"/>
      <c r="J935" s="269" t="n"/>
      <c r="K935" s="269" t="n"/>
      <c r="L935" s="269" t="n"/>
      <c r="M935" s="269" t="n"/>
      <c r="N935" s="269" t="n"/>
      <c r="O935" s="269" t="n"/>
      <c r="P935" s="269" t="n"/>
      <c r="Q935" s="269" t="n"/>
      <c r="R935" s="269" t="n"/>
      <c r="S935" s="269" t="n"/>
      <c r="T935" s="269" t="n"/>
      <c r="U935" s="269" t="n"/>
      <c r="V935" s="269" t="n"/>
      <c r="W935" s="270" t="n"/>
    </row>
    <row r="936" customFormat="1" s="163">
      <c r="A936" s="282" t="n"/>
      <c r="B936" s="277" t="n"/>
      <c r="C936" s="278" t="n"/>
      <c r="D936" s="269" t="n"/>
      <c r="E936" s="269" t="n"/>
      <c r="F936" s="269" t="n"/>
      <c r="G936" s="269" t="n"/>
      <c r="H936" s="269" t="n"/>
      <c r="I936" s="269" t="n"/>
      <c r="J936" s="269" t="n"/>
      <c r="K936" s="269" t="n"/>
      <c r="L936" s="269" t="n"/>
      <c r="M936" s="269" t="n"/>
      <c r="N936" s="269" t="n"/>
      <c r="O936" s="269" t="n"/>
      <c r="P936" s="269" t="n"/>
      <c r="Q936" s="269" t="n"/>
      <c r="R936" s="269" t="n"/>
      <c r="S936" s="269" t="n"/>
      <c r="T936" s="269" t="n"/>
      <c r="U936" s="269" t="n"/>
      <c r="V936" s="269" t="n"/>
      <c r="W936" s="270" t="n"/>
    </row>
    <row r="937" customFormat="1" s="163">
      <c r="A937" s="282" t="n"/>
      <c r="B937" s="277" t="n"/>
      <c r="C937" s="278" t="n"/>
      <c r="D937" s="269" t="n"/>
      <c r="E937" s="269" t="n"/>
      <c r="F937" s="269" t="n"/>
      <c r="G937" s="269" t="n"/>
      <c r="H937" s="269" t="n"/>
      <c r="I937" s="269" t="n"/>
      <c r="J937" s="269" t="n"/>
      <c r="K937" s="269" t="n"/>
      <c r="L937" s="269" t="n"/>
      <c r="M937" s="269" t="n"/>
      <c r="N937" s="269" t="n"/>
      <c r="O937" s="269" t="n"/>
      <c r="P937" s="269" t="n"/>
      <c r="Q937" s="269" t="n"/>
      <c r="R937" s="269" t="n"/>
      <c r="S937" s="269" t="n"/>
      <c r="T937" s="269" t="n"/>
      <c r="U937" s="269" t="n"/>
      <c r="V937" s="269" t="n"/>
      <c r="W937" s="270" t="n"/>
    </row>
    <row r="938" customFormat="1" s="163">
      <c r="A938" s="282" t="n"/>
      <c r="B938" s="277" t="n"/>
      <c r="C938" s="278" t="n"/>
      <c r="D938" s="269" t="n"/>
      <c r="E938" s="269" t="n"/>
      <c r="F938" s="269" t="n"/>
      <c r="G938" s="269" t="n"/>
      <c r="H938" s="269" t="n"/>
      <c r="I938" s="269" t="n"/>
      <c r="J938" s="269" t="n"/>
      <c r="K938" s="269" t="n"/>
      <c r="L938" s="269" t="n"/>
      <c r="M938" s="269" t="n"/>
      <c r="N938" s="269" t="n"/>
      <c r="O938" s="269" t="n"/>
      <c r="P938" s="269" t="n"/>
      <c r="Q938" s="269" t="n"/>
      <c r="R938" s="269" t="n"/>
      <c r="S938" s="269" t="n"/>
      <c r="T938" s="269" t="n"/>
      <c r="U938" s="269" t="n"/>
      <c r="V938" s="269" t="n"/>
      <c r="W938" s="270" t="n"/>
    </row>
    <row r="939" customFormat="1" s="163">
      <c r="A939" s="282" t="n"/>
      <c r="B939" s="277" t="n"/>
      <c r="C939" s="278" t="n"/>
      <c r="D939" s="269" t="n"/>
      <c r="E939" s="269" t="n"/>
      <c r="F939" s="269" t="n"/>
      <c r="G939" s="269" t="n"/>
      <c r="H939" s="269" t="n"/>
      <c r="I939" s="269" t="n"/>
      <c r="J939" s="269" t="n"/>
      <c r="K939" s="269" t="n"/>
      <c r="L939" s="269" t="n"/>
      <c r="M939" s="269" t="n"/>
      <c r="N939" s="269" t="n"/>
      <c r="O939" s="269" t="n"/>
      <c r="P939" s="269" t="n"/>
      <c r="Q939" s="269" t="n"/>
      <c r="R939" s="269" t="n"/>
      <c r="S939" s="269" t="n"/>
      <c r="T939" s="269" t="n"/>
      <c r="U939" s="269" t="n"/>
      <c r="V939" s="269" t="n"/>
      <c r="W939" s="270" t="n"/>
    </row>
    <row r="940" customFormat="1" s="163">
      <c r="A940" s="282" t="n"/>
      <c r="B940" s="277" t="n"/>
      <c r="C940" s="278" t="n"/>
      <c r="D940" s="269" t="n"/>
      <c r="E940" s="269" t="n"/>
      <c r="F940" s="269" t="n"/>
      <c r="G940" s="269" t="n"/>
      <c r="H940" s="269" t="n"/>
      <c r="I940" s="269" t="n"/>
      <c r="J940" s="269" t="n"/>
      <c r="K940" s="269" t="n"/>
      <c r="L940" s="269" t="n"/>
      <c r="M940" s="269" t="n"/>
      <c r="N940" s="269" t="n"/>
      <c r="O940" s="269" t="n"/>
      <c r="P940" s="269" t="n"/>
      <c r="Q940" s="269" t="n"/>
      <c r="R940" s="269" t="n"/>
      <c r="S940" s="269" t="n"/>
      <c r="T940" s="269" t="n"/>
      <c r="U940" s="269" t="n"/>
      <c r="V940" s="269" t="n"/>
      <c r="W940" s="270" t="n"/>
    </row>
    <row r="941" customFormat="1" s="163">
      <c r="A941" s="282" t="n"/>
      <c r="B941" s="277" t="n"/>
      <c r="C941" s="278" t="n"/>
      <c r="D941" s="269" t="n"/>
      <c r="E941" s="269" t="n"/>
      <c r="F941" s="269" t="n"/>
      <c r="G941" s="269" t="n"/>
      <c r="H941" s="269" t="n"/>
      <c r="I941" s="269" t="n"/>
      <c r="J941" s="269" t="n"/>
      <c r="K941" s="269" t="n"/>
      <c r="L941" s="269" t="n"/>
      <c r="M941" s="269" t="n"/>
      <c r="N941" s="269" t="n"/>
      <c r="O941" s="269" t="n"/>
      <c r="P941" s="269" t="n"/>
      <c r="Q941" s="269" t="n"/>
      <c r="R941" s="269" t="n"/>
      <c r="S941" s="269" t="n"/>
      <c r="T941" s="269" t="n"/>
      <c r="U941" s="269" t="n"/>
      <c r="V941" s="269" t="n"/>
      <c r="W941" s="270" t="n"/>
    </row>
    <row r="942" customFormat="1" s="163">
      <c r="A942" s="282" t="n"/>
      <c r="B942" s="277" t="n"/>
      <c r="C942" s="278" t="n"/>
      <c r="D942" s="269" t="n"/>
      <c r="E942" s="269" t="n"/>
      <c r="F942" s="269" t="n"/>
      <c r="G942" s="269" t="n"/>
      <c r="H942" s="269" t="n"/>
      <c r="I942" s="269" t="n"/>
      <c r="J942" s="269" t="n"/>
      <c r="K942" s="269" t="n"/>
      <c r="L942" s="269" t="n"/>
      <c r="M942" s="269" t="n"/>
      <c r="N942" s="269" t="n"/>
      <c r="O942" s="269" t="n"/>
      <c r="P942" s="269" t="n"/>
      <c r="Q942" s="269" t="n"/>
      <c r="R942" s="269" t="n"/>
      <c r="S942" s="269" t="n"/>
      <c r="T942" s="269" t="n"/>
      <c r="U942" s="269" t="n"/>
      <c r="V942" s="269" t="n"/>
      <c r="W942" s="270" t="n"/>
    </row>
    <row r="943" customFormat="1" s="163">
      <c r="A943" s="282" t="n"/>
      <c r="B943" s="277" t="n"/>
      <c r="C943" s="278" t="n"/>
      <c r="D943" s="269" t="n"/>
      <c r="E943" s="269" t="n"/>
      <c r="F943" s="269" t="n"/>
      <c r="G943" s="269" t="n"/>
      <c r="H943" s="269" t="n"/>
      <c r="I943" s="269" t="n"/>
      <c r="J943" s="269" t="n"/>
      <c r="K943" s="269" t="n"/>
      <c r="L943" s="269" t="n"/>
      <c r="M943" s="269" t="n"/>
      <c r="N943" s="269" t="n"/>
      <c r="O943" s="269" t="n"/>
      <c r="P943" s="269" t="n"/>
      <c r="Q943" s="269" t="n"/>
      <c r="R943" s="269" t="n"/>
      <c r="S943" s="269" t="n"/>
      <c r="T943" s="269" t="n"/>
      <c r="U943" s="269" t="n"/>
      <c r="V943" s="269" t="n"/>
      <c r="W943" s="270" t="n"/>
    </row>
    <row r="944" customFormat="1" s="163">
      <c r="A944" s="282" t="n"/>
      <c r="B944" s="277" t="n"/>
      <c r="C944" s="278" t="n"/>
      <c r="D944" s="269" t="n"/>
      <c r="E944" s="269" t="n"/>
      <c r="F944" s="269" t="n"/>
      <c r="G944" s="269" t="n"/>
      <c r="H944" s="269" t="n"/>
      <c r="I944" s="269" t="n"/>
      <c r="J944" s="269" t="n"/>
      <c r="K944" s="269" t="n"/>
      <c r="L944" s="269" t="n"/>
      <c r="M944" s="269" t="n"/>
      <c r="N944" s="269" t="n"/>
      <c r="O944" s="269" t="n"/>
      <c r="P944" s="269" t="n"/>
      <c r="Q944" s="269" t="n"/>
      <c r="R944" s="269" t="n"/>
      <c r="S944" s="269" t="n"/>
      <c r="T944" s="269" t="n"/>
      <c r="U944" s="269" t="n"/>
      <c r="V944" s="269" t="n"/>
      <c r="W944" s="270" t="n"/>
    </row>
    <row r="945" customFormat="1" s="163">
      <c r="A945" s="282" t="n"/>
      <c r="B945" s="277" t="n"/>
      <c r="C945" s="278" t="n"/>
      <c r="D945" s="269" t="n"/>
      <c r="E945" s="269" t="n"/>
      <c r="F945" s="269" t="n"/>
      <c r="G945" s="269" t="n"/>
      <c r="H945" s="269" t="n"/>
      <c r="I945" s="269" t="n"/>
      <c r="J945" s="269" t="n"/>
      <c r="K945" s="269" t="n"/>
      <c r="L945" s="269" t="n"/>
      <c r="M945" s="269" t="n"/>
      <c r="N945" s="269" t="n"/>
      <c r="O945" s="269" t="n"/>
      <c r="P945" s="269" t="n"/>
      <c r="Q945" s="269" t="n"/>
      <c r="R945" s="269" t="n"/>
      <c r="S945" s="269" t="n"/>
      <c r="T945" s="269" t="n"/>
      <c r="U945" s="269" t="n"/>
      <c r="V945" s="269" t="n"/>
      <c r="W945" s="270" t="n"/>
    </row>
    <row r="946" customFormat="1" s="163">
      <c r="A946" s="282" t="n"/>
      <c r="B946" s="277" t="n"/>
      <c r="C946" s="278" t="n"/>
      <c r="D946" s="269" t="n"/>
      <c r="E946" s="269" t="n"/>
      <c r="F946" s="269" t="n"/>
      <c r="G946" s="269" t="n"/>
      <c r="H946" s="269" t="n"/>
      <c r="I946" s="269" t="n"/>
      <c r="J946" s="269" t="n"/>
      <c r="K946" s="269" t="n"/>
      <c r="L946" s="269" t="n"/>
      <c r="M946" s="269" t="n"/>
      <c r="N946" s="269" t="n"/>
      <c r="O946" s="269" t="n"/>
      <c r="P946" s="269" t="n"/>
      <c r="Q946" s="269" t="n"/>
      <c r="R946" s="269" t="n"/>
      <c r="S946" s="269" t="n"/>
      <c r="T946" s="269" t="n"/>
      <c r="U946" s="269" t="n"/>
      <c r="V946" s="269" t="n"/>
      <c r="W946" s="270" t="n"/>
    </row>
    <row r="947" customFormat="1" s="163">
      <c r="A947" s="282" t="n"/>
      <c r="B947" s="277" t="n"/>
      <c r="C947" s="278" t="n"/>
      <c r="D947" s="269" t="n"/>
      <c r="E947" s="269" t="n"/>
      <c r="F947" s="269" t="n"/>
      <c r="G947" s="269" t="n"/>
      <c r="H947" s="269" t="n"/>
      <c r="I947" s="269" t="n"/>
      <c r="J947" s="269" t="n"/>
      <c r="K947" s="269" t="n"/>
      <c r="L947" s="269" t="n"/>
      <c r="M947" s="269" t="n"/>
      <c r="N947" s="269" t="n"/>
      <c r="O947" s="269" t="n"/>
      <c r="P947" s="269" t="n"/>
      <c r="Q947" s="269" t="n"/>
      <c r="R947" s="269" t="n"/>
      <c r="S947" s="269" t="n"/>
      <c r="T947" s="269" t="n"/>
      <c r="U947" s="269" t="n"/>
      <c r="V947" s="269" t="n"/>
      <c r="W947" s="270" t="n"/>
    </row>
    <row r="948" customFormat="1" s="163">
      <c r="A948" s="282" t="n"/>
      <c r="B948" s="277" t="n"/>
      <c r="C948" s="278" t="n"/>
      <c r="D948" s="269" t="n"/>
      <c r="E948" s="269" t="n"/>
      <c r="F948" s="269" t="n"/>
      <c r="G948" s="269" t="n"/>
      <c r="H948" s="269" t="n"/>
      <c r="I948" s="269" t="n"/>
      <c r="J948" s="269" t="n"/>
      <c r="K948" s="269" t="n"/>
      <c r="L948" s="269" t="n"/>
      <c r="M948" s="269" t="n"/>
      <c r="N948" s="269" t="n"/>
      <c r="O948" s="269" t="n"/>
      <c r="P948" s="269" t="n"/>
      <c r="Q948" s="269" t="n"/>
      <c r="R948" s="269" t="n"/>
      <c r="S948" s="269" t="n"/>
      <c r="T948" s="269" t="n"/>
      <c r="U948" s="269" t="n"/>
      <c r="V948" s="269" t="n"/>
      <c r="W948" s="270" t="n"/>
    </row>
    <row r="949" customFormat="1" s="163">
      <c r="A949" s="282" t="n"/>
      <c r="B949" s="277" t="n"/>
      <c r="C949" s="278" t="n"/>
      <c r="D949" s="269" t="n"/>
      <c r="E949" s="269" t="n"/>
      <c r="F949" s="269" t="n"/>
      <c r="G949" s="269" t="n"/>
      <c r="H949" s="269" t="n"/>
      <c r="I949" s="269" t="n"/>
      <c r="J949" s="269" t="n"/>
      <c r="K949" s="269" t="n"/>
      <c r="L949" s="269" t="n"/>
      <c r="M949" s="269" t="n"/>
      <c r="N949" s="269" t="n"/>
      <c r="O949" s="269" t="n"/>
      <c r="P949" s="269" t="n"/>
      <c r="Q949" s="269" t="n"/>
      <c r="R949" s="269" t="n"/>
      <c r="S949" s="269" t="n"/>
      <c r="T949" s="269" t="n"/>
      <c r="U949" s="269" t="n"/>
      <c r="V949" s="269" t="n"/>
      <c r="W949" s="270" t="n"/>
    </row>
    <row r="950" customFormat="1" s="163">
      <c r="A950" s="282" t="n"/>
      <c r="B950" s="277" t="n"/>
      <c r="C950" s="278" t="n"/>
      <c r="D950" s="269" t="n"/>
      <c r="E950" s="269" t="n"/>
      <c r="F950" s="269" t="n"/>
      <c r="G950" s="269" t="n"/>
      <c r="H950" s="269" t="n"/>
      <c r="I950" s="269" t="n"/>
      <c r="J950" s="269" t="n"/>
      <c r="K950" s="269" t="n"/>
      <c r="L950" s="269" t="n"/>
      <c r="M950" s="269" t="n"/>
      <c r="N950" s="269" t="n"/>
      <c r="O950" s="269" t="n"/>
      <c r="P950" s="269" t="n"/>
      <c r="Q950" s="269" t="n"/>
      <c r="R950" s="269" t="n"/>
      <c r="S950" s="269" t="n"/>
      <c r="T950" s="269" t="n"/>
      <c r="U950" s="269" t="n"/>
      <c r="V950" s="269" t="n"/>
      <c r="W950" s="270" t="n"/>
    </row>
    <row r="951" customFormat="1" s="163">
      <c r="A951" s="282" t="n"/>
      <c r="B951" s="277" t="n"/>
      <c r="C951" s="278" t="n"/>
      <c r="D951" s="269" t="n"/>
      <c r="E951" s="269" t="n"/>
      <c r="F951" s="269" t="n"/>
      <c r="G951" s="269" t="n"/>
      <c r="H951" s="269" t="n"/>
      <c r="I951" s="269" t="n"/>
      <c r="J951" s="269" t="n"/>
      <c r="K951" s="269" t="n"/>
      <c r="L951" s="269" t="n"/>
      <c r="M951" s="269" t="n"/>
      <c r="N951" s="269" t="n"/>
      <c r="O951" s="269" t="n"/>
      <c r="P951" s="269" t="n"/>
      <c r="Q951" s="269" t="n"/>
      <c r="R951" s="269" t="n"/>
      <c r="S951" s="269" t="n"/>
      <c r="T951" s="269" t="n"/>
      <c r="U951" s="269" t="n"/>
      <c r="V951" s="269" t="n"/>
      <c r="W951" s="270" t="n"/>
    </row>
    <row r="952" customFormat="1" s="163">
      <c r="A952" s="282" t="n"/>
      <c r="B952" s="277" t="n"/>
      <c r="C952" s="278" t="n"/>
      <c r="D952" s="269" t="n"/>
      <c r="E952" s="269" t="n"/>
      <c r="F952" s="269" t="n"/>
      <c r="G952" s="269" t="n"/>
      <c r="H952" s="269" t="n"/>
      <c r="I952" s="269" t="n"/>
      <c r="J952" s="269" t="n"/>
      <c r="K952" s="269" t="n"/>
      <c r="L952" s="269" t="n"/>
      <c r="M952" s="269" t="n"/>
      <c r="N952" s="269" t="n"/>
      <c r="O952" s="269" t="n"/>
      <c r="P952" s="269" t="n"/>
      <c r="Q952" s="269" t="n"/>
      <c r="R952" s="269" t="n"/>
      <c r="S952" s="269" t="n"/>
      <c r="T952" s="269" t="n"/>
      <c r="U952" s="269" t="n"/>
      <c r="V952" s="269" t="n"/>
      <c r="W952" s="270" t="n"/>
    </row>
    <row r="953" customFormat="1" s="163">
      <c r="A953" s="282" t="n"/>
      <c r="B953" s="277" t="n"/>
      <c r="C953" s="278" t="n"/>
      <c r="D953" s="269" t="n"/>
      <c r="E953" s="269" t="n"/>
      <c r="F953" s="269" t="n"/>
      <c r="G953" s="269" t="n"/>
      <c r="H953" s="269" t="n"/>
      <c r="I953" s="269" t="n"/>
      <c r="J953" s="269" t="n"/>
      <c r="K953" s="269" t="n"/>
      <c r="L953" s="269" t="n"/>
      <c r="M953" s="269" t="n"/>
      <c r="N953" s="269" t="n"/>
      <c r="O953" s="269" t="n"/>
      <c r="P953" s="269" t="n"/>
      <c r="Q953" s="269" t="n"/>
      <c r="R953" s="269" t="n"/>
      <c r="S953" s="269" t="n"/>
      <c r="T953" s="269" t="n"/>
      <c r="U953" s="269" t="n"/>
      <c r="V953" s="269" t="n"/>
      <c r="W953" s="270" t="n"/>
    </row>
    <row r="954" customFormat="1" s="163">
      <c r="A954" s="282" t="n"/>
      <c r="B954" s="277" t="n"/>
      <c r="C954" s="278" t="n"/>
      <c r="D954" s="269" t="n"/>
      <c r="E954" s="269" t="n"/>
      <c r="F954" s="269" t="n"/>
      <c r="G954" s="269" t="n"/>
      <c r="H954" s="269" t="n"/>
      <c r="I954" s="269" t="n"/>
      <c r="J954" s="269" t="n"/>
      <c r="K954" s="269" t="n"/>
      <c r="L954" s="269" t="n"/>
      <c r="M954" s="269" t="n"/>
      <c r="N954" s="269" t="n"/>
      <c r="O954" s="269" t="n"/>
      <c r="P954" s="269" t="n"/>
      <c r="Q954" s="269" t="n"/>
      <c r="R954" s="269" t="n"/>
      <c r="S954" s="269" t="n"/>
      <c r="T954" s="269" t="n"/>
      <c r="U954" s="269" t="n"/>
      <c r="V954" s="269" t="n"/>
      <c r="W954" s="270" t="n"/>
    </row>
    <row r="955" customFormat="1" s="163">
      <c r="A955" s="282" t="n"/>
      <c r="B955" s="277" t="n"/>
      <c r="C955" s="278" t="n"/>
      <c r="D955" s="269" t="n"/>
      <c r="E955" s="269" t="n"/>
      <c r="F955" s="269" t="n"/>
      <c r="G955" s="269" t="n"/>
      <c r="H955" s="269" t="n"/>
      <c r="I955" s="269" t="n"/>
      <c r="J955" s="269" t="n"/>
      <c r="K955" s="269" t="n"/>
      <c r="L955" s="269" t="n"/>
      <c r="M955" s="269" t="n"/>
      <c r="N955" s="269" t="n"/>
      <c r="O955" s="269" t="n"/>
      <c r="P955" s="269" t="n"/>
      <c r="Q955" s="269" t="n"/>
      <c r="R955" s="269" t="n"/>
      <c r="S955" s="269" t="n"/>
      <c r="T955" s="269" t="n"/>
      <c r="U955" s="269" t="n"/>
      <c r="V955" s="269" t="n"/>
      <c r="W955" s="270" t="n"/>
    </row>
    <row r="956" customFormat="1" s="163">
      <c r="A956" s="282" t="n"/>
      <c r="B956" s="277" t="n"/>
      <c r="C956" s="278" t="n"/>
      <c r="D956" s="269" t="n"/>
      <c r="E956" s="269" t="n"/>
      <c r="F956" s="269" t="n"/>
      <c r="G956" s="269" t="n"/>
      <c r="H956" s="269" t="n"/>
      <c r="I956" s="269" t="n"/>
      <c r="J956" s="269" t="n"/>
      <c r="K956" s="269" t="n"/>
      <c r="L956" s="269" t="n"/>
      <c r="M956" s="269" t="n"/>
      <c r="N956" s="269" t="n"/>
      <c r="O956" s="269" t="n"/>
      <c r="P956" s="269" t="n"/>
      <c r="Q956" s="269" t="n"/>
      <c r="R956" s="269" t="n"/>
      <c r="S956" s="269" t="n"/>
      <c r="T956" s="269" t="n"/>
      <c r="U956" s="269" t="n"/>
      <c r="V956" s="269" t="n"/>
      <c r="W956" s="270" t="n"/>
    </row>
    <row r="957" customFormat="1" s="163">
      <c r="A957" s="282" t="n"/>
      <c r="B957" s="277" t="n"/>
      <c r="C957" s="278" t="n"/>
      <c r="D957" s="269" t="n"/>
      <c r="E957" s="269" t="n"/>
      <c r="F957" s="269" t="n"/>
      <c r="G957" s="269" t="n"/>
      <c r="H957" s="269" t="n"/>
      <c r="I957" s="269" t="n"/>
      <c r="J957" s="269" t="n"/>
      <c r="K957" s="269" t="n"/>
      <c r="L957" s="269" t="n"/>
      <c r="M957" s="269" t="n"/>
      <c r="N957" s="269" t="n"/>
      <c r="O957" s="269" t="n"/>
      <c r="P957" s="269" t="n"/>
      <c r="Q957" s="269" t="n"/>
      <c r="R957" s="269" t="n"/>
      <c r="S957" s="269" t="n"/>
      <c r="T957" s="269" t="n"/>
      <c r="U957" s="269" t="n"/>
      <c r="V957" s="269" t="n"/>
      <c r="W957" s="270" t="n"/>
    </row>
    <row r="958" customFormat="1" s="163">
      <c r="A958" s="282" t="n"/>
      <c r="B958" s="277" t="n"/>
      <c r="C958" s="278" t="n"/>
      <c r="D958" s="269" t="n"/>
      <c r="E958" s="269" t="n"/>
      <c r="F958" s="269" t="n"/>
      <c r="G958" s="269" t="n"/>
      <c r="H958" s="269" t="n"/>
      <c r="I958" s="269" t="n"/>
      <c r="J958" s="269" t="n"/>
      <c r="K958" s="269" t="n"/>
      <c r="L958" s="269" t="n"/>
      <c r="M958" s="269" t="n"/>
      <c r="N958" s="269" t="n"/>
      <c r="O958" s="269" t="n"/>
      <c r="P958" s="269" t="n"/>
      <c r="Q958" s="269" t="n"/>
      <c r="R958" s="269" t="n"/>
      <c r="S958" s="269" t="n"/>
      <c r="T958" s="269" t="n"/>
      <c r="U958" s="269" t="n"/>
      <c r="V958" s="269" t="n"/>
      <c r="W958" s="270" t="n"/>
    </row>
    <row r="959" customFormat="1" s="163">
      <c r="A959" s="282" t="n"/>
      <c r="B959" s="277" t="n"/>
      <c r="C959" s="278" t="n"/>
      <c r="D959" s="269" t="n"/>
      <c r="E959" s="269" t="n"/>
      <c r="F959" s="269" t="n"/>
      <c r="G959" s="269" t="n"/>
      <c r="H959" s="269" t="n"/>
      <c r="I959" s="269" t="n"/>
      <c r="J959" s="269" t="n"/>
      <c r="K959" s="269" t="n"/>
      <c r="L959" s="269" t="n"/>
      <c r="M959" s="269" t="n"/>
      <c r="N959" s="269" t="n"/>
      <c r="O959" s="269" t="n"/>
      <c r="P959" s="269" t="n"/>
      <c r="Q959" s="269" t="n"/>
      <c r="R959" s="269" t="n"/>
      <c r="S959" s="269" t="n"/>
      <c r="T959" s="269" t="n"/>
      <c r="U959" s="269" t="n"/>
      <c r="V959" s="269" t="n"/>
      <c r="W959" s="270" t="n"/>
    </row>
    <row r="960" customFormat="1" s="163">
      <c r="A960" s="282" t="n"/>
      <c r="B960" s="277" t="n"/>
      <c r="C960" s="278" t="n"/>
      <c r="D960" s="269" t="n"/>
      <c r="E960" s="269" t="n"/>
      <c r="F960" s="269" t="n"/>
      <c r="G960" s="269" t="n"/>
      <c r="H960" s="269" t="n"/>
      <c r="I960" s="269" t="n"/>
      <c r="J960" s="269" t="n"/>
      <c r="K960" s="269" t="n"/>
      <c r="L960" s="269" t="n"/>
      <c r="M960" s="269" t="n"/>
      <c r="N960" s="269" t="n"/>
      <c r="O960" s="269" t="n"/>
      <c r="P960" s="269" t="n"/>
      <c r="Q960" s="269" t="n"/>
      <c r="R960" s="269" t="n"/>
      <c r="S960" s="269" t="n"/>
      <c r="T960" s="269" t="n"/>
      <c r="U960" s="269" t="n"/>
      <c r="V960" s="269" t="n"/>
      <c r="W960" s="270" t="n"/>
    </row>
    <row r="961" customFormat="1" s="163">
      <c r="A961" s="282" t="n"/>
      <c r="B961" s="277" t="n"/>
      <c r="C961" s="278" t="n"/>
      <c r="D961" s="269" t="n"/>
      <c r="E961" s="269" t="n"/>
      <c r="F961" s="269" t="n"/>
      <c r="G961" s="269" t="n"/>
      <c r="H961" s="269" t="n"/>
      <c r="I961" s="269" t="n"/>
      <c r="J961" s="269" t="n"/>
      <c r="K961" s="269" t="n"/>
      <c r="L961" s="269" t="n"/>
      <c r="M961" s="269" t="n"/>
      <c r="N961" s="269" t="n"/>
      <c r="O961" s="269" t="n"/>
      <c r="P961" s="269" t="n"/>
      <c r="Q961" s="269" t="n"/>
      <c r="R961" s="269" t="n"/>
      <c r="S961" s="269" t="n"/>
      <c r="T961" s="269" t="n"/>
      <c r="U961" s="269" t="n"/>
      <c r="V961" s="269" t="n"/>
      <c r="W961" s="270" t="n"/>
    </row>
    <row r="962" customFormat="1" s="163">
      <c r="A962" s="282" t="n"/>
      <c r="B962" s="277" t="n"/>
      <c r="C962" s="278" t="n"/>
      <c r="D962" s="269" t="n"/>
      <c r="E962" s="269" t="n"/>
      <c r="F962" s="269" t="n"/>
      <c r="G962" s="269" t="n"/>
      <c r="H962" s="269" t="n"/>
      <c r="I962" s="269" t="n"/>
      <c r="J962" s="269" t="n"/>
      <c r="K962" s="269" t="n"/>
      <c r="L962" s="269" t="n"/>
      <c r="M962" s="269" t="n"/>
      <c r="N962" s="269" t="n"/>
      <c r="O962" s="269" t="n"/>
      <c r="P962" s="269" t="n"/>
      <c r="Q962" s="269" t="n"/>
      <c r="R962" s="269" t="n"/>
      <c r="S962" s="269" t="n"/>
      <c r="T962" s="269" t="n"/>
      <c r="U962" s="269" t="n"/>
      <c r="V962" s="269" t="n"/>
      <c r="W962" s="270" t="n"/>
    </row>
    <row r="963" customFormat="1" s="163">
      <c r="A963" s="282" t="n"/>
      <c r="B963" s="277" t="n"/>
      <c r="C963" s="278" t="n"/>
      <c r="D963" s="269" t="n"/>
      <c r="E963" s="269" t="n"/>
      <c r="F963" s="269" t="n"/>
      <c r="G963" s="269" t="n"/>
      <c r="H963" s="269" t="n"/>
      <c r="I963" s="269" t="n"/>
      <c r="J963" s="269" t="n"/>
      <c r="K963" s="269" t="n"/>
      <c r="L963" s="269" t="n"/>
      <c r="M963" s="269" t="n"/>
      <c r="N963" s="269" t="n"/>
      <c r="O963" s="269" t="n"/>
      <c r="P963" s="269" t="n"/>
      <c r="Q963" s="269" t="n"/>
      <c r="R963" s="269" t="n"/>
      <c r="S963" s="269" t="n"/>
      <c r="T963" s="269" t="n"/>
      <c r="U963" s="269" t="n"/>
      <c r="V963" s="269" t="n"/>
      <c r="W963" s="270" t="n"/>
    </row>
    <row r="964" customFormat="1" s="163">
      <c r="A964" s="282" t="n"/>
      <c r="B964" s="277" t="n"/>
      <c r="C964" s="278" t="n"/>
      <c r="D964" s="269" t="n"/>
      <c r="E964" s="269" t="n"/>
      <c r="F964" s="269" t="n"/>
      <c r="G964" s="269" t="n"/>
      <c r="H964" s="269" t="n"/>
      <c r="I964" s="269" t="n"/>
      <c r="J964" s="269" t="n"/>
      <c r="K964" s="269" t="n"/>
      <c r="L964" s="269" t="n"/>
      <c r="M964" s="269" t="n"/>
      <c r="N964" s="269" t="n"/>
      <c r="O964" s="269" t="n"/>
      <c r="P964" s="269" t="n"/>
      <c r="Q964" s="269" t="n"/>
      <c r="R964" s="269" t="n"/>
      <c r="S964" s="269" t="n"/>
      <c r="T964" s="269" t="n"/>
      <c r="U964" s="269" t="n"/>
      <c r="V964" s="269" t="n"/>
      <c r="W964" s="270" t="n"/>
    </row>
    <row r="965" customFormat="1" s="163">
      <c r="A965" s="282" t="n"/>
      <c r="B965" s="277" t="n"/>
      <c r="C965" s="278" t="n"/>
      <c r="D965" s="269" t="n"/>
      <c r="E965" s="269" t="n"/>
      <c r="F965" s="269" t="n"/>
      <c r="G965" s="269" t="n"/>
      <c r="H965" s="269" t="n"/>
      <c r="I965" s="269" t="n"/>
      <c r="J965" s="269" t="n"/>
      <c r="K965" s="269" t="n"/>
      <c r="L965" s="269" t="n"/>
      <c r="M965" s="269" t="n"/>
      <c r="N965" s="269" t="n"/>
      <c r="O965" s="269" t="n"/>
      <c r="P965" s="269" t="n"/>
      <c r="Q965" s="269" t="n"/>
      <c r="R965" s="269" t="n"/>
      <c r="S965" s="269" t="n"/>
      <c r="T965" s="269" t="n"/>
      <c r="U965" s="269" t="n"/>
      <c r="V965" s="269" t="n"/>
      <c r="W965" s="270" t="n"/>
    </row>
    <row r="966" customFormat="1" s="163">
      <c r="A966" s="282" t="n"/>
      <c r="B966" s="277" t="n"/>
      <c r="C966" s="278" t="n"/>
      <c r="D966" s="269" t="n"/>
      <c r="E966" s="269" t="n"/>
      <c r="F966" s="269" t="n"/>
      <c r="G966" s="269" t="n"/>
      <c r="H966" s="269" t="n"/>
      <c r="I966" s="269" t="n"/>
      <c r="J966" s="269" t="n"/>
      <c r="K966" s="269" t="n"/>
      <c r="L966" s="269" t="n"/>
      <c r="M966" s="269" t="n"/>
      <c r="N966" s="269" t="n"/>
      <c r="O966" s="269" t="n"/>
      <c r="P966" s="269" t="n"/>
      <c r="Q966" s="269" t="n"/>
      <c r="R966" s="269" t="n"/>
      <c r="S966" s="269" t="n"/>
      <c r="T966" s="269" t="n"/>
      <c r="U966" s="269" t="n"/>
      <c r="V966" s="269" t="n"/>
      <c r="W966" s="270" t="n"/>
    </row>
    <row r="967" customFormat="1" s="163">
      <c r="A967" s="282" t="n"/>
      <c r="B967" s="277" t="n"/>
      <c r="C967" s="278" t="n"/>
      <c r="D967" s="269" t="n"/>
      <c r="E967" s="269" t="n"/>
      <c r="F967" s="269" t="n"/>
      <c r="G967" s="269" t="n"/>
      <c r="H967" s="269" t="n"/>
      <c r="I967" s="269" t="n"/>
      <c r="J967" s="269" t="n"/>
      <c r="K967" s="269" t="n"/>
      <c r="L967" s="269" t="n"/>
      <c r="M967" s="269" t="n"/>
      <c r="N967" s="269" t="n"/>
      <c r="O967" s="269" t="n"/>
      <c r="P967" s="269" t="n"/>
      <c r="Q967" s="269" t="n"/>
      <c r="R967" s="269" t="n"/>
      <c r="S967" s="269" t="n"/>
      <c r="T967" s="269" t="n"/>
      <c r="U967" s="269" t="n"/>
      <c r="V967" s="269" t="n"/>
      <c r="W967" s="270" t="n"/>
    </row>
    <row r="968" customFormat="1" s="163">
      <c r="A968" s="282" t="n"/>
      <c r="B968" s="277" t="n"/>
      <c r="C968" s="278" t="n"/>
      <c r="D968" s="269" t="n"/>
      <c r="E968" s="269" t="n"/>
      <c r="F968" s="269" t="n"/>
      <c r="G968" s="269" t="n"/>
      <c r="H968" s="269" t="n"/>
      <c r="I968" s="269" t="n"/>
      <c r="J968" s="269" t="n"/>
      <c r="K968" s="269" t="n"/>
      <c r="L968" s="269" t="n"/>
      <c r="M968" s="269" t="n"/>
      <c r="N968" s="269" t="n"/>
      <c r="O968" s="269" t="n"/>
      <c r="P968" s="269" t="n"/>
      <c r="Q968" s="269" t="n"/>
      <c r="R968" s="269" t="n"/>
      <c r="S968" s="269" t="n"/>
      <c r="T968" s="269" t="n"/>
      <c r="U968" s="269" t="n"/>
      <c r="V968" s="269" t="n"/>
      <c r="W968" s="270" t="n"/>
    </row>
    <row r="969" customFormat="1" s="163">
      <c r="A969" s="282" t="n"/>
      <c r="B969" s="277" t="n"/>
      <c r="C969" s="278" t="n"/>
      <c r="D969" s="269" t="n"/>
      <c r="E969" s="269" t="n"/>
      <c r="F969" s="269" t="n"/>
      <c r="G969" s="269" t="n"/>
      <c r="H969" s="269" t="n"/>
      <c r="I969" s="269" t="n"/>
      <c r="J969" s="269" t="n"/>
      <c r="K969" s="269" t="n"/>
      <c r="L969" s="269" t="n"/>
      <c r="M969" s="269" t="n"/>
      <c r="N969" s="269" t="n"/>
      <c r="O969" s="269" t="n"/>
      <c r="P969" s="269" t="n"/>
      <c r="Q969" s="269" t="n"/>
      <c r="R969" s="269" t="n"/>
      <c r="S969" s="269" t="n"/>
      <c r="T969" s="269" t="n"/>
      <c r="U969" s="269" t="n"/>
      <c r="V969" s="269" t="n"/>
      <c r="W969" s="270" t="n"/>
    </row>
    <row r="970" customFormat="1" s="163">
      <c r="A970" s="282" t="n"/>
      <c r="B970" s="277" t="n"/>
      <c r="C970" s="278" t="n"/>
      <c r="D970" s="269" t="n"/>
      <c r="E970" s="269" t="n"/>
      <c r="F970" s="269" t="n"/>
      <c r="G970" s="269" t="n"/>
      <c r="H970" s="269" t="n"/>
      <c r="I970" s="269" t="n"/>
      <c r="J970" s="269" t="n"/>
      <c r="K970" s="269" t="n"/>
      <c r="L970" s="269" t="n"/>
      <c r="M970" s="269" t="n"/>
      <c r="N970" s="269" t="n"/>
      <c r="O970" s="269" t="n"/>
      <c r="P970" s="269" t="n"/>
      <c r="Q970" s="269" t="n"/>
      <c r="R970" s="269" t="n"/>
      <c r="S970" s="269" t="n"/>
      <c r="T970" s="269" t="n"/>
      <c r="U970" s="269" t="n"/>
      <c r="V970" s="269" t="n"/>
      <c r="W970" s="270" t="n"/>
    </row>
    <row r="971" customFormat="1" s="163">
      <c r="A971" s="282" t="n"/>
      <c r="B971" s="277" t="n"/>
      <c r="C971" s="278" t="n"/>
      <c r="D971" s="269" t="n"/>
      <c r="E971" s="269" t="n"/>
      <c r="F971" s="269" t="n"/>
      <c r="G971" s="269" t="n"/>
      <c r="H971" s="269" t="n"/>
      <c r="I971" s="269" t="n"/>
      <c r="J971" s="269" t="n"/>
      <c r="K971" s="269" t="n"/>
      <c r="L971" s="269" t="n"/>
      <c r="M971" s="269" t="n"/>
      <c r="N971" s="269" t="n"/>
      <c r="O971" s="269" t="n"/>
      <c r="P971" s="269" t="n"/>
      <c r="Q971" s="269" t="n"/>
      <c r="R971" s="269" t="n"/>
      <c r="S971" s="269" t="n"/>
      <c r="T971" s="269" t="n"/>
      <c r="U971" s="269" t="n"/>
      <c r="V971" s="269" t="n"/>
      <c r="W971" s="270" t="n"/>
    </row>
    <row r="972" customFormat="1" s="163">
      <c r="A972" s="282" t="n"/>
      <c r="B972" s="277" t="n"/>
      <c r="C972" s="278" t="n"/>
      <c r="D972" s="269" t="n"/>
      <c r="E972" s="269" t="n"/>
      <c r="F972" s="269" t="n"/>
      <c r="G972" s="269" t="n"/>
      <c r="H972" s="269" t="n"/>
      <c r="I972" s="269" t="n"/>
      <c r="J972" s="269" t="n"/>
      <c r="K972" s="269" t="n"/>
      <c r="L972" s="269" t="n"/>
      <c r="M972" s="269" t="n"/>
      <c r="N972" s="269" t="n"/>
      <c r="O972" s="269" t="n"/>
      <c r="P972" s="269" t="n"/>
      <c r="Q972" s="269" t="n"/>
      <c r="R972" s="269" t="n"/>
      <c r="S972" s="269" t="n"/>
      <c r="T972" s="269" t="n"/>
      <c r="U972" s="269" t="n"/>
      <c r="V972" s="269" t="n"/>
      <c r="W972" s="270" t="n"/>
    </row>
    <row r="973" customFormat="1" s="163">
      <c r="A973" s="282" t="n"/>
      <c r="B973" s="277" t="n"/>
      <c r="C973" s="278" t="n"/>
      <c r="D973" s="269" t="n"/>
      <c r="E973" s="269" t="n"/>
      <c r="F973" s="269" t="n"/>
      <c r="G973" s="269" t="n"/>
      <c r="H973" s="269" t="n"/>
      <c r="I973" s="269" t="n"/>
      <c r="J973" s="269" t="n"/>
      <c r="K973" s="269" t="n"/>
      <c r="L973" s="269" t="n"/>
      <c r="M973" s="269" t="n"/>
      <c r="N973" s="269" t="n"/>
      <c r="O973" s="269" t="n"/>
      <c r="P973" s="269" t="n"/>
      <c r="Q973" s="269" t="n"/>
      <c r="R973" s="269" t="n"/>
      <c r="S973" s="269" t="n"/>
      <c r="T973" s="269" t="n"/>
      <c r="U973" s="269" t="n"/>
      <c r="V973" s="269" t="n"/>
      <c r="W973" s="270" t="n"/>
    </row>
    <row r="974" customFormat="1" s="163">
      <c r="A974" s="282" t="n"/>
      <c r="B974" s="277" t="n"/>
      <c r="C974" s="278" t="n"/>
      <c r="D974" s="269" t="n"/>
      <c r="E974" s="269" t="n"/>
      <c r="F974" s="269" t="n"/>
      <c r="G974" s="269" t="n"/>
      <c r="H974" s="269" t="n"/>
      <c r="I974" s="269" t="n"/>
      <c r="J974" s="269" t="n"/>
      <c r="K974" s="269" t="n"/>
      <c r="L974" s="269" t="n"/>
      <c r="M974" s="269" t="n"/>
      <c r="N974" s="269" t="n"/>
      <c r="O974" s="269" t="n"/>
      <c r="P974" s="269" t="n"/>
      <c r="Q974" s="269" t="n"/>
      <c r="R974" s="269" t="n"/>
      <c r="S974" s="269" t="n"/>
      <c r="T974" s="269" t="n"/>
      <c r="U974" s="269" t="n"/>
      <c r="V974" s="269" t="n"/>
      <c r="W974" s="270" t="n"/>
    </row>
    <row r="975" customFormat="1" s="163">
      <c r="A975" s="282" t="n"/>
      <c r="B975" s="277" t="n"/>
      <c r="C975" s="278" t="n"/>
      <c r="D975" s="269" t="n"/>
      <c r="E975" s="269" t="n"/>
      <c r="F975" s="269" t="n"/>
      <c r="G975" s="269" t="n"/>
      <c r="H975" s="269" t="n"/>
      <c r="I975" s="269" t="n"/>
      <c r="J975" s="269" t="n"/>
      <c r="K975" s="269" t="n"/>
      <c r="L975" s="269" t="n"/>
      <c r="M975" s="269" t="n"/>
      <c r="N975" s="269" t="n"/>
      <c r="O975" s="269" t="n"/>
      <c r="P975" s="269" t="n"/>
      <c r="Q975" s="269" t="n"/>
      <c r="R975" s="269" t="n"/>
      <c r="S975" s="269" t="n"/>
      <c r="T975" s="269" t="n"/>
      <c r="U975" s="269" t="n"/>
      <c r="V975" s="269" t="n"/>
      <c r="W975" s="270" t="n"/>
    </row>
    <row r="976" customFormat="1" s="163">
      <c r="A976" s="282" t="n"/>
      <c r="B976" s="277" t="n"/>
      <c r="C976" s="278" t="n"/>
      <c r="D976" s="269" t="n"/>
      <c r="E976" s="269" t="n"/>
      <c r="F976" s="269" t="n"/>
      <c r="G976" s="269" t="n"/>
      <c r="H976" s="269" t="n"/>
      <c r="I976" s="269" t="n"/>
      <c r="J976" s="269" t="n"/>
      <c r="K976" s="269" t="n"/>
      <c r="L976" s="269" t="n"/>
      <c r="M976" s="269" t="n"/>
      <c r="N976" s="269" t="n"/>
      <c r="O976" s="269" t="n"/>
      <c r="P976" s="269" t="n"/>
      <c r="Q976" s="269" t="n"/>
      <c r="R976" s="269" t="n"/>
      <c r="S976" s="269" t="n"/>
      <c r="T976" s="269" t="n"/>
      <c r="U976" s="269" t="n"/>
      <c r="V976" s="269" t="n"/>
      <c r="W976" s="270" t="n"/>
    </row>
    <row r="977" customFormat="1" s="163">
      <c r="A977" s="282" t="n"/>
      <c r="B977" s="277" t="n"/>
      <c r="C977" s="278" t="n"/>
      <c r="D977" s="269" t="n"/>
      <c r="E977" s="269" t="n"/>
      <c r="F977" s="269" t="n"/>
      <c r="G977" s="269" t="n"/>
      <c r="H977" s="269" t="n"/>
      <c r="I977" s="269" t="n"/>
      <c r="J977" s="269" t="n"/>
      <c r="K977" s="269" t="n"/>
      <c r="L977" s="269" t="n"/>
      <c r="M977" s="269" t="n"/>
      <c r="N977" s="269" t="n"/>
      <c r="O977" s="269" t="n"/>
      <c r="P977" s="269" t="n"/>
      <c r="Q977" s="269" t="n"/>
      <c r="R977" s="269" t="n"/>
      <c r="S977" s="269" t="n"/>
      <c r="T977" s="269" t="n"/>
      <c r="U977" s="269" t="n"/>
      <c r="V977" s="269" t="n"/>
      <c r="W977" s="270" t="n"/>
    </row>
    <row r="978" customFormat="1" s="163">
      <c r="A978" s="282" t="n"/>
      <c r="B978" s="277" t="n"/>
      <c r="C978" s="278" t="n"/>
      <c r="D978" s="269" t="n"/>
      <c r="E978" s="269" t="n"/>
      <c r="F978" s="269" t="n"/>
      <c r="G978" s="269" t="n"/>
      <c r="H978" s="269" t="n"/>
      <c r="I978" s="269" t="n"/>
      <c r="J978" s="269" t="n"/>
      <c r="K978" s="269" t="n"/>
      <c r="L978" s="269" t="n"/>
      <c r="M978" s="269" t="n"/>
      <c r="N978" s="269" t="n"/>
      <c r="O978" s="269" t="n"/>
      <c r="P978" s="269" t="n"/>
      <c r="Q978" s="269" t="n"/>
      <c r="R978" s="269" t="n"/>
      <c r="S978" s="269" t="n"/>
      <c r="T978" s="269" t="n"/>
      <c r="U978" s="269" t="n"/>
      <c r="V978" s="269" t="n"/>
      <c r="W978" s="270" t="n"/>
    </row>
    <row r="979" customFormat="1" s="163">
      <c r="A979" s="282" t="n"/>
      <c r="B979" s="277" t="n"/>
      <c r="C979" s="278" t="n"/>
      <c r="D979" s="269" t="n"/>
      <c r="E979" s="269" t="n"/>
      <c r="F979" s="269" t="n"/>
      <c r="G979" s="269" t="n"/>
      <c r="H979" s="269" t="n"/>
      <c r="I979" s="269" t="n"/>
      <c r="J979" s="269" t="n"/>
      <c r="K979" s="269" t="n"/>
      <c r="L979" s="269" t="n"/>
      <c r="M979" s="269" t="n"/>
      <c r="N979" s="269" t="n"/>
      <c r="O979" s="269" t="n"/>
      <c r="P979" s="269" t="n"/>
      <c r="Q979" s="269" t="n"/>
      <c r="R979" s="269" t="n"/>
      <c r="S979" s="269" t="n"/>
      <c r="T979" s="269" t="n"/>
      <c r="U979" s="269" t="n"/>
      <c r="V979" s="269" t="n"/>
      <c r="W979" s="270" t="n"/>
    </row>
    <row r="980" customFormat="1" s="163">
      <c r="A980" s="282" t="n"/>
      <c r="B980" s="277" t="n"/>
      <c r="C980" s="278" t="n"/>
      <c r="D980" s="269" t="n"/>
      <c r="E980" s="269" t="n"/>
      <c r="F980" s="269" t="n"/>
      <c r="G980" s="269" t="n"/>
      <c r="H980" s="269" t="n"/>
      <c r="I980" s="269" t="n"/>
      <c r="J980" s="269" t="n"/>
      <c r="K980" s="269" t="n"/>
      <c r="L980" s="269" t="n"/>
      <c r="M980" s="269" t="n"/>
      <c r="N980" s="269" t="n"/>
      <c r="O980" s="269" t="n"/>
      <c r="P980" s="269" t="n"/>
      <c r="Q980" s="269" t="n"/>
      <c r="R980" s="269" t="n"/>
      <c r="S980" s="269" t="n"/>
      <c r="T980" s="269" t="n"/>
      <c r="U980" s="269" t="n"/>
      <c r="V980" s="269" t="n"/>
      <c r="W980" s="270" t="n"/>
    </row>
    <row r="981" customFormat="1" s="163">
      <c r="A981" s="282" t="n"/>
      <c r="B981" s="277" t="n"/>
      <c r="C981" s="278" t="n"/>
      <c r="D981" s="269" t="n"/>
      <c r="E981" s="269" t="n"/>
      <c r="F981" s="269" t="n"/>
      <c r="G981" s="269" t="n"/>
      <c r="H981" s="269" t="n"/>
      <c r="I981" s="269" t="n"/>
      <c r="J981" s="269" t="n"/>
      <c r="K981" s="269" t="n"/>
      <c r="L981" s="269" t="n"/>
      <c r="M981" s="269" t="n"/>
      <c r="N981" s="269" t="n"/>
      <c r="O981" s="269" t="n"/>
      <c r="P981" s="269" t="n"/>
      <c r="Q981" s="269" t="n"/>
      <c r="R981" s="269" t="n"/>
      <c r="S981" s="269" t="n"/>
      <c r="T981" s="269" t="n"/>
      <c r="U981" s="269" t="n"/>
      <c r="V981" s="269" t="n"/>
      <c r="W981" s="270" t="n"/>
    </row>
    <row r="982" customFormat="1" s="163">
      <c r="A982" s="282" t="n"/>
      <c r="B982" s="277" t="n"/>
      <c r="C982" s="278" t="n"/>
      <c r="D982" s="269" t="n"/>
      <c r="E982" s="269" t="n"/>
      <c r="F982" s="269" t="n"/>
      <c r="G982" s="269" t="n"/>
      <c r="H982" s="269" t="n"/>
      <c r="I982" s="269" t="n"/>
      <c r="J982" s="269" t="n"/>
      <c r="K982" s="269" t="n"/>
      <c r="L982" s="269" t="n"/>
      <c r="M982" s="269" t="n"/>
      <c r="N982" s="269" t="n"/>
      <c r="O982" s="269" t="n"/>
      <c r="P982" s="269" t="n"/>
      <c r="Q982" s="269" t="n"/>
      <c r="R982" s="269" t="n"/>
      <c r="S982" s="269" t="n"/>
      <c r="T982" s="269" t="n"/>
      <c r="U982" s="269" t="n"/>
      <c r="V982" s="269" t="n"/>
      <c r="W982" s="270" t="n"/>
    </row>
    <row r="983" customFormat="1" s="163">
      <c r="A983" s="282" t="n"/>
      <c r="B983" s="277" t="n"/>
      <c r="C983" s="278" t="n"/>
      <c r="D983" s="269" t="n"/>
      <c r="E983" s="269" t="n"/>
      <c r="F983" s="269" t="n"/>
      <c r="G983" s="269" t="n"/>
      <c r="H983" s="269" t="n"/>
      <c r="I983" s="269" t="n"/>
      <c r="J983" s="269" t="n"/>
      <c r="K983" s="269" t="n"/>
      <c r="L983" s="269" t="n"/>
      <c r="M983" s="269" t="n"/>
      <c r="N983" s="269" t="n"/>
      <c r="O983" s="269" t="n"/>
      <c r="P983" s="269" t="n"/>
      <c r="Q983" s="269" t="n"/>
      <c r="R983" s="269" t="n"/>
      <c r="S983" s="269" t="n"/>
      <c r="T983" s="269" t="n"/>
      <c r="U983" s="269" t="n"/>
      <c r="V983" s="269" t="n"/>
      <c r="W983" s="270" t="n"/>
    </row>
    <row r="984" customFormat="1" s="163">
      <c r="A984" s="282" t="n"/>
      <c r="B984" s="277" t="n"/>
      <c r="C984" s="278" t="n"/>
      <c r="D984" s="269" t="n"/>
      <c r="E984" s="269" t="n"/>
      <c r="F984" s="269" t="n"/>
      <c r="G984" s="269" t="n"/>
      <c r="H984" s="269" t="n"/>
      <c r="I984" s="269" t="n"/>
      <c r="J984" s="269" t="n"/>
      <c r="K984" s="269" t="n"/>
      <c r="L984" s="269" t="n"/>
      <c r="M984" s="269" t="n"/>
      <c r="N984" s="269" t="n"/>
      <c r="O984" s="269" t="n"/>
      <c r="P984" s="269" t="n"/>
      <c r="Q984" s="269" t="n"/>
      <c r="R984" s="269" t="n"/>
      <c r="S984" s="269" t="n"/>
      <c r="T984" s="269" t="n"/>
      <c r="U984" s="269" t="n"/>
      <c r="V984" s="269" t="n"/>
      <c r="W984" s="270" t="n"/>
    </row>
    <row r="985" customFormat="1" s="163">
      <c r="A985" s="282" t="n"/>
      <c r="B985" s="277" t="n"/>
      <c r="C985" s="278" t="n"/>
      <c r="D985" s="269" t="n"/>
      <c r="E985" s="269" t="n"/>
      <c r="F985" s="269" t="n"/>
      <c r="G985" s="269" t="n"/>
      <c r="H985" s="269" t="n"/>
      <c r="I985" s="269" t="n"/>
      <c r="J985" s="269" t="n"/>
      <c r="K985" s="269" t="n"/>
      <c r="L985" s="269" t="n"/>
      <c r="M985" s="269" t="n"/>
      <c r="N985" s="269" t="n"/>
      <c r="O985" s="269" t="n"/>
      <c r="P985" s="269" t="n"/>
      <c r="Q985" s="269" t="n"/>
      <c r="R985" s="269" t="n"/>
      <c r="S985" s="269" t="n"/>
      <c r="T985" s="269" t="n"/>
      <c r="U985" s="269" t="n"/>
      <c r="V985" s="269" t="n"/>
      <c r="W985" s="270" t="n"/>
    </row>
    <row r="986" customFormat="1" s="163">
      <c r="A986" s="282" t="n"/>
      <c r="B986" s="277" t="n"/>
      <c r="C986" s="278" t="n"/>
      <c r="D986" s="269" t="n"/>
      <c r="E986" s="269" t="n"/>
      <c r="F986" s="269" t="n"/>
      <c r="G986" s="269" t="n"/>
      <c r="H986" s="269" t="n"/>
      <c r="I986" s="269" t="n"/>
      <c r="J986" s="269" t="n"/>
      <c r="K986" s="269" t="n"/>
      <c r="L986" s="269" t="n"/>
      <c r="M986" s="269" t="n"/>
      <c r="N986" s="269" t="n"/>
      <c r="O986" s="269" t="n"/>
      <c r="P986" s="269" t="n"/>
      <c r="Q986" s="269" t="n"/>
      <c r="R986" s="269" t="n"/>
      <c r="S986" s="269" t="n"/>
      <c r="T986" s="269" t="n"/>
      <c r="U986" s="269" t="n"/>
      <c r="V986" s="269" t="n"/>
      <c r="W986" s="270" t="n"/>
    </row>
    <row r="987" customFormat="1" s="163">
      <c r="A987" s="282" t="n"/>
      <c r="B987" s="277" t="n"/>
      <c r="C987" s="278" t="n"/>
      <c r="D987" s="269" t="n"/>
      <c r="E987" s="269" t="n"/>
      <c r="F987" s="269" t="n"/>
      <c r="G987" s="269" t="n"/>
      <c r="H987" s="269" t="n"/>
      <c r="I987" s="269" t="n"/>
      <c r="J987" s="269" t="n"/>
      <c r="K987" s="269" t="n"/>
      <c r="L987" s="269" t="n"/>
      <c r="M987" s="269" t="n"/>
      <c r="N987" s="269" t="n"/>
      <c r="O987" s="269" t="n"/>
      <c r="P987" s="269" t="n"/>
      <c r="Q987" s="269" t="n"/>
      <c r="R987" s="269" t="n"/>
      <c r="S987" s="269" t="n"/>
      <c r="T987" s="269" t="n"/>
      <c r="U987" s="269" t="n"/>
      <c r="V987" s="269" t="n"/>
      <c r="W987" s="270" t="n"/>
    </row>
    <row r="988" customFormat="1" s="163">
      <c r="A988" s="282" t="n"/>
      <c r="B988" s="277" t="n"/>
      <c r="C988" s="278" t="n"/>
      <c r="D988" s="269" t="n"/>
      <c r="E988" s="269" t="n"/>
      <c r="F988" s="269" t="n"/>
      <c r="G988" s="269" t="n"/>
      <c r="H988" s="269" t="n"/>
      <c r="I988" s="269" t="n"/>
      <c r="J988" s="269" t="n"/>
      <c r="K988" s="269" t="n"/>
      <c r="L988" s="269" t="n"/>
      <c r="M988" s="269" t="n"/>
      <c r="N988" s="269" t="n"/>
      <c r="O988" s="269" t="n"/>
      <c r="P988" s="269" t="n"/>
      <c r="Q988" s="269" t="n"/>
      <c r="R988" s="269" t="n"/>
      <c r="S988" s="269" t="n"/>
      <c r="T988" s="269" t="n"/>
      <c r="U988" s="269" t="n"/>
      <c r="V988" s="269" t="n"/>
      <c r="W988" s="270" t="n"/>
    </row>
    <row r="989" customFormat="1" s="163">
      <c r="A989" s="282" t="n"/>
      <c r="B989" s="277" t="n"/>
      <c r="C989" s="278" t="n"/>
      <c r="D989" s="269" t="n"/>
      <c r="E989" s="269" t="n"/>
      <c r="F989" s="269" t="n"/>
      <c r="G989" s="269" t="n"/>
      <c r="H989" s="269" t="n"/>
      <c r="I989" s="269" t="n"/>
      <c r="J989" s="269" t="n"/>
      <c r="K989" s="269" t="n"/>
      <c r="L989" s="269" t="n"/>
      <c r="M989" s="269" t="n"/>
      <c r="N989" s="269" t="n"/>
      <c r="O989" s="269" t="n"/>
      <c r="P989" s="269" t="n"/>
      <c r="Q989" s="269" t="n"/>
      <c r="R989" s="269" t="n"/>
      <c r="S989" s="269" t="n"/>
      <c r="T989" s="269" t="n"/>
      <c r="U989" s="269" t="n"/>
      <c r="V989" s="269" t="n"/>
      <c r="W989" s="270" t="n"/>
    </row>
    <row r="990" customFormat="1" s="163">
      <c r="A990" s="282" t="n"/>
      <c r="B990" s="277" t="n"/>
      <c r="C990" s="278" t="n"/>
      <c r="D990" s="269" t="n"/>
      <c r="E990" s="269" t="n"/>
      <c r="F990" s="269" t="n"/>
      <c r="G990" s="269" t="n"/>
      <c r="H990" s="269" t="n"/>
      <c r="I990" s="269" t="n"/>
      <c r="J990" s="269" t="n"/>
      <c r="K990" s="269" t="n"/>
      <c r="L990" s="269" t="n"/>
      <c r="M990" s="269" t="n"/>
      <c r="N990" s="269" t="n"/>
      <c r="O990" s="269" t="n"/>
      <c r="P990" s="269" t="n"/>
      <c r="Q990" s="269" t="n"/>
      <c r="R990" s="269" t="n"/>
      <c r="S990" s="269" t="n"/>
      <c r="T990" s="269" t="n"/>
      <c r="U990" s="269" t="n"/>
      <c r="V990" s="269" t="n"/>
      <c r="W990" s="270" t="n"/>
    </row>
    <row r="991" customFormat="1" s="163">
      <c r="A991" s="282" t="n"/>
      <c r="B991" s="277" t="n"/>
      <c r="C991" s="278" t="n"/>
      <c r="D991" s="269" t="n"/>
      <c r="E991" s="269" t="n"/>
      <c r="F991" s="269" t="n"/>
      <c r="G991" s="269" t="n"/>
      <c r="H991" s="269" t="n"/>
      <c r="I991" s="269" t="n"/>
      <c r="J991" s="269" t="n"/>
      <c r="K991" s="269" t="n"/>
      <c r="L991" s="269" t="n"/>
      <c r="M991" s="269" t="n"/>
      <c r="N991" s="269" t="n"/>
      <c r="O991" s="269" t="n"/>
      <c r="P991" s="269" t="n"/>
      <c r="Q991" s="269" t="n"/>
      <c r="R991" s="269" t="n"/>
      <c r="S991" s="269" t="n"/>
      <c r="T991" s="269" t="n"/>
      <c r="U991" s="269" t="n"/>
      <c r="V991" s="269" t="n"/>
      <c r="W991" s="270" t="n"/>
    </row>
    <row r="992" customFormat="1" s="163">
      <c r="A992" s="282" t="n"/>
      <c r="B992" s="277" t="n"/>
      <c r="C992" s="278" t="n"/>
      <c r="D992" s="269" t="n"/>
      <c r="E992" s="269" t="n"/>
      <c r="F992" s="269" t="n"/>
      <c r="G992" s="269" t="n"/>
      <c r="H992" s="269" t="n"/>
      <c r="I992" s="269" t="n"/>
      <c r="J992" s="269" t="n"/>
      <c r="K992" s="269" t="n"/>
      <c r="L992" s="269" t="n"/>
      <c r="M992" s="269" t="n"/>
      <c r="N992" s="269" t="n"/>
      <c r="O992" s="269" t="n"/>
      <c r="P992" s="269" t="n"/>
      <c r="Q992" s="269" t="n"/>
      <c r="R992" s="269" t="n"/>
      <c r="S992" s="269" t="n"/>
      <c r="T992" s="269" t="n"/>
      <c r="U992" s="269" t="n"/>
      <c r="V992" s="269" t="n"/>
      <c r="W992" s="270" t="n"/>
    </row>
    <row r="993" customFormat="1" s="163">
      <c r="A993" s="282" t="n"/>
      <c r="B993" s="277" t="n"/>
      <c r="C993" s="278" t="n"/>
      <c r="D993" s="269" t="n"/>
      <c r="E993" s="269" t="n"/>
      <c r="F993" s="269" t="n"/>
      <c r="G993" s="269" t="n"/>
      <c r="H993" s="269" t="n"/>
      <c r="I993" s="269" t="n"/>
      <c r="J993" s="269" t="n"/>
      <c r="K993" s="269" t="n"/>
      <c r="L993" s="269" t="n"/>
      <c r="M993" s="269" t="n"/>
      <c r="N993" s="269" t="n"/>
      <c r="O993" s="269" t="n"/>
      <c r="P993" s="269" t="n"/>
      <c r="Q993" s="269" t="n"/>
      <c r="R993" s="269" t="n"/>
      <c r="S993" s="269" t="n"/>
      <c r="T993" s="269" t="n"/>
      <c r="U993" s="269" t="n"/>
      <c r="V993" s="269" t="n"/>
      <c r="W993" s="270" t="n"/>
    </row>
    <row r="994" customFormat="1" s="163">
      <c r="A994" s="282" t="n"/>
      <c r="B994" s="277" t="n"/>
      <c r="C994" s="278" t="n"/>
      <c r="D994" s="269" t="n"/>
      <c r="E994" s="269" t="n"/>
      <c r="F994" s="269" t="n"/>
      <c r="G994" s="269" t="n"/>
      <c r="H994" s="269" t="n"/>
      <c r="I994" s="269" t="n"/>
      <c r="J994" s="269" t="n"/>
      <c r="K994" s="269" t="n"/>
      <c r="L994" s="269" t="n"/>
      <c r="M994" s="269" t="n"/>
      <c r="N994" s="269" t="n"/>
      <c r="O994" s="269" t="n"/>
      <c r="P994" s="269" t="n"/>
      <c r="Q994" s="269" t="n"/>
      <c r="R994" s="269" t="n"/>
      <c r="S994" s="269" t="n"/>
      <c r="T994" s="269" t="n"/>
      <c r="U994" s="269" t="n"/>
      <c r="V994" s="269" t="n"/>
      <c r="W994" s="270" t="n"/>
    </row>
    <row r="995" customFormat="1" s="163">
      <c r="A995" s="282" t="n"/>
      <c r="B995" s="277" t="n"/>
      <c r="C995" s="278" t="n"/>
      <c r="D995" s="269" t="n"/>
      <c r="E995" s="269" t="n"/>
      <c r="F995" s="269" t="n"/>
      <c r="G995" s="269" t="n"/>
      <c r="H995" s="269" t="n"/>
      <c r="I995" s="269" t="n"/>
      <c r="J995" s="269" t="n"/>
      <c r="K995" s="269" t="n"/>
      <c r="L995" s="269" t="n"/>
      <c r="M995" s="269" t="n"/>
      <c r="N995" s="269" t="n"/>
      <c r="O995" s="269" t="n"/>
      <c r="P995" s="269" t="n"/>
      <c r="Q995" s="269" t="n"/>
      <c r="R995" s="269" t="n"/>
      <c r="S995" s="269" t="n"/>
      <c r="T995" s="269" t="n"/>
      <c r="U995" s="269" t="n"/>
      <c r="V995" s="269" t="n"/>
      <c r="W995" s="270" t="n"/>
    </row>
    <row r="996" customFormat="1" s="163">
      <c r="A996" s="282" t="n"/>
      <c r="B996" s="277" t="n"/>
      <c r="C996" s="278" t="n"/>
      <c r="D996" s="269" t="n"/>
      <c r="E996" s="269" t="n"/>
      <c r="F996" s="269" t="n"/>
      <c r="G996" s="269" t="n"/>
      <c r="H996" s="269" t="n"/>
      <c r="I996" s="269" t="n"/>
      <c r="J996" s="269" t="n"/>
      <c r="K996" s="269" t="n"/>
      <c r="L996" s="269" t="n"/>
      <c r="M996" s="269" t="n"/>
      <c r="N996" s="269" t="n"/>
      <c r="O996" s="269" t="n"/>
      <c r="P996" s="269" t="n"/>
      <c r="Q996" s="269" t="n"/>
      <c r="R996" s="269" t="n"/>
      <c r="S996" s="269" t="n"/>
      <c r="T996" s="269" t="n"/>
      <c r="U996" s="269" t="n"/>
      <c r="V996" s="269" t="n"/>
      <c r="W996" s="270" t="n"/>
    </row>
    <row r="997" customFormat="1" s="163">
      <c r="A997" s="282" t="n"/>
      <c r="B997" s="277" t="n"/>
      <c r="C997" s="278" t="n"/>
      <c r="D997" s="269" t="n"/>
      <c r="E997" s="269" t="n"/>
      <c r="F997" s="269" t="n"/>
      <c r="G997" s="269" t="n"/>
      <c r="H997" s="269" t="n"/>
      <c r="I997" s="269" t="n"/>
      <c r="J997" s="269" t="n"/>
      <c r="K997" s="269" t="n"/>
      <c r="L997" s="269" t="n"/>
      <c r="M997" s="269" t="n"/>
      <c r="N997" s="269" t="n"/>
      <c r="O997" s="269" t="n"/>
      <c r="P997" s="269" t="n"/>
      <c r="Q997" s="269" t="n"/>
      <c r="R997" s="269" t="n"/>
      <c r="S997" s="269" t="n"/>
      <c r="T997" s="269" t="n"/>
      <c r="U997" s="269" t="n"/>
      <c r="V997" s="269" t="n"/>
      <c r="W997" s="270" t="n"/>
    </row>
    <row r="998" customFormat="1" s="163">
      <c r="A998" s="282" t="n"/>
      <c r="B998" s="277" t="n"/>
      <c r="C998" s="278" t="n"/>
      <c r="D998" s="269" t="n"/>
      <c r="E998" s="269" t="n"/>
      <c r="F998" s="269" t="n"/>
      <c r="G998" s="269" t="n"/>
      <c r="H998" s="269" t="n"/>
      <c r="I998" s="269" t="n"/>
      <c r="J998" s="269" t="n"/>
      <c r="K998" s="269" t="n"/>
      <c r="L998" s="269" t="n"/>
      <c r="M998" s="269" t="n"/>
      <c r="N998" s="269" t="n"/>
      <c r="O998" s="269" t="n"/>
      <c r="P998" s="269" t="n"/>
      <c r="Q998" s="269" t="n"/>
      <c r="R998" s="269" t="n"/>
      <c r="S998" s="269" t="n"/>
      <c r="T998" s="269" t="n"/>
      <c r="U998" s="269" t="n"/>
      <c r="V998" s="269" t="n"/>
      <c r="W998" s="270" t="n"/>
    </row>
    <row r="999" customFormat="1" s="163">
      <c r="A999" s="282" t="n"/>
      <c r="B999" s="277" t="n"/>
      <c r="C999" s="278" t="n"/>
      <c r="D999" s="269" t="n"/>
      <c r="E999" s="269" t="n"/>
      <c r="F999" s="269" t="n"/>
      <c r="G999" s="269" t="n"/>
      <c r="H999" s="269" t="n"/>
      <c r="I999" s="269" t="n"/>
      <c r="J999" s="269" t="n"/>
      <c r="K999" s="269" t="n"/>
      <c r="L999" s="269" t="n"/>
      <c r="M999" s="269" t="n"/>
      <c r="N999" s="269" t="n"/>
      <c r="O999" s="269" t="n"/>
      <c r="P999" s="269" t="n"/>
      <c r="Q999" s="269" t="n"/>
      <c r="R999" s="269" t="n"/>
      <c r="S999" s="269" t="n"/>
      <c r="T999" s="269" t="n"/>
      <c r="U999" s="269" t="n"/>
      <c r="V999" s="269" t="n"/>
      <c r="W999" s="270" t="n"/>
    </row>
    <row r="1000" customFormat="1" s="163">
      <c r="A1000" s="282" t="n"/>
      <c r="B1000" s="277" t="n"/>
      <c r="C1000" s="278" t="n"/>
      <c r="D1000" s="269" t="n"/>
      <c r="E1000" s="269" t="n"/>
      <c r="F1000" s="269" t="n"/>
      <c r="G1000" s="269" t="n"/>
      <c r="H1000" s="269" t="n"/>
      <c r="I1000" s="269" t="n"/>
      <c r="J1000" s="269" t="n"/>
      <c r="K1000" s="269" t="n"/>
      <c r="L1000" s="269" t="n"/>
      <c r="M1000" s="269" t="n"/>
      <c r="N1000" s="269" t="n"/>
      <c r="O1000" s="269" t="n"/>
      <c r="P1000" s="269" t="n"/>
      <c r="Q1000" s="269" t="n"/>
      <c r="R1000" s="269" t="n"/>
      <c r="S1000" s="269" t="n"/>
      <c r="T1000" s="269" t="n"/>
      <c r="U1000" s="269" t="n"/>
      <c r="V1000" s="269" t="n"/>
      <c r="W1000" s="270" t="n"/>
    </row>
    <row r="1001" customFormat="1" s="163">
      <c r="A1001" s="282" t="n"/>
      <c r="B1001" s="277" t="n"/>
      <c r="C1001" s="278" t="n"/>
      <c r="D1001" s="269" t="n"/>
      <c r="E1001" s="269" t="n"/>
      <c r="F1001" s="269" t="n"/>
      <c r="G1001" s="269" t="n"/>
      <c r="H1001" s="269" t="n"/>
      <c r="I1001" s="269" t="n"/>
      <c r="J1001" s="269" t="n"/>
      <c r="K1001" s="269" t="n"/>
      <c r="L1001" s="269" t="n"/>
      <c r="M1001" s="269" t="n"/>
      <c r="N1001" s="269" t="n"/>
      <c r="O1001" s="269" t="n"/>
      <c r="P1001" s="269" t="n"/>
      <c r="Q1001" s="269" t="n"/>
      <c r="R1001" s="269" t="n"/>
      <c r="S1001" s="269" t="n"/>
      <c r="T1001" s="269" t="n"/>
      <c r="U1001" s="269" t="n"/>
      <c r="V1001" s="269" t="n"/>
      <c r="W1001" s="270" t="n"/>
    </row>
    <row r="1002" customFormat="1" s="163">
      <c r="A1002" s="282" t="n"/>
      <c r="B1002" s="277" t="n"/>
      <c r="C1002" s="278" t="n"/>
      <c r="D1002" s="269" t="n"/>
      <c r="E1002" s="269" t="n"/>
      <c r="F1002" s="269" t="n"/>
      <c r="G1002" s="269" t="n"/>
      <c r="H1002" s="269" t="n"/>
      <c r="I1002" s="269" t="n"/>
      <c r="J1002" s="269" t="n"/>
      <c r="K1002" s="269" t="n"/>
      <c r="L1002" s="269" t="n"/>
      <c r="M1002" s="269" t="n"/>
      <c r="N1002" s="269" t="n"/>
      <c r="O1002" s="269" t="n"/>
      <c r="P1002" s="269" t="n"/>
      <c r="Q1002" s="269" t="n"/>
      <c r="R1002" s="269" t="n"/>
      <c r="S1002" s="269" t="n"/>
      <c r="T1002" s="269" t="n"/>
      <c r="U1002" s="269" t="n"/>
      <c r="V1002" s="269" t="n"/>
      <c r="W1002" s="270" t="n"/>
    </row>
    <row r="1003" customFormat="1" s="163">
      <c r="A1003" s="282" t="n"/>
      <c r="B1003" s="277" t="n"/>
      <c r="C1003" s="278" t="n"/>
      <c r="D1003" s="269" t="n"/>
      <c r="E1003" s="269" t="n"/>
      <c r="F1003" s="269" t="n"/>
      <c r="G1003" s="269" t="n"/>
      <c r="H1003" s="269" t="n"/>
      <c r="I1003" s="269" t="n"/>
      <c r="J1003" s="269" t="n"/>
      <c r="K1003" s="269" t="n"/>
      <c r="L1003" s="269" t="n"/>
      <c r="M1003" s="269" t="n"/>
      <c r="N1003" s="269" t="n"/>
      <c r="O1003" s="269" t="n"/>
      <c r="P1003" s="269" t="n"/>
      <c r="Q1003" s="269" t="n"/>
      <c r="R1003" s="269" t="n"/>
      <c r="S1003" s="269" t="n"/>
      <c r="T1003" s="269" t="n"/>
      <c r="U1003" s="269" t="n"/>
      <c r="V1003" s="269" t="n"/>
      <c r="W1003" s="270" t="n"/>
    </row>
    <row r="1004" customFormat="1" s="163">
      <c r="A1004" s="282" t="n"/>
      <c r="B1004" s="277" t="n"/>
      <c r="C1004" s="278" t="n"/>
      <c r="D1004" s="269" t="n"/>
      <c r="E1004" s="269" t="n"/>
      <c r="F1004" s="269" t="n"/>
      <c r="G1004" s="269" t="n"/>
      <c r="H1004" s="269" t="n"/>
      <c r="I1004" s="269" t="n"/>
      <c r="J1004" s="269" t="n"/>
      <c r="K1004" s="269" t="n"/>
      <c r="L1004" s="269" t="n"/>
      <c r="M1004" s="269" t="n"/>
      <c r="N1004" s="269" t="n"/>
      <c r="O1004" s="269" t="n"/>
      <c r="P1004" s="269" t="n"/>
      <c r="Q1004" s="269" t="n"/>
      <c r="R1004" s="269" t="n"/>
      <c r="S1004" s="269" t="n"/>
      <c r="T1004" s="269" t="n"/>
      <c r="U1004" s="269" t="n"/>
      <c r="V1004" s="269" t="n"/>
      <c r="W1004" s="270" t="n"/>
    </row>
    <row r="1005" customFormat="1" s="163">
      <c r="A1005" s="282" t="n"/>
      <c r="B1005" s="277" t="n"/>
      <c r="C1005" s="278" t="n"/>
      <c r="D1005" s="269" t="n"/>
      <c r="E1005" s="269" t="n"/>
      <c r="F1005" s="269" t="n"/>
      <c r="G1005" s="269" t="n"/>
      <c r="H1005" s="269" t="n"/>
      <c r="I1005" s="269" t="n"/>
      <c r="J1005" s="269" t="n"/>
      <c r="K1005" s="269" t="n"/>
      <c r="L1005" s="269" t="n"/>
      <c r="M1005" s="269" t="n"/>
      <c r="N1005" s="269" t="n"/>
      <c r="O1005" s="269" t="n"/>
      <c r="P1005" s="269" t="n"/>
      <c r="Q1005" s="269" t="n"/>
      <c r="R1005" s="269" t="n"/>
      <c r="S1005" s="269" t="n"/>
      <c r="T1005" s="269" t="n"/>
      <c r="U1005" s="269" t="n"/>
      <c r="V1005" s="269" t="n"/>
      <c r="W1005" s="270" t="n"/>
    </row>
    <row r="1006" customFormat="1" s="163">
      <c r="A1006" s="282" t="n"/>
      <c r="B1006" s="277" t="n"/>
      <c r="C1006" s="278" t="n"/>
      <c r="D1006" s="269" t="n"/>
      <c r="E1006" s="269" t="n"/>
      <c r="F1006" s="269" t="n"/>
      <c r="G1006" s="269" t="n"/>
      <c r="H1006" s="269" t="n"/>
      <c r="I1006" s="269" t="n"/>
      <c r="J1006" s="269" t="n"/>
      <c r="K1006" s="269" t="n"/>
      <c r="L1006" s="269" t="n"/>
      <c r="M1006" s="269" t="n"/>
      <c r="N1006" s="269" t="n"/>
      <c r="O1006" s="269" t="n"/>
      <c r="P1006" s="269" t="n"/>
      <c r="Q1006" s="269" t="n"/>
      <c r="R1006" s="269" t="n"/>
      <c r="S1006" s="269" t="n"/>
      <c r="T1006" s="269" t="n"/>
      <c r="U1006" s="269" t="n"/>
      <c r="V1006" s="269" t="n"/>
      <c r="W1006" s="270" t="n"/>
    </row>
    <row r="1007" customFormat="1" s="163">
      <c r="A1007" s="282" t="n"/>
      <c r="B1007" s="277" t="n"/>
      <c r="C1007" s="278" t="n"/>
      <c r="D1007" s="269" t="n"/>
      <c r="E1007" s="269" t="n"/>
      <c r="F1007" s="269" t="n"/>
      <c r="G1007" s="269" t="n"/>
      <c r="H1007" s="269" t="n"/>
      <c r="I1007" s="269" t="n"/>
      <c r="J1007" s="269" t="n"/>
      <c r="K1007" s="269" t="n"/>
      <c r="L1007" s="269" t="n"/>
      <c r="M1007" s="269" t="n"/>
      <c r="N1007" s="269" t="n"/>
      <c r="O1007" s="269" t="n"/>
      <c r="P1007" s="269" t="n"/>
      <c r="Q1007" s="269" t="n"/>
      <c r="R1007" s="269" t="n"/>
      <c r="S1007" s="269" t="n"/>
      <c r="T1007" s="269" t="n"/>
      <c r="U1007" s="269" t="n"/>
      <c r="V1007" s="269" t="n"/>
      <c r="W1007" s="270" t="n"/>
    </row>
    <row r="1008" customFormat="1" s="163">
      <c r="A1008" s="282" t="n"/>
      <c r="B1008" s="277" t="n"/>
      <c r="C1008" s="278" t="n"/>
      <c r="D1008" s="269" t="n"/>
      <c r="E1008" s="269" t="n"/>
      <c r="F1008" s="269" t="n"/>
      <c r="G1008" s="269" t="n"/>
      <c r="H1008" s="269" t="n"/>
      <c r="I1008" s="269" t="n"/>
      <c r="J1008" s="269" t="n"/>
      <c r="K1008" s="269" t="n"/>
      <c r="L1008" s="269" t="n"/>
      <c r="M1008" s="269" t="n"/>
      <c r="N1008" s="269" t="n"/>
      <c r="O1008" s="269" t="n"/>
      <c r="P1008" s="269" t="n"/>
      <c r="Q1008" s="269" t="n"/>
      <c r="R1008" s="269" t="n"/>
      <c r="S1008" s="269" t="n"/>
      <c r="T1008" s="269" t="n"/>
      <c r="U1008" s="269" t="n"/>
      <c r="V1008" s="269" t="n"/>
      <c r="W1008" s="270" t="n"/>
    </row>
    <row r="1009" customFormat="1" s="163">
      <c r="A1009" s="282" t="n"/>
      <c r="B1009" s="277" t="n"/>
      <c r="C1009" s="278" t="n"/>
      <c r="D1009" s="269" t="n"/>
      <c r="E1009" s="269" t="n"/>
      <c r="F1009" s="269" t="n"/>
      <c r="G1009" s="269" t="n"/>
      <c r="H1009" s="269" t="n"/>
      <c r="I1009" s="269" t="n"/>
      <c r="J1009" s="269" t="n"/>
      <c r="K1009" s="269" t="n"/>
      <c r="L1009" s="269" t="n"/>
      <c r="M1009" s="269" t="n"/>
      <c r="N1009" s="269" t="n"/>
      <c r="O1009" s="269" t="n"/>
      <c r="P1009" s="269" t="n"/>
      <c r="Q1009" s="269" t="n"/>
      <c r="R1009" s="269" t="n"/>
      <c r="S1009" s="269" t="n"/>
      <c r="T1009" s="269" t="n"/>
      <c r="U1009" s="269" t="n"/>
      <c r="V1009" s="269" t="n"/>
      <c r="W1009" s="270" t="n"/>
    </row>
    <row r="1010" customFormat="1" s="163">
      <c r="A1010" s="282" t="n"/>
      <c r="B1010" s="277" t="n"/>
      <c r="C1010" s="278" t="n"/>
      <c r="D1010" s="269" t="n"/>
      <c r="E1010" s="269" t="n"/>
      <c r="F1010" s="269" t="n"/>
      <c r="G1010" s="269" t="n"/>
      <c r="H1010" s="269" t="n"/>
      <c r="I1010" s="269" t="n"/>
      <c r="J1010" s="269" t="n"/>
      <c r="K1010" s="269" t="n"/>
      <c r="L1010" s="269" t="n"/>
      <c r="M1010" s="269" t="n"/>
      <c r="N1010" s="269" t="n"/>
      <c r="O1010" s="269" t="n"/>
      <c r="P1010" s="269" t="n"/>
      <c r="Q1010" s="269" t="n"/>
      <c r="R1010" s="269" t="n"/>
      <c r="S1010" s="269" t="n"/>
      <c r="T1010" s="269" t="n"/>
      <c r="U1010" s="269" t="n"/>
      <c r="V1010" s="269" t="n"/>
      <c r="W1010" s="270" t="n"/>
    </row>
    <row r="1011" customFormat="1" s="163">
      <c r="A1011" s="282" t="n"/>
      <c r="B1011" s="277" t="n"/>
      <c r="C1011" s="278" t="n"/>
      <c r="D1011" s="269" t="n"/>
      <c r="E1011" s="269" t="n"/>
      <c r="F1011" s="269" t="n"/>
      <c r="G1011" s="269" t="n"/>
      <c r="H1011" s="269" t="n"/>
      <c r="I1011" s="269" t="n"/>
      <c r="J1011" s="269" t="n"/>
      <c r="K1011" s="269" t="n"/>
      <c r="L1011" s="269" t="n"/>
      <c r="M1011" s="269" t="n"/>
      <c r="N1011" s="269" t="n"/>
      <c r="O1011" s="269" t="n"/>
      <c r="P1011" s="269" t="n"/>
      <c r="Q1011" s="269" t="n"/>
      <c r="R1011" s="269" t="n"/>
      <c r="S1011" s="269" t="n"/>
      <c r="T1011" s="269" t="n"/>
      <c r="U1011" s="269" t="n"/>
      <c r="V1011" s="269" t="n"/>
      <c r="W1011" s="270" t="n"/>
    </row>
    <row r="1012" customFormat="1" s="163">
      <c r="A1012" s="282" t="n"/>
      <c r="B1012" s="277" t="n"/>
      <c r="C1012" s="278" t="n"/>
      <c r="D1012" s="269" t="n"/>
      <c r="E1012" s="269" t="n"/>
      <c r="F1012" s="269" t="n"/>
      <c r="G1012" s="269" t="n"/>
      <c r="H1012" s="269" t="n"/>
      <c r="I1012" s="269" t="n"/>
      <c r="J1012" s="269" t="n"/>
      <c r="K1012" s="269" t="n"/>
      <c r="L1012" s="269" t="n"/>
      <c r="M1012" s="269" t="n"/>
      <c r="N1012" s="269" t="n"/>
      <c r="O1012" s="269" t="n"/>
      <c r="P1012" s="269" t="n"/>
      <c r="Q1012" s="269" t="n"/>
      <c r="R1012" s="269" t="n"/>
      <c r="S1012" s="269" t="n"/>
      <c r="T1012" s="269" t="n"/>
      <c r="U1012" s="269" t="n"/>
      <c r="V1012" s="269" t="n"/>
      <c r="W1012" s="270" t="n"/>
    </row>
    <row r="1013" customFormat="1" s="163">
      <c r="A1013" s="282" t="n"/>
      <c r="B1013" s="277" t="n"/>
      <c r="C1013" s="278" t="n"/>
      <c r="D1013" s="269" t="n"/>
      <c r="E1013" s="269" t="n"/>
      <c r="F1013" s="269" t="n"/>
      <c r="G1013" s="269" t="n"/>
      <c r="H1013" s="269" t="n"/>
      <c r="I1013" s="269" t="n"/>
      <c r="J1013" s="269" t="n"/>
      <c r="K1013" s="269" t="n"/>
      <c r="L1013" s="269" t="n"/>
      <c r="M1013" s="269" t="n"/>
      <c r="N1013" s="269" t="n"/>
      <c r="O1013" s="269" t="n"/>
      <c r="P1013" s="269" t="n"/>
      <c r="Q1013" s="269" t="n"/>
      <c r="R1013" s="269" t="n"/>
      <c r="S1013" s="269" t="n"/>
      <c r="T1013" s="269" t="n"/>
      <c r="U1013" s="269" t="n"/>
      <c r="V1013" s="269" t="n"/>
      <c r="W1013" s="270" t="n"/>
    </row>
    <row r="1014" customFormat="1" s="163">
      <c r="A1014" s="282" t="n"/>
      <c r="B1014" s="277" t="n"/>
      <c r="C1014" s="278" t="n"/>
      <c r="D1014" s="269" t="n"/>
      <c r="E1014" s="269" t="n"/>
      <c r="F1014" s="269" t="n"/>
      <c r="G1014" s="269" t="n"/>
      <c r="H1014" s="269" t="n"/>
      <c r="I1014" s="269" t="n"/>
      <c r="J1014" s="269" t="n"/>
      <c r="K1014" s="269" t="n"/>
      <c r="L1014" s="269" t="n"/>
      <c r="M1014" s="269" t="n"/>
      <c r="N1014" s="269" t="n"/>
      <c r="O1014" s="269" t="n"/>
      <c r="P1014" s="269" t="n"/>
      <c r="Q1014" s="269" t="n"/>
      <c r="R1014" s="269" t="n"/>
      <c r="S1014" s="269" t="n"/>
      <c r="T1014" s="269" t="n"/>
      <c r="U1014" s="269" t="n"/>
      <c r="V1014" s="269" t="n"/>
      <c r="W1014" s="270" t="n"/>
    </row>
    <row r="1015" customFormat="1" s="163">
      <c r="A1015" s="282" t="n"/>
      <c r="B1015" s="277" t="n"/>
      <c r="C1015" s="278" t="n"/>
      <c r="D1015" s="269" t="n"/>
      <c r="E1015" s="269" t="n"/>
      <c r="F1015" s="269" t="n"/>
      <c r="G1015" s="269" t="n"/>
      <c r="H1015" s="269" t="n"/>
      <c r="I1015" s="269" t="n"/>
      <c r="J1015" s="269" t="n"/>
      <c r="K1015" s="269" t="n"/>
      <c r="L1015" s="269" t="n"/>
      <c r="M1015" s="269" t="n"/>
      <c r="N1015" s="269" t="n"/>
      <c r="O1015" s="269" t="n"/>
      <c r="P1015" s="269" t="n"/>
      <c r="Q1015" s="269" t="n"/>
      <c r="R1015" s="269" t="n"/>
      <c r="S1015" s="269" t="n"/>
      <c r="T1015" s="269" t="n"/>
      <c r="U1015" s="269" t="n"/>
      <c r="V1015" s="269" t="n"/>
      <c r="W1015" s="270" t="n"/>
    </row>
    <row r="1016" customFormat="1" s="163">
      <c r="A1016" s="282" t="n"/>
      <c r="B1016" s="277" t="n"/>
      <c r="C1016" s="278" t="n"/>
      <c r="D1016" s="269" t="n"/>
      <c r="E1016" s="269" t="n"/>
      <c r="F1016" s="269" t="n"/>
      <c r="G1016" s="269" t="n"/>
      <c r="H1016" s="269" t="n"/>
      <c r="I1016" s="269" t="n"/>
      <c r="J1016" s="269" t="n"/>
      <c r="K1016" s="269" t="n"/>
      <c r="L1016" s="269" t="n"/>
      <c r="M1016" s="269" t="n"/>
      <c r="N1016" s="269" t="n"/>
      <c r="O1016" s="269" t="n"/>
      <c r="P1016" s="269" t="n"/>
      <c r="Q1016" s="269" t="n"/>
      <c r="R1016" s="269" t="n"/>
      <c r="S1016" s="269" t="n"/>
      <c r="T1016" s="269" t="n"/>
      <c r="U1016" s="269" t="n"/>
      <c r="V1016" s="269" t="n"/>
      <c r="W1016" s="270" t="n"/>
    </row>
    <row r="1017" customFormat="1" s="163">
      <c r="A1017" s="282" t="n"/>
      <c r="B1017" s="277" t="n"/>
      <c r="C1017" s="278" t="n"/>
      <c r="D1017" s="269" t="n"/>
      <c r="E1017" s="269" t="n"/>
      <c r="F1017" s="269" t="n"/>
      <c r="G1017" s="269" t="n"/>
      <c r="H1017" s="269" t="n"/>
      <c r="I1017" s="269" t="n"/>
      <c r="J1017" s="269" t="n"/>
      <c r="K1017" s="269" t="n"/>
      <c r="L1017" s="269" t="n"/>
      <c r="M1017" s="269" t="n"/>
      <c r="N1017" s="269" t="n"/>
      <c r="O1017" s="269" t="n"/>
      <c r="P1017" s="269" t="n"/>
      <c r="Q1017" s="269" t="n"/>
      <c r="R1017" s="269" t="n"/>
      <c r="S1017" s="269" t="n"/>
      <c r="T1017" s="269" t="n"/>
      <c r="U1017" s="269" t="n"/>
      <c r="V1017" s="269" t="n"/>
      <c r="W1017" s="270" t="n"/>
    </row>
    <row r="1018" customFormat="1" s="163">
      <c r="A1018" s="282" t="n"/>
      <c r="B1018" s="277" t="n"/>
      <c r="C1018" s="278" t="n"/>
      <c r="D1018" s="269" t="n"/>
      <c r="E1018" s="269" t="n"/>
      <c r="F1018" s="269" t="n"/>
      <c r="G1018" s="269" t="n"/>
      <c r="H1018" s="269" t="n"/>
      <c r="I1018" s="269" t="n"/>
      <c r="J1018" s="269" t="n"/>
      <c r="K1018" s="269" t="n"/>
      <c r="L1018" s="269" t="n"/>
      <c r="M1018" s="269" t="n"/>
      <c r="N1018" s="269" t="n"/>
      <c r="O1018" s="269" t="n"/>
      <c r="P1018" s="269" t="n"/>
      <c r="Q1018" s="269" t="n"/>
      <c r="R1018" s="269" t="n"/>
      <c r="S1018" s="269" t="n"/>
      <c r="T1018" s="269" t="n"/>
      <c r="U1018" s="269" t="n"/>
      <c r="V1018" s="269" t="n"/>
      <c r="W1018" s="270" t="n"/>
    </row>
    <row r="1019" customFormat="1" s="163">
      <c r="A1019" s="282" t="n"/>
      <c r="B1019" s="277" t="n"/>
      <c r="C1019" s="278" t="n"/>
      <c r="D1019" s="269" t="n"/>
      <c r="E1019" s="269" t="n"/>
      <c r="F1019" s="269" t="n"/>
      <c r="G1019" s="269" t="n"/>
      <c r="H1019" s="269" t="n"/>
      <c r="I1019" s="269" t="n"/>
      <c r="J1019" s="269" t="n"/>
      <c r="K1019" s="269" t="n"/>
      <c r="L1019" s="269" t="n"/>
      <c r="M1019" s="269" t="n"/>
      <c r="N1019" s="269" t="n"/>
      <c r="O1019" s="269" t="n"/>
      <c r="P1019" s="269" t="n"/>
      <c r="Q1019" s="269" t="n"/>
      <c r="R1019" s="269" t="n"/>
      <c r="S1019" s="269" t="n"/>
      <c r="T1019" s="269" t="n"/>
      <c r="U1019" s="269" t="n"/>
      <c r="V1019" s="269" t="n"/>
      <c r="W1019" s="270" t="n"/>
    </row>
    <row r="1020" customFormat="1" s="163">
      <c r="A1020" s="282" t="n"/>
      <c r="B1020" s="277" t="n"/>
      <c r="C1020" s="278" t="n"/>
      <c r="D1020" s="269" t="n"/>
      <c r="E1020" s="269" t="n"/>
      <c r="F1020" s="269" t="n"/>
      <c r="G1020" s="269" t="n"/>
      <c r="H1020" s="269" t="n"/>
      <c r="I1020" s="269" t="n"/>
      <c r="J1020" s="269" t="n"/>
      <c r="K1020" s="269" t="n"/>
      <c r="L1020" s="269" t="n"/>
      <c r="M1020" s="269" t="n"/>
      <c r="N1020" s="269" t="n"/>
      <c r="O1020" s="269" t="n"/>
      <c r="P1020" s="269" t="n"/>
      <c r="Q1020" s="269" t="n"/>
      <c r="R1020" s="269" t="n"/>
      <c r="S1020" s="269" t="n"/>
      <c r="T1020" s="269" t="n"/>
      <c r="U1020" s="269" t="n"/>
      <c r="V1020" s="269" t="n"/>
      <c r="W1020" s="270" t="n"/>
    </row>
    <row r="1021" customFormat="1" s="163">
      <c r="A1021" s="282" t="n"/>
      <c r="B1021" s="277" t="n"/>
      <c r="C1021" s="278" t="n"/>
      <c r="D1021" s="269" t="n"/>
      <c r="E1021" s="269" t="n"/>
      <c r="F1021" s="269" t="n"/>
      <c r="G1021" s="269" t="n"/>
      <c r="H1021" s="269" t="n"/>
      <c r="I1021" s="269" t="n"/>
      <c r="J1021" s="269" t="n"/>
      <c r="K1021" s="269" t="n"/>
      <c r="L1021" s="269" t="n"/>
      <c r="M1021" s="269" t="n"/>
      <c r="N1021" s="269" t="n"/>
      <c r="O1021" s="269" t="n"/>
      <c r="P1021" s="269" t="n"/>
      <c r="Q1021" s="269" t="n"/>
      <c r="R1021" s="269" t="n"/>
      <c r="S1021" s="269" t="n"/>
      <c r="T1021" s="269" t="n"/>
      <c r="U1021" s="269" t="n"/>
      <c r="V1021" s="269" t="n"/>
      <c r="W1021" s="270" t="n"/>
    </row>
    <row r="1022" customFormat="1" s="163">
      <c r="A1022" s="282" t="n"/>
      <c r="B1022" s="277" t="n"/>
      <c r="C1022" s="278" t="n"/>
      <c r="D1022" s="269" t="n"/>
      <c r="E1022" s="269" t="n"/>
      <c r="F1022" s="269" t="n"/>
      <c r="G1022" s="269" t="n"/>
      <c r="H1022" s="269" t="n"/>
      <c r="I1022" s="269" t="n"/>
      <c r="J1022" s="269" t="n"/>
      <c r="K1022" s="269" t="n"/>
      <c r="L1022" s="269" t="n"/>
      <c r="M1022" s="269" t="n"/>
      <c r="N1022" s="269" t="n"/>
      <c r="O1022" s="269" t="n"/>
      <c r="P1022" s="269" t="n"/>
      <c r="Q1022" s="269" t="n"/>
      <c r="R1022" s="269" t="n"/>
      <c r="S1022" s="269" t="n"/>
      <c r="T1022" s="269" t="n"/>
      <c r="U1022" s="269" t="n"/>
      <c r="V1022" s="269" t="n"/>
      <c r="W1022" s="270" t="n"/>
    </row>
    <row r="1023" customFormat="1" s="163">
      <c r="A1023" s="282" t="n"/>
      <c r="B1023" s="277" t="n"/>
      <c r="C1023" s="278" t="n"/>
      <c r="D1023" s="269" t="n"/>
      <c r="E1023" s="269" t="n"/>
      <c r="F1023" s="269" t="n"/>
      <c r="G1023" s="269" t="n"/>
      <c r="H1023" s="269" t="n"/>
      <c r="I1023" s="269" t="n"/>
      <c r="J1023" s="269" t="n"/>
      <c r="K1023" s="269" t="n"/>
      <c r="L1023" s="269" t="n"/>
      <c r="M1023" s="269" t="n"/>
      <c r="N1023" s="269" t="n"/>
      <c r="O1023" s="269" t="n"/>
      <c r="P1023" s="269" t="n"/>
      <c r="Q1023" s="269" t="n"/>
      <c r="R1023" s="269" t="n"/>
      <c r="S1023" s="269" t="n"/>
      <c r="T1023" s="269" t="n"/>
      <c r="U1023" s="269" t="n"/>
      <c r="V1023" s="269" t="n"/>
      <c r="W1023" s="270" t="n"/>
    </row>
    <row r="1024" customFormat="1" s="163">
      <c r="A1024" s="282" t="n"/>
      <c r="B1024" s="277" t="n"/>
      <c r="C1024" s="278" t="n"/>
      <c r="D1024" s="269" t="n"/>
      <c r="E1024" s="269" t="n"/>
      <c r="F1024" s="269" t="n"/>
      <c r="G1024" s="269" t="n"/>
      <c r="H1024" s="269" t="n"/>
      <c r="I1024" s="269" t="n"/>
      <c r="J1024" s="269" t="n"/>
      <c r="K1024" s="269" t="n"/>
      <c r="L1024" s="269" t="n"/>
      <c r="M1024" s="269" t="n"/>
      <c r="N1024" s="269" t="n"/>
      <c r="O1024" s="269" t="n"/>
      <c r="P1024" s="269" t="n"/>
      <c r="Q1024" s="269" t="n"/>
      <c r="R1024" s="269" t="n"/>
      <c r="S1024" s="269" t="n"/>
      <c r="T1024" s="269" t="n"/>
      <c r="U1024" s="269" t="n"/>
      <c r="V1024" s="269" t="n"/>
      <c r="W1024" s="270" t="n"/>
    </row>
    <row r="1025" customFormat="1" s="163">
      <c r="A1025" s="282" t="n"/>
      <c r="B1025" s="277" t="n"/>
      <c r="C1025" s="278" t="n"/>
      <c r="D1025" s="269" t="n"/>
      <c r="E1025" s="269" t="n"/>
      <c r="F1025" s="269" t="n"/>
      <c r="G1025" s="269" t="n"/>
      <c r="H1025" s="269" t="n"/>
      <c r="I1025" s="269" t="n"/>
      <c r="J1025" s="269" t="n"/>
      <c r="K1025" s="269" t="n"/>
      <c r="L1025" s="269" t="n"/>
      <c r="M1025" s="269" t="n"/>
      <c r="N1025" s="269" t="n"/>
      <c r="O1025" s="269" t="n"/>
      <c r="P1025" s="269" t="n"/>
      <c r="Q1025" s="269" t="n"/>
      <c r="R1025" s="269" t="n"/>
      <c r="S1025" s="269" t="n"/>
      <c r="T1025" s="269" t="n"/>
      <c r="U1025" s="269" t="n"/>
      <c r="V1025" s="269" t="n"/>
      <c r="W1025" s="270" t="n"/>
    </row>
    <row r="1026" customFormat="1" s="163">
      <c r="A1026" s="282" t="n"/>
      <c r="B1026" s="277" t="n"/>
      <c r="C1026" s="278" t="n"/>
      <c r="D1026" s="269" t="n"/>
      <c r="E1026" s="269" t="n"/>
      <c r="F1026" s="269" t="n"/>
      <c r="G1026" s="269" t="n"/>
      <c r="H1026" s="269" t="n"/>
      <c r="I1026" s="269" t="n"/>
      <c r="J1026" s="269" t="n"/>
      <c r="K1026" s="269" t="n"/>
      <c r="L1026" s="269" t="n"/>
      <c r="M1026" s="269" t="n"/>
      <c r="N1026" s="269" t="n"/>
      <c r="O1026" s="269" t="n"/>
      <c r="P1026" s="269" t="n"/>
      <c r="Q1026" s="269" t="n"/>
      <c r="R1026" s="269" t="n"/>
      <c r="S1026" s="269" t="n"/>
      <c r="T1026" s="269" t="n"/>
      <c r="U1026" s="269" t="n"/>
      <c r="V1026" s="269" t="n"/>
      <c r="W1026" s="270" t="n"/>
    </row>
    <row r="1027" customFormat="1" s="163">
      <c r="A1027" s="282" t="n"/>
      <c r="B1027" s="277" t="n"/>
      <c r="C1027" s="278" t="n"/>
      <c r="D1027" s="269" t="n"/>
      <c r="E1027" s="269" t="n"/>
      <c r="F1027" s="269" t="n"/>
      <c r="G1027" s="269" t="n"/>
      <c r="H1027" s="269" t="n"/>
      <c r="I1027" s="269" t="n"/>
      <c r="J1027" s="269" t="n"/>
      <c r="K1027" s="269" t="n"/>
      <c r="L1027" s="269" t="n"/>
      <c r="M1027" s="269" t="n"/>
      <c r="N1027" s="269" t="n"/>
      <c r="O1027" s="269" t="n"/>
      <c r="P1027" s="269" t="n"/>
      <c r="Q1027" s="269" t="n"/>
      <c r="R1027" s="269" t="n"/>
      <c r="S1027" s="269" t="n"/>
      <c r="T1027" s="269" t="n"/>
      <c r="U1027" s="269" t="n"/>
      <c r="V1027" s="269" t="n"/>
      <c r="W1027" s="270" t="n"/>
    </row>
    <row r="1028" customFormat="1" s="163">
      <c r="A1028" s="282" t="n"/>
      <c r="B1028" s="277" t="n"/>
      <c r="C1028" s="278" t="n"/>
      <c r="D1028" s="269" t="n"/>
      <c r="E1028" s="269" t="n"/>
      <c r="F1028" s="269" t="n"/>
      <c r="G1028" s="269" t="n"/>
      <c r="H1028" s="269" t="n"/>
      <c r="I1028" s="269" t="n"/>
      <c r="J1028" s="269" t="n"/>
      <c r="K1028" s="269" t="n"/>
      <c r="L1028" s="269" t="n"/>
      <c r="M1028" s="269" t="n"/>
      <c r="N1028" s="269" t="n"/>
      <c r="O1028" s="269" t="n"/>
      <c r="P1028" s="269" t="n"/>
      <c r="Q1028" s="269" t="n"/>
      <c r="R1028" s="269" t="n"/>
      <c r="S1028" s="269" t="n"/>
      <c r="T1028" s="269" t="n"/>
      <c r="U1028" s="269" t="n"/>
      <c r="V1028" s="269" t="n"/>
      <c r="W1028" s="270" t="n"/>
    </row>
    <row r="1029" customFormat="1" s="163">
      <c r="A1029" s="282" t="n"/>
      <c r="B1029" s="277" t="n"/>
      <c r="C1029" s="278" t="n"/>
      <c r="D1029" s="269" t="n"/>
      <c r="E1029" s="269" t="n"/>
      <c r="F1029" s="269" t="n"/>
      <c r="G1029" s="269" t="n"/>
      <c r="H1029" s="269" t="n"/>
      <c r="I1029" s="269" t="n"/>
      <c r="J1029" s="269" t="n"/>
      <c r="K1029" s="269" t="n"/>
      <c r="L1029" s="269" t="n"/>
      <c r="M1029" s="269" t="n"/>
      <c r="N1029" s="269" t="n"/>
      <c r="O1029" s="269" t="n"/>
      <c r="P1029" s="269" t="n"/>
      <c r="Q1029" s="269" t="n"/>
      <c r="R1029" s="269" t="n"/>
      <c r="S1029" s="269" t="n"/>
      <c r="T1029" s="269" t="n"/>
      <c r="U1029" s="269" t="n"/>
      <c r="V1029" s="269" t="n"/>
      <c r="W1029" s="270" t="n"/>
    </row>
    <row r="1030" customFormat="1" s="163">
      <c r="A1030" s="282" t="n"/>
      <c r="B1030" s="277" t="n"/>
      <c r="C1030" s="278" t="n"/>
      <c r="D1030" s="269" t="n"/>
      <c r="E1030" s="269" t="n"/>
      <c r="F1030" s="269" t="n"/>
      <c r="G1030" s="269" t="n"/>
      <c r="H1030" s="269" t="n"/>
      <c r="I1030" s="269" t="n"/>
      <c r="J1030" s="269" t="n"/>
      <c r="K1030" s="269" t="n"/>
      <c r="L1030" s="269" t="n"/>
      <c r="M1030" s="269" t="n"/>
      <c r="N1030" s="269" t="n"/>
      <c r="O1030" s="269" t="n"/>
      <c r="P1030" s="269" t="n"/>
      <c r="Q1030" s="269" t="n"/>
      <c r="R1030" s="269" t="n"/>
      <c r="S1030" s="269" t="n"/>
      <c r="T1030" s="269" t="n"/>
      <c r="U1030" s="269" t="n"/>
      <c r="V1030" s="269" t="n"/>
      <c r="W1030" s="270" t="n"/>
    </row>
    <row r="1031" customFormat="1" s="163">
      <c r="A1031" s="282" t="n"/>
      <c r="B1031" s="277" t="n"/>
      <c r="C1031" s="278" t="n"/>
      <c r="D1031" s="269" t="n"/>
      <c r="E1031" s="269" t="n"/>
      <c r="F1031" s="269" t="n"/>
      <c r="G1031" s="269" t="n"/>
      <c r="H1031" s="269" t="n"/>
      <c r="I1031" s="269" t="n"/>
      <c r="J1031" s="269" t="n"/>
      <c r="K1031" s="269" t="n"/>
      <c r="L1031" s="269" t="n"/>
      <c r="M1031" s="269" t="n"/>
      <c r="N1031" s="269" t="n"/>
      <c r="O1031" s="269" t="n"/>
      <c r="P1031" s="269" t="n"/>
      <c r="Q1031" s="269" t="n"/>
      <c r="R1031" s="269" t="n"/>
      <c r="S1031" s="269" t="n"/>
      <c r="T1031" s="269" t="n"/>
      <c r="U1031" s="269" t="n"/>
      <c r="V1031" s="269" t="n"/>
      <c r="W1031" s="270" t="n"/>
    </row>
    <row r="1032" customFormat="1" s="163">
      <c r="A1032" s="282" t="n"/>
      <c r="B1032" s="277" t="n"/>
      <c r="C1032" s="278" t="n"/>
      <c r="D1032" s="269" t="n"/>
      <c r="E1032" s="269" t="n"/>
      <c r="F1032" s="269" t="n"/>
      <c r="G1032" s="269" t="n"/>
      <c r="H1032" s="269" t="n"/>
      <c r="I1032" s="269" t="n"/>
      <c r="J1032" s="269" t="n"/>
      <c r="K1032" s="269" t="n"/>
      <c r="L1032" s="269" t="n"/>
      <c r="M1032" s="269" t="n"/>
      <c r="N1032" s="269" t="n"/>
      <c r="O1032" s="269" t="n"/>
      <c r="P1032" s="269" t="n"/>
      <c r="Q1032" s="269" t="n"/>
      <c r="R1032" s="269" t="n"/>
      <c r="S1032" s="269" t="n"/>
      <c r="T1032" s="269" t="n"/>
      <c r="U1032" s="269" t="n"/>
      <c r="V1032" s="269" t="n"/>
      <c r="W1032" s="270" t="n"/>
    </row>
    <row r="1033" customFormat="1" s="163">
      <c r="A1033" s="282" t="n"/>
      <c r="B1033" s="277" t="n"/>
      <c r="C1033" s="278" t="n"/>
      <c r="D1033" s="269" t="n"/>
      <c r="E1033" s="269" t="n"/>
      <c r="F1033" s="269" t="n"/>
      <c r="G1033" s="269" t="n"/>
      <c r="H1033" s="269" t="n"/>
      <c r="I1033" s="269" t="n"/>
      <c r="J1033" s="269" t="n"/>
      <c r="K1033" s="269" t="n"/>
      <c r="L1033" s="269" t="n"/>
      <c r="M1033" s="269" t="n"/>
      <c r="N1033" s="269" t="n"/>
      <c r="O1033" s="269" t="n"/>
      <c r="P1033" s="269" t="n"/>
      <c r="Q1033" s="269" t="n"/>
      <c r="R1033" s="269" t="n"/>
      <c r="S1033" s="269" t="n"/>
      <c r="T1033" s="269" t="n"/>
      <c r="U1033" s="269" t="n"/>
      <c r="V1033" s="269" t="n"/>
      <c r="W1033" s="270" t="n"/>
    </row>
    <row r="1034" customFormat="1" s="163">
      <c r="A1034" s="282" t="n"/>
      <c r="B1034" s="277" t="n"/>
      <c r="C1034" s="278" t="n"/>
      <c r="D1034" s="269" t="n"/>
      <c r="E1034" s="269" t="n"/>
      <c r="F1034" s="269" t="n"/>
      <c r="G1034" s="269" t="n"/>
      <c r="H1034" s="269" t="n"/>
      <c r="I1034" s="269" t="n"/>
      <c r="J1034" s="269" t="n"/>
      <c r="K1034" s="269" t="n"/>
      <c r="L1034" s="269" t="n"/>
      <c r="M1034" s="269" t="n"/>
      <c r="N1034" s="269" t="n"/>
      <c r="O1034" s="269" t="n"/>
      <c r="P1034" s="269" t="n"/>
      <c r="Q1034" s="269" t="n"/>
      <c r="R1034" s="269" t="n"/>
      <c r="S1034" s="269" t="n"/>
      <c r="T1034" s="269" t="n"/>
      <c r="U1034" s="269" t="n"/>
      <c r="V1034" s="269" t="n"/>
      <c r="W1034" s="270" t="n"/>
    </row>
    <row r="1035" customFormat="1" s="163">
      <c r="A1035" s="282" t="n"/>
      <c r="B1035" s="277" t="n"/>
      <c r="C1035" s="278" t="n"/>
      <c r="D1035" s="269" t="n"/>
      <c r="E1035" s="269" t="n"/>
      <c r="F1035" s="269" t="n"/>
      <c r="G1035" s="269" t="n"/>
      <c r="H1035" s="269" t="n"/>
      <c r="I1035" s="269" t="n"/>
      <c r="J1035" s="269" t="n"/>
      <c r="K1035" s="269" t="n"/>
      <c r="L1035" s="269" t="n"/>
      <c r="M1035" s="269" t="n"/>
      <c r="N1035" s="269" t="n"/>
      <c r="O1035" s="269" t="n"/>
      <c r="P1035" s="269" t="n"/>
      <c r="Q1035" s="269" t="n"/>
      <c r="R1035" s="269" t="n"/>
      <c r="S1035" s="269" t="n"/>
      <c r="T1035" s="269" t="n"/>
      <c r="U1035" s="269" t="n"/>
      <c r="V1035" s="269" t="n"/>
      <c r="W1035" s="270" t="n"/>
    </row>
    <row r="1036" customFormat="1" s="163">
      <c r="A1036" s="282" t="n"/>
      <c r="B1036" s="277" t="n"/>
      <c r="C1036" s="278" t="n"/>
      <c r="D1036" s="269" t="n"/>
      <c r="E1036" s="269" t="n"/>
      <c r="F1036" s="269" t="n"/>
      <c r="G1036" s="269" t="n"/>
      <c r="H1036" s="269" t="n"/>
      <c r="I1036" s="269" t="n"/>
      <c r="J1036" s="269" t="n"/>
      <c r="K1036" s="269" t="n"/>
      <c r="L1036" s="269" t="n"/>
      <c r="M1036" s="269" t="n"/>
      <c r="N1036" s="269" t="n"/>
      <c r="O1036" s="269" t="n"/>
      <c r="P1036" s="269" t="n"/>
      <c r="Q1036" s="269" t="n"/>
      <c r="R1036" s="269" t="n"/>
      <c r="S1036" s="269" t="n"/>
      <c r="T1036" s="269" t="n"/>
      <c r="U1036" s="269" t="n"/>
      <c r="V1036" s="269" t="n"/>
      <c r="W1036" s="270" t="n"/>
    </row>
    <row r="1037" customFormat="1" s="163">
      <c r="A1037" s="282" t="n"/>
      <c r="B1037" s="277" t="n"/>
      <c r="C1037" s="278" t="n"/>
      <c r="D1037" s="269" t="n"/>
      <c r="E1037" s="269" t="n"/>
      <c r="F1037" s="269" t="n"/>
      <c r="G1037" s="269" t="n"/>
      <c r="H1037" s="269" t="n"/>
      <c r="I1037" s="269" t="n"/>
      <c r="J1037" s="269" t="n"/>
      <c r="K1037" s="269" t="n"/>
      <c r="L1037" s="269" t="n"/>
      <c r="M1037" s="269" t="n"/>
      <c r="N1037" s="269" t="n"/>
      <c r="O1037" s="269" t="n"/>
      <c r="P1037" s="269" t="n"/>
      <c r="Q1037" s="269" t="n"/>
      <c r="R1037" s="269" t="n"/>
      <c r="S1037" s="269" t="n"/>
      <c r="T1037" s="269" t="n"/>
      <c r="U1037" s="269" t="n"/>
      <c r="V1037" s="269" t="n"/>
      <c r="W1037" s="270" t="n"/>
    </row>
    <row r="1038" customFormat="1" s="163">
      <c r="A1038" s="282" t="n"/>
      <c r="B1038" s="277" t="n"/>
      <c r="C1038" s="278" t="n"/>
      <c r="D1038" s="269" t="n"/>
      <c r="E1038" s="269" t="n"/>
      <c r="F1038" s="269" t="n"/>
      <c r="G1038" s="269" t="n"/>
      <c r="H1038" s="269" t="n"/>
      <c r="I1038" s="269" t="n"/>
      <c r="J1038" s="269" t="n"/>
      <c r="K1038" s="269" t="n"/>
      <c r="L1038" s="269" t="n"/>
      <c r="M1038" s="269" t="n"/>
      <c r="N1038" s="269" t="n"/>
      <c r="O1038" s="269" t="n"/>
      <c r="P1038" s="269" t="n"/>
      <c r="Q1038" s="269" t="n"/>
      <c r="R1038" s="269" t="n"/>
      <c r="S1038" s="269" t="n"/>
      <c r="T1038" s="269" t="n"/>
      <c r="U1038" s="269" t="n"/>
      <c r="V1038" s="269" t="n"/>
      <c r="W1038" s="270" t="n"/>
    </row>
    <row r="1039" customFormat="1" s="163">
      <c r="A1039" s="282" t="n"/>
      <c r="B1039" s="277" t="n"/>
      <c r="C1039" s="278" t="n"/>
      <c r="D1039" s="269" t="n"/>
      <c r="E1039" s="269" t="n"/>
      <c r="F1039" s="269" t="n"/>
      <c r="G1039" s="269" t="n"/>
      <c r="H1039" s="269" t="n"/>
      <c r="I1039" s="269" t="n"/>
      <c r="J1039" s="269" t="n"/>
      <c r="K1039" s="269" t="n"/>
      <c r="L1039" s="269" t="n"/>
      <c r="M1039" s="269" t="n"/>
      <c r="N1039" s="269" t="n"/>
      <c r="O1039" s="269" t="n"/>
      <c r="P1039" s="269" t="n"/>
      <c r="Q1039" s="269" t="n"/>
      <c r="R1039" s="269" t="n"/>
      <c r="S1039" s="269" t="n"/>
      <c r="T1039" s="269" t="n"/>
      <c r="U1039" s="269" t="n"/>
      <c r="V1039" s="269" t="n"/>
      <c r="W1039" s="270" t="n"/>
    </row>
    <row r="1040" customFormat="1" s="163">
      <c r="A1040" s="282" t="n"/>
      <c r="B1040" s="277" t="n"/>
      <c r="C1040" s="278" t="n"/>
      <c r="D1040" s="269" t="n"/>
      <c r="E1040" s="269" t="n"/>
      <c r="F1040" s="269" t="n"/>
      <c r="G1040" s="269" t="n"/>
      <c r="H1040" s="269" t="n"/>
      <c r="I1040" s="269" t="n"/>
      <c r="J1040" s="269" t="n"/>
      <c r="K1040" s="269" t="n"/>
      <c r="L1040" s="269" t="n"/>
      <c r="M1040" s="269" t="n"/>
      <c r="N1040" s="269" t="n"/>
      <c r="O1040" s="269" t="n"/>
      <c r="P1040" s="269" t="n"/>
      <c r="Q1040" s="269" t="n"/>
      <c r="R1040" s="269" t="n"/>
      <c r="S1040" s="269" t="n"/>
      <c r="T1040" s="269" t="n"/>
      <c r="U1040" s="269" t="n"/>
      <c r="V1040" s="269" t="n"/>
      <c r="W1040" s="270" t="n"/>
    </row>
    <row r="1041" customFormat="1" s="163">
      <c r="A1041" s="282" t="n"/>
      <c r="B1041" s="277" t="n"/>
      <c r="C1041" s="278" t="n"/>
      <c r="D1041" s="269" t="n"/>
      <c r="E1041" s="269" t="n"/>
      <c r="F1041" s="269" t="n"/>
      <c r="G1041" s="269" t="n"/>
      <c r="H1041" s="269" t="n"/>
      <c r="I1041" s="269" t="n"/>
      <c r="J1041" s="269" t="n"/>
      <c r="K1041" s="269" t="n"/>
      <c r="L1041" s="269" t="n"/>
      <c r="M1041" s="269" t="n"/>
      <c r="N1041" s="269" t="n"/>
      <c r="O1041" s="269" t="n"/>
      <c r="P1041" s="269" t="n"/>
      <c r="Q1041" s="269" t="n"/>
      <c r="R1041" s="269" t="n"/>
      <c r="S1041" s="269" t="n"/>
      <c r="T1041" s="269" t="n"/>
      <c r="U1041" s="269" t="n"/>
      <c r="V1041" s="269" t="n"/>
      <c r="W1041" s="270" t="n"/>
    </row>
    <row r="1042" customFormat="1" s="163">
      <c r="A1042" s="282" t="n"/>
      <c r="B1042" s="277" t="n"/>
      <c r="C1042" s="278" t="n"/>
      <c r="D1042" s="269" t="n"/>
      <c r="E1042" s="269" t="n"/>
      <c r="F1042" s="269" t="n"/>
      <c r="G1042" s="269" t="n"/>
      <c r="H1042" s="269" t="n"/>
      <c r="I1042" s="269" t="n"/>
      <c r="J1042" s="269" t="n"/>
      <c r="K1042" s="269" t="n"/>
      <c r="L1042" s="269" t="n"/>
      <c r="M1042" s="269" t="n"/>
      <c r="N1042" s="269" t="n"/>
      <c r="O1042" s="269" t="n"/>
      <c r="P1042" s="269" t="n"/>
      <c r="Q1042" s="269" t="n"/>
      <c r="R1042" s="269" t="n"/>
      <c r="S1042" s="269" t="n"/>
      <c r="T1042" s="269" t="n"/>
      <c r="U1042" s="269" t="n"/>
      <c r="V1042" s="269" t="n"/>
      <c r="W1042" s="270" t="n"/>
    </row>
    <row r="1043" customFormat="1" s="163">
      <c r="A1043" s="282" t="n"/>
      <c r="B1043" s="277" t="n"/>
      <c r="C1043" s="278" t="n"/>
      <c r="D1043" s="269" t="n"/>
      <c r="E1043" s="269" t="n"/>
      <c r="F1043" s="269" t="n"/>
      <c r="G1043" s="269" t="n"/>
      <c r="H1043" s="269" t="n"/>
      <c r="I1043" s="269" t="n"/>
      <c r="J1043" s="269" t="n"/>
      <c r="K1043" s="269" t="n"/>
      <c r="L1043" s="269" t="n"/>
      <c r="M1043" s="269" t="n"/>
      <c r="N1043" s="269" t="n"/>
      <c r="O1043" s="269" t="n"/>
      <c r="P1043" s="269" t="n"/>
      <c r="Q1043" s="269" t="n"/>
      <c r="R1043" s="269" t="n"/>
      <c r="S1043" s="269" t="n"/>
      <c r="T1043" s="269" t="n"/>
      <c r="U1043" s="269" t="n"/>
      <c r="V1043" s="269" t="n"/>
      <c r="W1043" s="270" t="n"/>
    </row>
    <row r="1044" customFormat="1" s="163">
      <c r="A1044" s="282" t="n"/>
      <c r="B1044" s="277" t="n"/>
      <c r="C1044" s="278" t="n"/>
      <c r="D1044" s="269" t="n"/>
      <c r="E1044" s="269" t="n"/>
      <c r="F1044" s="269" t="n"/>
      <c r="G1044" s="269" t="n"/>
      <c r="H1044" s="269" t="n"/>
      <c r="I1044" s="269" t="n"/>
      <c r="J1044" s="269" t="n"/>
      <c r="K1044" s="269" t="n"/>
      <c r="L1044" s="269" t="n"/>
      <c r="M1044" s="269" t="n"/>
      <c r="N1044" s="269" t="n"/>
      <c r="O1044" s="269" t="n"/>
      <c r="P1044" s="269" t="n"/>
      <c r="Q1044" s="269" t="n"/>
      <c r="R1044" s="269" t="n"/>
      <c r="S1044" s="269" t="n"/>
      <c r="T1044" s="269" t="n"/>
      <c r="U1044" s="269" t="n"/>
      <c r="V1044" s="269" t="n"/>
      <c r="W1044" s="270" t="n"/>
    </row>
    <row r="1045" customFormat="1" s="163">
      <c r="A1045" s="282" t="n"/>
      <c r="B1045" s="277" t="n"/>
      <c r="C1045" s="278" t="n"/>
      <c r="D1045" s="269" t="n"/>
      <c r="E1045" s="269" t="n"/>
      <c r="F1045" s="269" t="n"/>
      <c r="G1045" s="269" t="n"/>
      <c r="H1045" s="269" t="n"/>
      <c r="I1045" s="269" t="n"/>
      <c r="J1045" s="269" t="n"/>
      <c r="K1045" s="269" t="n"/>
      <c r="L1045" s="269" t="n"/>
      <c r="M1045" s="269" t="n"/>
      <c r="N1045" s="269" t="n"/>
      <c r="O1045" s="269" t="n"/>
      <c r="P1045" s="269" t="n"/>
      <c r="Q1045" s="269" t="n"/>
      <c r="R1045" s="269" t="n"/>
      <c r="S1045" s="269" t="n"/>
      <c r="T1045" s="269" t="n"/>
      <c r="U1045" s="269" t="n"/>
      <c r="V1045" s="269" t="n"/>
      <c r="W1045" s="270" t="n"/>
    </row>
    <row r="1046" customFormat="1" s="163">
      <c r="A1046" s="282" t="n"/>
      <c r="B1046" s="277" t="n"/>
      <c r="C1046" s="278" t="n"/>
      <c r="D1046" s="269" t="n"/>
      <c r="E1046" s="269" t="n"/>
      <c r="F1046" s="269" t="n"/>
      <c r="G1046" s="269" t="n"/>
      <c r="H1046" s="269" t="n"/>
      <c r="I1046" s="269" t="n"/>
      <c r="J1046" s="269" t="n"/>
      <c r="K1046" s="269" t="n"/>
      <c r="L1046" s="269" t="n"/>
      <c r="M1046" s="269" t="n"/>
      <c r="N1046" s="269" t="n"/>
      <c r="O1046" s="269" t="n"/>
      <c r="P1046" s="269" t="n"/>
      <c r="Q1046" s="269" t="n"/>
      <c r="R1046" s="269" t="n"/>
      <c r="S1046" s="269" t="n"/>
      <c r="T1046" s="269" t="n"/>
      <c r="U1046" s="269" t="n"/>
      <c r="V1046" s="269" t="n"/>
      <c r="W1046" s="270" t="n"/>
    </row>
    <row r="1047" customFormat="1" s="163">
      <c r="A1047" s="282" t="n"/>
      <c r="B1047" s="277" t="n"/>
      <c r="C1047" s="278" t="n"/>
      <c r="D1047" s="269" t="n"/>
      <c r="E1047" s="269" t="n"/>
      <c r="F1047" s="269" t="n"/>
      <c r="G1047" s="269" t="n"/>
      <c r="H1047" s="269" t="n"/>
      <c r="I1047" s="269" t="n"/>
      <c r="J1047" s="269" t="n"/>
      <c r="K1047" s="269" t="n"/>
      <c r="L1047" s="269" t="n"/>
      <c r="M1047" s="269" t="n"/>
      <c r="N1047" s="269" t="n"/>
      <c r="O1047" s="269" t="n"/>
      <c r="P1047" s="269" t="n"/>
      <c r="Q1047" s="269" t="n"/>
      <c r="R1047" s="269" t="n"/>
      <c r="S1047" s="269" t="n"/>
      <c r="T1047" s="269" t="n"/>
      <c r="U1047" s="269" t="n"/>
      <c r="V1047" s="269" t="n"/>
      <c r="W1047" s="270" t="n"/>
    </row>
    <row r="1048" customFormat="1" s="163">
      <c r="A1048" s="282" t="n"/>
      <c r="B1048" s="277" t="n"/>
      <c r="C1048" s="278" t="n"/>
      <c r="D1048" s="269" t="n"/>
      <c r="E1048" s="269" t="n"/>
      <c r="F1048" s="269" t="n"/>
      <c r="G1048" s="269" t="n"/>
      <c r="H1048" s="269" t="n"/>
      <c r="I1048" s="269" t="n"/>
      <c r="J1048" s="269" t="n"/>
      <c r="K1048" s="269" t="n"/>
      <c r="L1048" s="269" t="n"/>
      <c r="M1048" s="269" t="n"/>
      <c r="N1048" s="269" t="n"/>
      <c r="O1048" s="269" t="n"/>
      <c r="P1048" s="269" t="n"/>
      <c r="Q1048" s="269" t="n"/>
      <c r="R1048" s="269" t="n"/>
      <c r="S1048" s="269" t="n"/>
      <c r="T1048" s="269" t="n"/>
      <c r="U1048" s="269" t="n"/>
      <c r="V1048" s="269" t="n"/>
      <c r="W1048" s="270" t="n"/>
    </row>
    <row r="1049" customFormat="1" s="163">
      <c r="A1049" s="282" t="n"/>
      <c r="B1049" s="277" t="n"/>
      <c r="C1049" s="278" t="n"/>
      <c r="D1049" s="269" t="n"/>
      <c r="E1049" s="269" t="n"/>
      <c r="F1049" s="269" t="n"/>
      <c r="G1049" s="269" t="n"/>
      <c r="H1049" s="269" t="n"/>
      <c r="I1049" s="269" t="n"/>
      <c r="J1049" s="269" t="n"/>
      <c r="K1049" s="269" t="n"/>
      <c r="L1049" s="269" t="n"/>
      <c r="M1049" s="269" t="n"/>
      <c r="N1049" s="269" t="n"/>
      <c r="O1049" s="269" t="n"/>
      <c r="P1049" s="269" t="n"/>
      <c r="Q1049" s="269" t="n"/>
      <c r="R1049" s="269" t="n"/>
      <c r="S1049" s="269" t="n"/>
      <c r="T1049" s="269" t="n"/>
      <c r="U1049" s="269" t="n"/>
      <c r="V1049" s="269" t="n"/>
      <c r="W1049" s="270" t="n"/>
    </row>
    <row r="1050" customFormat="1" s="163">
      <c r="A1050" s="282" t="n"/>
      <c r="B1050" s="277" t="n"/>
      <c r="C1050" s="278" t="n"/>
      <c r="D1050" s="269" t="n"/>
      <c r="E1050" s="269" t="n"/>
      <c r="F1050" s="269" t="n"/>
      <c r="G1050" s="269" t="n"/>
      <c r="H1050" s="269" t="n"/>
      <c r="I1050" s="269" t="n"/>
      <c r="J1050" s="269" t="n"/>
      <c r="K1050" s="269" t="n"/>
      <c r="L1050" s="269" t="n"/>
      <c r="M1050" s="269" t="n"/>
      <c r="N1050" s="269" t="n"/>
      <c r="O1050" s="269" t="n"/>
      <c r="P1050" s="269" t="n"/>
      <c r="Q1050" s="269" t="n"/>
      <c r="R1050" s="269" t="n"/>
      <c r="S1050" s="269" t="n"/>
      <c r="T1050" s="269" t="n"/>
      <c r="U1050" s="269" t="n"/>
      <c r="V1050" s="269" t="n"/>
      <c r="W1050" s="270" t="n"/>
    </row>
    <row r="1051" customFormat="1" s="163">
      <c r="A1051" s="282" t="n"/>
      <c r="B1051" s="268" t="n"/>
      <c r="C1051" s="269" t="n"/>
      <c r="D1051" s="269" t="n"/>
      <c r="E1051" s="269" t="n"/>
      <c r="F1051" s="269" t="n"/>
      <c r="G1051" s="269" t="n"/>
      <c r="H1051" s="269" t="n"/>
      <c r="I1051" s="269" t="n"/>
      <c r="J1051" s="269" t="n"/>
      <c r="K1051" s="269" t="n"/>
      <c r="L1051" s="269" t="n"/>
      <c r="M1051" s="269" t="n"/>
      <c r="N1051" s="269" t="n"/>
      <c r="O1051" s="269" t="n"/>
      <c r="P1051" s="269" t="n"/>
      <c r="Q1051" s="269" t="n"/>
      <c r="R1051" s="269" t="n"/>
      <c r="S1051" s="269" t="n"/>
      <c r="T1051" s="269" t="n"/>
      <c r="U1051" s="269" t="n"/>
      <c r="V1051" s="269" t="n"/>
      <c r="W1051" s="270" t="n"/>
    </row>
    <row r="1052" customFormat="1" s="163">
      <c r="A1052" s="282" t="n"/>
      <c r="B1052" s="268" t="n"/>
      <c r="C1052" s="269" t="n"/>
      <c r="D1052" s="269" t="n"/>
      <c r="E1052" s="269" t="n"/>
      <c r="F1052" s="269" t="n"/>
      <c r="G1052" s="269" t="n"/>
      <c r="H1052" s="269" t="n"/>
      <c r="I1052" s="269" t="n"/>
      <c r="J1052" s="269" t="n"/>
      <c r="K1052" s="269" t="n"/>
      <c r="L1052" s="269" t="n"/>
      <c r="M1052" s="269" t="n"/>
      <c r="N1052" s="269" t="n"/>
      <c r="O1052" s="269" t="n"/>
      <c r="P1052" s="269" t="n"/>
      <c r="Q1052" s="269" t="n"/>
      <c r="R1052" s="269" t="n"/>
      <c r="S1052" s="269" t="n"/>
      <c r="T1052" s="269" t="n"/>
      <c r="U1052" s="269" t="n"/>
      <c r="V1052" s="269" t="n"/>
      <c r="W1052" s="270" t="n"/>
    </row>
    <row r="1053" customFormat="1" s="163">
      <c r="A1053" s="282" t="n"/>
      <c r="B1053" s="268" t="n"/>
      <c r="C1053" s="269" t="n"/>
      <c r="D1053" s="269" t="n"/>
      <c r="E1053" s="269" t="n"/>
      <c r="F1053" s="269" t="n"/>
      <c r="G1053" s="269" t="n"/>
      <c r="H1053" s="269" t="n"/>
      <c r="I1053" s="269" t="n"/>
      <c r="J1053" s="269" t="n"/>
      <c r="K1053" s="269" t="n"/>
      <c r="L1053" s="269" t="n"/>
      <c r="M1053" s="269" t="n"/>
      <c r="N1053" s="269" t="n"/>
      <c r="O1053" s="269" t="n"/>
      <c r="P1053" s="269" t="n"/>
      <c r="Q1053" s="269" t="n"/>
      <c r="R1053" s="269" t="n"/>
      <c r="S1053" s="269" t="n"/>
      <c r="T1053" s="269" t="n"/>
      <c r="U1053" s="269" t="n"/>
      <c r="V1053" s="269" t="n"/>
      <c r="W1053" s="270" t="n"/>
    </row>
    <row r="1054" customFormat="1" s="163">
      <c r="A1054" s="282" t="n"/>
      <c r="B1054" s="268" t="n"/>
      <c r="C1054" s="269" t="n"/>
      <c r="D1054" s="269" t="n"/>
      <c r="E1054" s="269" t="n"/>
      <c r="F1054" s="269" t="n"/>
      <c r="G1054" s="269" t="n"/>
      <c r="H1054" s="269" t="n"/>
      <c r="I1054" s="269" t="n"/>
      <c r="J1054" s="269" t="n"/>
      <c r="K1054" s="269" t="n"/>
      <c r="L1054" s="269" t="n"/>
      <c r="M1054" s="269" t="n"/>
      <c r="N1054" s="269" t="n"/>
      <c r="O1054" s="269" t="n"/>
      <c r="P1054" s="269" t="n"/>
      <c r="Q1054" s="269" t="n"/>
      <c r="R1054" s="269" t="n"/>
      <c r="S1054" s="269" t="n"/>
      <c r="T1054" s="269" t="n"/>
      <c r="U1054" s="269" t="n"/>
      <c r="V1054" s="269" t="n"/>
      <c r="W1054" s="270" t="n"/>
    </row>
    <row r="1055" customFormat="1" s="163">
      <c r="A1055" s="282" t="n"/>
      <c r="B1055" s="268" t="n"/>
      <c r="C1055" s="269" t="n"/>
      <c r="D1055" s="269" t="n"/>
      <c r="E1055" s="269" t="n"/>
      <c r="F1055" s="269" t="n"/>
      <c r="G1055" s="269" t="n"/>
      <c r="H1055" s="269" t="n"/>
      <c r="I1055" s="269" t="n"/>
      <c r="J1055" s="269" t="n"/>
      <c r="K1055" s="269" t="n"/>
      <c r="L1055" s="269" t="n"/>
      <c r="M1055" s="269" t="n"/>
      <c r="N1055" s="269" t="n"/>
      <c r="O1055" s="269" t="n"/>
      <c r="P1055" s="269" t="n"/>
      <c r="Q1055" s="269" t="n"/>
      <c r="R1055" s="269" t="n"/>
      <c r="S1055" s="269" t="n"/>
      <c r="T1055" s="269" t="n"/>
      <c r="U1055" s="269" t="n"/>
      <c r="V1055" s="269" t="n"/>
      <c r="W1055" s="270" t="n"/>
    </row>
    <row r="1056" customFormat="1" s="163">
      <c r="A1056" s="282" t="n"/>
      <c r="B1056" s="268" t="n"/>
      <c r="C1056" s="269" t="n"/>
      <c r="D1056" s="269" t="n"/>
      <c r="E1056" s="269" t="n"/>
      <c r="F1056" s="269" t="n"/>
      <c r="G1056" s="269" t="n"/>
      <c r="H1056" s="269" t="n"/>
      <c r="I1056" s="269" t="n"/>
      <c r="J1056" s="269" t="n"/>
      <c r="K1056" s="269" t="n"/>
      <c r="L1056" s="269" t="n"/>
      <c r="M1056" s="269" t="n"/>
      <c r="N1056" s="269" t="n"/>
      <c r="O1056" s="269" t="n"/>
      <c r="P1056" s="269" t="n"/>
      <c r="Q1056" s="269" t="n"/>
      <c r="R1056" s="269" t="n"/>
      <c r="S1056" s="269" t="n"/>
      <c r="T1056" s="269" t="n"/>
      <c r="U1056" s="269" t="n"/>
      <c r="V1056" s="269" t="n"/>
      <c r="W1056" s="270" t="n"/>
    </row>
    <row r="1057" customFormat="1" s="163">
      <c r="A1057" s="282" t="n"/>
      <c r="B1057" s="268" t="n"/>
      <c r="C1057" s="269" t="n"/>
      <c r="D1057" s="269" t="n"/>
      <c r="E1057" s="269" t="n"/>
      <c r="F1057" s="269" t="n"/>
      <c r="G1057" s="269" t="n"/>
      <c r="H1057" s="269" t="n"/>
      <c r="I1057" s="269" t="n"/>
      <c r="J1057" s="269" t="n"/>
      <c r="K1057" s="269" t="n"/>
      <c r="L1057" s="269" t="n"/>
      <c r="M1057" s="269" t="n"/>
      <c r="N1057" s="269" t="n"/>
      <c r="O1057" s="269" t="n"/>
      <c r="P1057" s="269" t="n"/>
      <c r="Q1057" s="269" t="n"/>
      <c r="R1057" s="269" t="n"/>
      <c r="S1057" s="269" t="n"/>
      <c r="T1057" s="269" t="n"/>
      <c r="U1057" s="269" t="n"/>
      <c r="V1057" s="269" t="n"/>
      <c r="W1057" s="270" t="n"/>
    </row>
    <row r="1058" customFormat="1" s="163">
      <c r="A1058" s="282" t="n"/>
      <c r="B1058" s="268" t="n"/>
      <c r="C1058" s="269" t="n"/>
      <c r="D1058" s="269" t="n"/>
      <c r="E1058" s="269" t="n"/>
      <c r="F1058" s="269" t="n"/>
      <c r="G1058" s="269" t="n"/>
      <c r="H1058" s="269" t="n"/>
      <c r="I1058" s="269" t="n"/>
      <c r="J1058" s="269" t="n"/>
      <c r="K1058" s="269" t="n"/>
      <c r="L1058" s="269" t="n"/>
      <c r="M1058" s="269" t="n"/>
      <c r="N1058" s="269" t="n"/>
      <c r="O1058" s="269" t="n"/>
      <c r="P1058" s="269" t="n"/>
      <c r="Q1058" s="269" t="n"/>
      <c r="R1058" s="269" t="n"/>
      <c r="S1058" s="269" t="n"/>
      <c r="T1058" s="269" t="n"/>
      <c r="U1058" s="269" t="n"/>
      <c r="V1058" s="269" t="n"/>
      <c r="W1058" s="270" t="n"/>
    </row>
    <row r="1059" customFormat="1" s="163">
      <c r="A1059" s="282" t="n"/>
      <c r="B1059" s="268" t="n"/>
      <c r="C1059" s="269" t="n"/>
      <c r="D1059" s="269" t="n"/>
      <c r="E1059" s="269" t="n"/>
      <c r="F1059" s="269" t="n"/>
      <c r="G1059" s="269" t="n"/>
      <c r="H1059" s="269" t="n"/>
      <c r="I1059" s="269" t="n"/>
      <c r="J1059" s="269" t="n"/>
      <c r="K1059" s="269" t="n"/>
      <c r="L1059" s="269" t="n"/>
      <c r="M1059" s="269" t="n"/>
      <c r="N1059" s="269" t="n"/>
      <c r="O1059" s="269" t="n"/>
      <c r="P1059" s="269" t="n"/>
      <c r="Q1059" s="269" t="n"/>
      <c r="R1059" s="269" t="n"/>
      <c r="S1059" s="269" t="n"/>
      <c r="T1059" s="269" t="n"/>
      <c r="U1059" s="269" t="n"/>
      <c r="V1059" s="269" t="n"/>
      <c r="W1059" s="270" t="n"/>
    </row>
    <row r="1060" customFormat="1" s="163">
      <c r="A1060" s="282" t="n"/>
      <c r="B1060" s="268" t="n"/>
      <c r="C1060" s="269" t="n"/>
      <c r="D1060" s="269" t="n"/>
      <c r="E1060" s="269" t="n"/>
      <c r="F1060" s="269" t="n"/>
      <c r="G1060" s="269" t="n"/>
      <c r="H1060" s="269" t="n"/>
      <c r="I1060" s="269" t="n"/>
      <c r="J1060" s="269" t="n"/>
      <c r="K1060" s="269" t="n"/>
      <c r="L1060" s="269" t="n"/>
      <c r="M1060" s="269" t="n"/>
      <c r="N1060" s="269" t="n"/>
      <c r="O1060" s="269" t="n"/>
      <c r="P1060" s="269" t="n"/>
      <c r="Q1060" s="269" t="n"/>
      <c r="R1060" s="269" t="n"/>
      <c r="S1060" s="269" t="n"/>
      <c r="T1060" s="269" t="n"/>
      <c r="U1060" s="269" t="n"/>
      <c r="V1060" s="269" t="n"/>
      <c r="W1060" s="270" t="n"/>
    </row>
    <row r="1061" customFormat="1" s="163">
      <c r="A1061" s="282" t="n"/>
      <c r="B1061" s="268" t="n"/>
      <c r="C1061" s="269" t="n"/>
      <c r="D1061" s="269" t="n"/>
      <c r="E1061" s="269" t="n"/>
      <c r="F1061" s="269" t="n"/>
      <c r="G1061" s="269" t="n"/>
      <c r="H1061" s="269" t="n"/>
      <c r="I1061" s="269" t="n"/>
      <c r="J1061" s="269" t="n"/>
      <c r="K1061" s="269" t="n"/>
      <c r="L1061" s="269" t="n"/>
      <c r="M1061" s="269" t="n"/>
      <c r="N1061" s="269" t="n"/>
      <c r="O1061" s="269" t="n"/>
      <c r="P1061" s="269" t="n"/>
      <c r="Q1061" s="269" t="n"/>
      <c r="R1061" s="269" t="n"/>
      <c r="S1061" s="269" t="n"/>
      <c r="T1061" s="269" t="n"/>
      <c r="U1061" s="269" t="n"/>
      <c r="V1061" s="269" t="n"/>
      <c r="W1061" s="270" t="n"/>
    </row>
    <row r="1062" customFormat="1" s="163">
      <c r="A1062" s="282" t="n"/>
      <c r="B1062" s="268" t="n"/>
      <c r="C1062" s="269" t="n"/>
      <c r="D1062" s="269" t="n"/>
      <c r="E1062" s="269" t="n"/>
      <c r="F1062" s="269" t="n"/>
      <c r="G1062" s="269" t="n"/>
      <c r="H1062" s="269" t="n"/>
      <c r="I1062" s="269" t="n"/>
      <c r="J1062" s="269" t="n"/>
      <c r="K1062" s="269" t="n"/>
      <c r="L1062" s="269" t="n"/>
      <c r="M1062" s="269" t="n"/>
      <c r="N1062" s="269" t="n"/>
      <c r="O1062" s="269" t="n"/>
      <c r="P1062" s="269" t="n"/>
      <c r="Q1062" s="269" t="n"/>
      <c r="R1062" s="269" t="n"/>
      <c r="S1062" s="269" t="n"/>
      <c r="T1062" s="269" t="n"/>
      <c r="U1062" s="269" t="n"/>
      <c r="V1062" s="269" t="n"/>
      <c r="W1062" s="270" t="n"/>
    </row>
    <row r="1063" customFormat="1" s="163">
      <c r="A1063" s="282" t="n"/>
      <c r="B1063" s="268" t="n"/>
      <c r="C1063" s="269" t="n"/>
      <c r="D1063" s="269" t="n"/>
      <c r="E1063" s="269" t="n"/>
      <c r="F1063" s="269" t="n"/>
      <c r="G1063" s="269" t="n"/>
      <c r="H1063" s="269" t="n"/>
      <c r="I1063" s="269" t="n"/>
      <c r="J1063" s="269" t="n"/>
      <c r="K1063" s="269" t="n"/>
      <c r="L1063" s="269" t="n"/>
      <c r="M1063" s="269" t="n"/>
      <c r="N1063" s="269" t="n"/>
      <c r="O1063" s="269" t="n"/>
      <c r="P1063" s="269" t="n"/>
      <c r="Q1063" s="269" t="n"/>
      <c r="R1063" s="269" t="n"/>
      <c r="S1063" s="269" t="n"/>
      <c r="T1063" s="269" t="n"/>
      <c r="U1063" s="269" t="n"/>
      <c r="V1063" s="269" t="n"/>
      <c r="W1063" s="270" t="n"/>
    </row>
    <row r="1064" customFormat="1" s="163">
      <c r="A1064" s="282" t="n"/>
      <c r="B1064" s="268" t="n"/>
      <c r="C1064" s="269" t="n"/>
      <c r="D1064" s="269" t="n"/>
      <c r="E1064" s="269" t="n"/>
      <c r="F1064" s="269" t="n"/>
      <c r="G1064" s="269" t="n"/>
      <c r="H1064" s="269" t="n"/>
      <c r="I1064" s="269" t="n"/>
      <c r="J1064" s="269" t="n"/>
      <c r="K1064" s="269" t="n"/>
      <c r="L1064" s="269" t="n"/>
      <c r="M1064" s="269" t="n"/>
      <c r="N1064" s="269" t="n"/>
      <c r="O1064" s="269" t="n"/>
      <c r="P1064" s="269" t="n"/>
      <c r="Q1064" s="269" t="n"/>
      <c r="R1064" s="269" t="n"/>
      <c r="S1064" s="269" t="n"/>
      <c r="T1064" s="269" t="n"/>
      <c r="U1064" s="269" t="n"/>
      <c r="V1064" s="269" t="n"/>
      <c r="W1064" s="270" t="n"/>
    </row>
    <row r="1065" customFormat="1" s="163">
      <c r="A1065" s="282" t="n"/>
      <c r="B1065" s="268" t="n"/>
      <c r="C1065" s="269" t="n"/>
      <c r="D1065" s="269" t="n"/>
      <c r="E1065" s="269" t="n"/>
      <c r="F1065" s="269" t="n"/>
      <c r="G1065" s="269" t="n"/>
      <c r="H1065" s="269" t="n"/>
      <c r="I1065" s="269" t="n"/>
      <c r="J1065" s="269" t="n"/>
      <c r="K1065" s="269" t="n"/>
      <c r="L1065" s="269" t="n"/>
      <c r="M1065" s="269" t="n"/>
      <c r="N1065" s="269" t="n"/>
      <c r="O1065" s="269" t="n"/>
      <c r="P1065" s="269" t="n"/>
      <c r="Q1065" s="269" t="n"/>
      <c r="R1065" s="269" t="n"/>
      <c r="S1065" s="269" t="n"/>
      <c r="T1065" s="269" t="n"/>
      <c r="U1065" s="269" t="n"/>
      <c r="V1065" s="269" t="n"/>
      <c r="W1065" s="270" t="n"/>
    </row>
    <row r="1066" customFormat="1" s="163">
      <c r="A1066" s="282" t="n"/>
      <c r="B1066" s="268" t="n"/>
      <c r="C1066" s="269" t="n"/>
      <c r="D1066" s="269" t="n"/>
      <c r="E1066" s="269" t="n"/>
      <c r="F1066" s="269" t="n"/>
      <c r="G1066" s="269" t="n"/>
      <c r="H1066" s="269" t="n"/>
      <c r="I1066" s="269" t="n"/>
      <c r="J1066" s="269" t="n"/>
      <c r="K1066" s="269" t="n"/>
      <c r="L1066" s="269" t="n"/>
      <c r="M1066" s="269" t="n"/>
      <c r="N1066" s="269" t="n"/>
      <c r="O1066" s="269" t="n"/>
      <c r="P1066" s="269" t="n"/>
      <c r="Q1066" s="269" t="n"/>
      <c r="R1066" s="269" t="n"/>
      <c r="S1066" s="269" t="n"/>
      <c r="T1066" s="269" t="n"/>
      <c r="U1066" s="269" t="n"/>
      <c r="V1066" s="269" t="n"/>
      <c r="W1066" s="270" t="n"/>
    </row>
    <row r="1067" customFormat="1" s="163">
      <c r="A1067" s="282" t="n"/>
      <c r="B1067" s="268" t="n"/>
      <c r="C1067" s="269" t="n"/>
      <c r="D1067" s="269" t="n"/>
      <c r="E1067" s="269" t="n"/>
      <c r="F1067" s="269" t="n"/>
      <c r="G1067" s="269" t="n"/>
      <c r="H1067" s="269" t="n"/>
      <c r="I1067" s="269" t="n"/>
      <c r="J1067" s="269" t="n"/>
      <c r="K1067" s="269" t="n"/>
      <c r="L1067" s="269" t="n"/>
      <c r="M1067" s="269" t="n"/>
      <c r="N1067" s="269" t="n"/>
      <c r="O1067" s="269" t="n"/>
      <c r="P1067" s="269" t="n"/>
      <c r="Q1067" s="269" t="n"/>
      <c r="R1067" s="269" t="n"/>
      <c r="S1067" s="269" t="n"/>
      <c r="T1067" s="269" t="n"/>
      <c r="U1067" s="269" t="n"/>
      <c r="V1067" s="269" t="n"/>
      <c r="W1067" s="270" t="n"/>
    </row>
    <row r="1068" customFormat="1" s="163">
      <c r="A1068" s="282" t="n"/>
      <c r="B1068" s="268" t="n"/>
      <c r="C1068" s="269" t="n"/>
      <c r="D1068" s="269" t="n"/>
      <c r="E1068" s="269" t="n"/>
      <c r="F1068" s="269" t="n"/>
      <c r="G1068" s="269" t="n"/>
      <c r="H1068" s="269" t="n"/>
      <c r="I1068" s="269" t="n"/>
      <c r="J1068" s="269" t="n"/>
      <c r="K1068" s="269" t="n"/>
      <c r="L1068" s="269" t="n"/>
      <c r="M1068" s="269" t="n"/>
      <c r="N1068" s="269" t="n"/>
      <c r="O1068" s="269" t="n"/>
      <c r="P1068" s="269" t="n"/>
      <c r="Q1068" s="269" t="n"/>
      <c r="R1068" s="269" t="n"/>
      <c r="S1068" s="269" t="n"/>
      <c r="T1068" s="269" t="n"/>
      <c r="U1068" s="269" t="n"/>
      <c r="V1068" s="269" t="n"/>
      <c r="W1068" s="270" t="n"/>
    </row>
    <row r="1069" customFormat="1" s="163">
      <c r="A1069" s="282" t="n"/>
      <c r="B1069" s="268" t="n"/>
      <c r="C1069" s="269" t="n"/>
      <c r="D1069" s="269" t="n"/>
      <c r="E1069" s="269" t="n"/>
      <c r="F1069" s="269" t="n"/>
      <c r="G1069" s="269" t="n"/>
      <c r="H1069" s="269" t="n"/>
      <c r="I1069" s="269" t="n"/>
      <c r="J1069" s="269" t="n"/>
      <c r="K1069" s="269" t="n"/>
      <c r="L1069" s="269" t="n"/>
      <c r="M1069" s="269" t="n"/>
      <c r="N1069" s="269" t="n"/>
      <c r="O1069" s="269" t="n"/>
      <c r="P1069" s="269" t="n"/>
      <c r="Q1069" s="269" t="n"/>
      <c r="R1069" s="269" t="n"/>
      <c r="S1069" s="269" t="n"/>
      <c r="T1069" s="269" t="n"/>
      <c r="U1069" s="269" t="n"/>
      <c r="V1069" s="269" t="n"/>
      <c r="W1069" s="270" t="n"/>
    </row>
    <row r="1070" customFormat="1" s="163">
      <c r="A1070" s="282" t="n"/>
      <c r="B1070" s="268" t="n"/>
      <c r="C1070" s="269" t="n"/>
      <c r="D1070" s="269" t="n"/>
      <c r="E1070" s="269" t="n"/>
      <c r="F1070" s="269" t="n"/>
      <c r="G1070" s="269" t="n"/>
      <c r="H1070" s="269" t="n"/>
      <c r="I1070" s="269" t="n"/>
      <c r="J1070" s="269" t="n"/>
      <c r="K1070" s="269" t="n"/>
      <c r="L1070" s="269" t="n"/>
      <c r="M1070" s="269" t="n"/>
      <c r="N1070" s="269" t="n"/>
      <c r="O1070" s="269" t="n"/>
      <c r="P1070" s="269" t="n"/>
      <c r="Q1070" s="269" t="n"/>
      <c r="R1070" s="269" t="n"/>
      <c r="S1070" s="269" t="n"/>
      <c r="T1070" s="269" t="n"/>
      <c r="U1070" s="269" t="n"/>
      <c r="V1070" s="269" t="n"/>
      <c r="W1070" s="270" t="n"/>
    </row>
    <row r="1071" customFormat="1" s="163">
      <c r="A1071" s="282" t="n"/>
      <c r="B1071" s="268" t="n"/>
      <c r="C1071" s="269" t="n"/>
      <c r="D1071" s="269" t="n"/>
      <c r="E1071" s="269" t="n"/>
      <c r="F1071" s="269" t="n"/>
      <c r="G1071" s="269" t="n"/>
      <c r="H1071" s="269" t="n"/>
      <c r="I1071" s="269" t="n"/>
      <c r="J1071" s="269" t="n"/>
      <c r="K1071" s="269" t="n"/>
      <c r="L1071" s="269" t="n"/>
      <c r="M1071" s="269" t="n"/>
      <c r="N1071" s="269" t="n"/>
      <c r="O1071" s="269" t="n"/>
      <c r="P1071" s="269" t="n"/>
      <c r="Q1071" s="269" t="n"/>
      <c r="R1071" s="269" t="n"/>
      <c r="S1071" s="269" t="n"/>
      <c r="T1071" s="269" t="n"/>
      <c r="U1071" s="269" t="n"/>
      <c r="V1071" s="269" t="n"/>
      <c r="W1071" s="270" t="n"/>
    </row>
    <row r="1072" customFormat="1" s="163">
      <c r="A1072" s="282" t="n"/>
      <c r="B1072" s="268" t="n"/>
      <c r="C1072" s="269" t="n"/>
      <c r="D1072" s="269" t="n"/>
      <c r="E1072" s="269" t="n"/>
      <c r="F1072" s="269" t="n"/>
      <c r="G1072" s="269" t="n"/>
      <c r="H1072" s="269" t="n"/>
      <c r="I1072" s="269" t="n"/>
      <c r="J1072" s="269" t="n"/>
      <c r="K1072" s="269" t="n"/>
      <c r="L1072" s="269" t="n"/>
      <c r="M1072" s="269" t="n"/>
      <c r="N1072" s="269" t="n"/>
      <c r="O1072" s="269" t="n"/>
      <c r="P1072" s="269" t="n"/>
      <c r="Q1072" s="269" t="n"/>
      <c r="R1072" s="269" t="n"/>
      <c r="S1072" s="269" t="n"/>
      <c r="T1072" s="269" t="n"/>
      <c r="U1072" s="269" t="n"/>
      <c r="V1072" s="269" t="n"/>
      <c r="W1072" s="270" t="n"/>
    </row>
    <row r="1073" customFormat="1" s="163">
      <c r="A1073" s="282" t="n"/>
      <c r="B1073" s="268" t="n"/>
      <c r="C1073" s="269" t="n"/>
      <c r="D1073" s="269" t="n"/>
      <c r="E1073" s="269" t="n"/>
      <c r="F1073" s="269" t="n"/>
      <c r="G1073" s="269" t="n"/>
      <c r="H1073" s="269" t="n"/>
      <c r="I1073" s="269" t="n"/>
      <c r="J1073" s="269" t="n"/>
      <c r="K1073" s="269" t="n"/>
      <c r="L1073" s="269" t="n"/>
      <c r="M1073" s="269" t="n"/>
      <c r="N1073" s="269" t="n"/>
      <c r="O1073" s="269" t="n"/>
      <c r="P1073" s="269" t="n"/>
      <c r="Q1073" s="269" t="n"/>
      <c r="R1073" s="269" t="n"/>
      <c r="S1073" s="269" t="n"/>
      <c r="T1073" s="269" t="n"/>
      <c r="U1073" s="269" t="n"/>
      <c r="V1073" s="269" t="n"/>
      <c r="W1073" s="270" t="n"/>
    </row>
    <row r="1074" customFormat="1" s="163">
      <c r="A1074" s="282" t="n"/>
      <c r="B1074" s="268" t="n"/>
      <c r="C1074" s="269" t="n"/>
      <c r="D1074" s="269" t="n"/>
      <c r="E1074" s="269" t="n"/>
      <c r="F1074" s="269" t="n"/>
      <c r="G1074" s="269" t="n"/>
      <c r="H1074" s="269" t="n"/>
      <c r="I1074" s="269" t="n"/>
      <c r="J1074" s="269" t="n"/>
      <c r="K1074" s="269" t="n"/>
      <c r="L1074" s="269" t="n"/>
      <c r="M1074" s="269" t="n"/>
      <c r="N1074" s="269" t="n"/>
      <c r="O1074" s="269" t="n"/>
      <c r="P1074" s="269" t="n"/>
      <c r="Q1074" s="269" t="n"/>
      <c r="R1074" s="269" t="n"/>
      <c r="S1074" s="269" t="n"/>
      <c r="T1074" s="269" t="n"/>
      <c r="U1074" s="269" t="n"/>
      <c r="V1074" s="269" t="n"/>
      <c r="W1074" s="270" t="n"/>
    </row>
    <row r="1075" customFormat="1" s="163">
      <c r="A1075" s="282" t="n"/>
      <c r="B1075" s="268" t="n"/>
      <c r="C1075" s="269" t="n"/>
      <c r="D1075" s="269" t="n"/>
      <c r="E1075" s="269" t="n"/>
      <c r="F1075" s="269" t="n"/>
      <c r="G1075" s="269" t="n"/>
      <c r="H1075" s="269" t="n"/>
      <c r="I1075" s="269" t="n"/>
      <c r="J1075" s="269" t="n"/>
      <c r="K1075" s="269" t="n"/>
      <c r="L1075" s="269" t="n"/>
      <c r="M1075" s="269" t="n"/>
      <c r="N1075" s="269" t="n"/>
      <c r="O1075" s="269" t="n"/>
      <c r="P1075" s="269" t="n"/>
      <c r="Q1075" s="269" t="n"/>
      <c r="R1075" s="269" t="n"/>
      <c r="S1075" s="269" t="n"/>
      <c r="T1075" s="269" t="n"/>
      <c r="U1075" s="269" t="n"/>
      <c r="V1075" s="269" t="n"/>
      <c r="W1075" s="270" t="n"/>
    </row>
    <row r="1076" customFormat="1" s="163">
      <c r="A1076" s="282" t="n"/>
      <c r="B1076" s="268" t="n"/>
      <c r="C1076" s="269" t="n"/>
      <c r="D1076" s="269" t="n"/>
      <c r="E1076" s="269" t="n"/>
      <c r="F1076" s="269" t="n"/>
      <c r="G1076" s="269" t="n"/>
      <c r="H1076" s="269" t="n"/>
      <c r="I1076" s="269" t="n"/>
      <c r="J1076" s="269" t="n"/>
      <c r="K1076" s="269" t="n"/>
      <c r="L1076" s="269" t="n"/>
      <c r="M1076" s="269" t="n"/>
      <c r="N1076" s="269" t="n"/>
      <c r="O1076" s="269" t="n"/>
      <c r="P1076" s="269" t="n"/>
      <c r="Q1076" s="269" t="n"/>
      <c r="R1076" s="269" t="n"/>
      <c r="S1076" s="269" t="n"/>
      <c r="T1076" s="269" t="n"/>
      <c r="U1076" s="269" t="n"/>
      <c r="V1076" s="269" t="n"/>
      <c r="W1076" s="270" t="n"/>
    </row>
    <row r="1077" customFormat="1" s="163">
      <c r="A1077" s="282" t="n"/>
      <c r="B1077" s="268" t="n"/>
      <c r="C1077" s="269" t="n"/>
      <c r="D1077" s="269" t="n"/>
      <c r="E1077" s="269" t="n"/>
      <c r="F1077" s="269" t="n"/>
      <c r="G1077" s="269" t="n"/>
      <c r="H1077" s="269" t="n"/>
      <c r="I1077" s="269" t="n"/>
      <c r="J1077" s="269" t="n"/>
      <c r="K1077" s="269" t="n"/>
      <c r="L1077" s="269" t="n"/>
      <c r="M1077" s="269" t="n"/>
      <c r="N1077" s="269" t="n"/>
      <c r="O1077" s="269" t="n"/>
      <c r="P1077" s="269" t="n"/>
      <c r="Q1077" s="269" t="n"/>
      <c r="R1077" s="269" t="n"/>
      <c r="S1077" s="269" t="n"/>
      <c r="T1077" s="269" t="n"/>
      <c r="U1077" s="269" t="n"/>
      <c r="V1077" s="269" t="n"/>
      <c r="W1077" s="270" t="n"/>
    </row>
    <row r="1078" customFormat="1" s="163">
      <c r="A1078" s="282" t="n"/>
      <c r="B1078" s="268" t="n"/>
      <c r="C1078" s="269" t="n"/>
      <c r="D1078" s="269" t="n"/>
      <c r="E1078" s="269" t="n"/>
      <c r="F1078" s="269" t="n"/>
      <c r="G1078" s="269" t="n"/>
      <c r="H1078" s="269" t="n"/>
      <c r="I1078" s="269" t="n"/>
      <c r="J1078" s="269" t="n"/>
      <c r="K1078" s="269" t="n"/>
      <c r="L1078" s="269" t="n"/>
      <c r="M1078" s="269" t="n"/>
      <c r="N1078" s="269" t="n"/>
      <c r="O1078" s="269" t="n"/>
      <c r="P1078" s="269" t="n"/>
      <c r="Q1078" s="269" t="n"/>
      <c r="R1078" s="269" t="n"/>
      <c r="S1078" s="269" t="n"/>
      <c r="T1078" s="269" t="n"/>
      <c r="U1078" s="269" t="n"/>
      <c r="V1078" s="269" t="n"/>
      <c r="W1078" s="270" t="n"/>
    </row>
    <row r="1079" customFormat="1" s="163">
      <c r="A1079" s="282" t="n"/>
      <c r="B1079" s="268" t="n"/>
      <c r="C1079" s="269" t="n"/>
      <c r="D1079" s="269" t="n"/>
      <c r="E1079" s="269" t="n"/>
      <c r="F1079" s="269" t="n"/>
      <c r="G1079" s="269" t="n"/>
      <c r="H1079" s="269" t="n"/>
      <c r="I1079" s="269" t="n"/>
      <c r="J1079" s="269" t="n"/>
      <c r="K1079" s="269" t="n"/>
      <c r="L1079" s="269" t="n"/>
      <c r="M1079" s="269" t="n"/>
      <c r="N1079" s="269" t="n"/>
      <c r="O1079" s="269" t="n"/>
      <c r="P1079" s="269" t="n"/>
      <c r="Q1079" s="269" t="n"/>
      <c r="R1079" s="269" t="n"/>
      <c r="S1079" s="269" t="n"/>
      <c r="T1079" s="269" t="n"/>
      <c r="U1079" s="269" t="n"/>
      <c r="V1079" s="269" t="n"/>
      <c r="W1079" s="270" t="n"/>
    </row>
    <row r="1080" customFormat="1" s="163">
      <c r="A1080" s="282" t="n"/>
      <c r="B1080" s="268" t="n"/>
      <c r="C1080" s="269" t="n"/>
      <c r="D1080" s="269" t="n"/>
      <c r="E1080" s="269" t="n"/>
      <c r="F1080" s="269" t="n"/>
      <c r="G1080" s="269" t="n"/>
      <c r="H1080" s="269" t="n"/>
      <c r="I1080" s="269" t="n"/>
      <c r="J1080" s="269" t="n"/>
      <c r="K1080" s="269" t="n"/>
      <c r="L1080" s="269" t="n"/>
      <c r="M1080" s="269" t="n"/>
      <c r="N1080" s="269" t="n"/>
      <c r="O1080" s="269" t="n"/>
      <c r="P1080" s="269" t="n"/>
      <c r="Q1080" s="269" t="n"/>
      <c r="R1080" s="269" t="n"/>
      <c r="S1080" s="269" t="n"/>
      <c r="T1080" s="269" t="n"/>
      <c r="U1080" s="269" t="n"/>
      <c r="V1080" s="269" t="n"/>
      <c r="W1080" s="270" t="n"/>
    </row>
    <row r="1081" customFormat="1" s="163">
      <c r="A1081" s="282" t="n"/>
      <c r="B1081" s="268" t="n"/>
      <c r="C1081" s="269" t="n"/>
      <c r="D1081" s="269" t="n"/>
      <c r="E1081" s="269" t="n"/>
      <c r="F1081" s="269" t="n"/>
      <c r="G1081" s="269" t="n"/>
      <c r="H1081" s="269" t="n"/>
      <c r="I1081" s="269" t="n"/>
      <c r="J1081" s="269" t="n"/>
      <c r="K1081" s="269" t="n"/>
      <c r="L1081" s="269" t="n"/>
      <c r="M1081" s="269" t="n"/>
      <c r="N1081" s="269" t="n"/>
      <c r="O1081" s="269" t="n"/>
      <c r="P1081" s="269" t="n"/>
      <c r="Q1081" s="269" t="n"/>
      <c r="R1081" s="269" t="n"/>
      <c r="S1081" s="269" t="n"/>
      <c r="T1081" s="269" t="n"/>
      <c r="U1081" s="269" t="n"/>
      <c r="V1081" s="269" t="n"/>
      <c r="W1081" s="270" t="n"/>
    </row>
    <row r="1082" customFormat="1" s="163">
      <c r="A1082" s="282" t="n"/>
      <c r="B1082" s="268" t="n"/>
      <c r="C1082" s="269" t="n"/>
      <c r="D1082" s="269" t="n"/>
      <c r="E1082" s="269" t="n"/>
      <c r="F1082" s="269" t="n"/>
      <c r="G1082" s="269" t="n"/>
      <c r="H1082" s="269" t="n"/>
      <c r="I1082" s="269" t="n"/>
      <c r="J1082" s="269" t="n"/>
      <c r="K1082" s="269" t="n"/>
      <c r="L1082" s="269" t="n"/>
      <c r="M1082" s="269" t="n"/>
      <c r="N1082" s="269" t="n"/>
      <c r="O1082" s="269" t="n"/>
      <c r="P1082" s="269" t="n"/>
      <c r="Q1082" s="269" t="n"/>
      <c r="R1082" s="269" t="n"/>
      <c r="S1082" s="269" t="n"/>
      <c r="T1082" s="269" t="n"/>
      <c r="U1082" s="269" t="n"/>
      <c r="V1082" s="269" t="n"/>
      <c r="W1082" s="270" t="n"/>
    </row>
    <row r="1083" customFormat="1" s="163">
      <c r="A1083" s="282" t="n"/>
      <c r="B1083" s="268" t="n"/>
      <c r="C1083" s="269" t="n"/>
      <c r="D1083" s="269" t="n"/>
      <c r="E1083" s="269" t="n"/>
      <c r="F1083" s="269" t="n"/>
      <c r="G1083" s="269" t="n"/>
      <c r="H1083" s="269" t="n"/>
      <c r="I1083" s="269" t="n"/>
      <c r="J1083" s="269" t="n"/>
      <c r="K1083" s="269" t="n"/>
      <c r="L1083" s="269" t="n"/>
      <c r="M1083" s="269" t="n"/>
      <c r="N1083" s="269" t="n"/>
      <c r="O1083" s="269" t="n"/>
      <c r="P1083" s="269" t="n"/>
      <c r="Q1083" s="269" t="n"/>
      <c r="R1083" s="269" t="n"/>
      <c r="S1083" s="269" t="n"/>
      <c r="T1083" s="269" t="n"/>
      <c r="U1083" s="269" t="n"/>
      <c r="V1083" s="269" t="n"/>
      <c r="W1083" s="270" t="n"/>
    </row>
    <row r="1084" customFormat="1" s="163">
      <c r="A1084" s="282" t="n"/>
      <c r="B1084" s="268" t="n"/>
      <c r="C1084" s="269" t="n"/>
      <c r="D1084" s="269" t="n"/>
      <c r="E1084" s="269" t="n"/>
      <c r="F1084" s="269" t="n"/>
      <c r="G1084" s="269" t="n"/>
      <c r="H1084" s="269" t="n"/>
      <c r="I1084" s="269" t="n"/>
      <c r="J1084" s="269" t="n"/>
      <c r="K1084" s="269" t="n"/>
      <c r="L1084" s="269" t="n"/>
      <c r="M1084" s="269" t="n"/>
      <c r="N1084" s="269" t="n"/>
      <c r="O1084" s="269" t="n"/>
      <c r="P1084" s="269" t="n"/>
      <c r="Q1084" s="269" t="n"/>
      <c r="R1084" s="269" t="n"/>
      <c r="S1084" s="269" t="n"/>
      <c r="T1084" s="269" t="n"/>
      <c r="U1084" s="269" t="n"/>
      <c r="V1084" s="269" t="n"/>
      <c r="W1084" s="270" t="n"/>
    </row>
    <row r="1085" customFormat="1" s="163">
      <c r="A1085" s="282" t="n"/>
      <c r="B1085" s="268" t="n"/>
      <c r="C1085" s="269" t="n"/>
      <c r="D1085" s="269" t="n"/>
      <c r="E1085" s="269" t="n"/>
      <c r="F1085" s="269" t="n"/>
      <c r="G1085" s="269" t="n"/>
      <c r="H1085" s="269" t="n"/>
      <c r="I1085" s="269" t="n"/>
      <c r="J1085" s="269" t="n"/>
      <c r="K1085" s="269" t="n"/>
      <c r="L1085" s="269" t="n"/>
      <c r="M1085" s="269" t="n"/>
      <c r="N1085" s="269" t="n"/>
      <c r="O1085" s="269" t="n"/>
      <c r="P1085" s="269" t="n"/>
      <c r="Q1085" s="269" t="n"/>
      <c r="R1085" s="269" t="n"/>
      <c r="S1085" s="269" t="n"/>
      <c r="T1085" s="269" t="n"/>
      <c r="U1085" s="269" t="n"/>
      <c r="V1085" s="269" t="n"/>
      <c r="W1085" s="270" t="n"/>
    </row>
    <row r="1086" customFormat="1" s="163">
      <c r="A1086" s="282" t="n"/>
      <c r="B1086" s="268" t="n"/>
      <c r="C1086" s="269" t="n"/>
      <c r="D1086" s="269" t="n"/>
      <c r="E1086" s="269" t="n"/>
      <c r="F1086" s="269" t="n"/>
      <c r="G1086" s="269" t="n"/>
      <c r="H1086" s="269" t="n"/>
      <c r="I1086" s="269" t="n"/>
      <c r="J1086" s="269" t="n"/>
      <c r="K1086" s="269" t="n"/>
      <c r="L1086" s="269" t="n"/>
      <c r="M1086" s="269" t="n"/>
      <c r="N1086" s="269" t="n"/>
      <c r="O1086" s="269" t="n"/>
      <c r="P1086" s="269" t="n"/>
      <c r="Q1086" s="269" t="n"/>
      <c r="R1086" s="269" t="n"/>
      <c r="S1086" s="269" t="n"/>
      <c r="T1086" s="269" t="n"/>
      <c r="U1086" s="269" t="n"/>
      <c r="V1086" s="269" t="n"/>
      <c r="W1086" s="270" t="n"/>
    </row>
    <row r="1087" customFormat="1" s="163">
      <c r="A1087" s="282" t="n"/>
      <c r="B1087" s="268" t="n"/>
      <c r="C1087" s="269" t="n"/>
      <c r="D1087" s="269" t="n"/>
      <c r="E1087" s="269" t="n"/>
      <c r="F1087" s="269" t="n"/>
      <c r="G1087" s="269" t="n"/>
      <c r="H1087" s="269" t="n"/>
      <c r="I1087" s="269" t="n"/>
      <c r="J1087" s="269" t="n"/>
      <c r="K1087" s="269" t="n"/>
      <c r="L1087" s="269" t="n"/>
      <c r="M1087" s="269" t="n"/>
      <c r="N1087" s="269" t="n"/>
      <c r="O1087" s="269" t="n"/>
      <c r="P1087" s="269" t="n"/>
      <c r="Q1087" s="269" t="n"/>
      <c r="R1087" s="269" t="n"/>
      <c r="S1087" s="269" t="n"/>
      <c r="T1087" s="269" t="n"/>
      <c r="U1087" s="269" t="n"/>
      <c r="V1087" s="269" t="n"/>
      <c r="W1087" s="270" t="n"/>
    </row>
    <row r="1088" customFormat="1" s="163">
      <c r="A1088" s="282" t="n"/>
      <c r="B1088" s="268" t="n"/>
      <c r="C1088" s="269" t="n"/>
      <c r="D1088" s="269" t="n"/>
      <c r="E1088" s="269" t="n"/>
      <c r="F1088" s="269" t="n"/>
      <c r="G1088" s="269" t="n"/>
      <c r="H1088" s="269" t="n"/>
      <c r="I1088" s="269" t="n"/>
      <c r="J1088" s="269" t="n"/>
      <c r="K1088" s="269" t="n"/>
      <c r="L1088" s="269" t="n"/>
      <c r="M1088" s="269" t="n"/>
      <c r="N1088" s="269" t="n"/>
      <c r="O1088" s="269" t="n"/>
      <c r="P1088" s="269" t="n"/>
      <c r="Q1088" s="269" t="n"/>
      <c r="R1088" s="269" t="n"/>
      <c r="S1088" s="269" t="n"/>
      <c r="T1088" s="269" t="n"/>
      <c r="U1088" s="269" t="n"/>
      <c r="V1088" s="269" t="n"/>
      <c r="W1088" s="270" t="n"/>
    </row>
    <row r="1089" customFormat="1" s="163">
      <c r="A1089" s="282" t="n"/>
      <c r="B1089" s="268" t="n"/>
      <c r="C1089" s="269" t="n"/>
      <c r="D1089" s="269" t="n"/>
      <c r="E1089" s="269" t="n"/>
      <c r="F1089" s="269" t="n"/>
      <c r="G1089" s="269" t="n"/>
      <c r="H1089" s="269" t="n"/>
      <c r="I1089" s="269" t="n"/>
      <c r="J1089" s="269" t="n"/>
      <c r="K1089" s="269" t="n"/>
      <c r="L1089" s="269" t="n"/>
      <c r="M1089" s="269" t="n"/>
      <c r="N1089" s="269" t="n"/>
      <c r="O1089" s="269" t="n"/>
      <c r="P1089" s="269" t="n"/>
      <c r="Q1089" s="269" t="n"/>
      <c r="R1089" s="269" t="n"/>
      <c r="S1089" s="269" t="n"/>
      <c r="T1089" s="269" t="n"/>
      <c r="U1089" s="269" t="n"/>
      <c r="V1089" s="269" t="n"/>
      <c r="W1089" s="270" t="n"/>
    </row>
    <row r="1090" customFormat="1" s="163">
      <c r="A1090" s="282" t="n"/>
      <c r="B1090" s="268" t="n"/>
      <c r="C1090" s="269" t="n"/>
      <c r="D1090" s="269" t="n"/>
      <c r="E1090" s="269" t="n"/>
      <c r="F1090" s="269" t="n"/>
      <c r="G1090" s="269" t="n"/>
      <c r="H1090" s="269" t="n"/>
      <c r="I1090" s="269" t="n"/>
      <c r="J1090" s="269" t="n"/>
      <c r="K1090" s="269" t="n"/>
      <c r="L1090" s="269" t="n"/>
      <c r="M1090" s="269" t="n"/>
      <c r="N1090" s="269" t="n"/>
      <c r="O1090" s="269" t="n"/>
      <c r="P1090" s="269" t="n"/>
      <c r="Q1090" s="269" t="n"/>
      <c r="R1090" s="269" t="n"/>
      <c r="S1090" s="269" t="n"/>
      <c r="T1090" s="269" t="n"/>
      <c r="U1090" s="269" t="n"/>
      <c r="V1090" s="269" t="n"/>
      <c r="W1090" s="270" t="n"/>
    </row>
    <row r="1091" customFormat="1" s="163">
      <c r="A1091" s="282" t="n"/>
      <c r="B1091" s="268" t="n"/>
      <c r="C1091" s="269" t="n"/>
      <c r="D1091" s="269" t="n"/>
      <c r="E1091" s="269" t="n"/>
      <c r="F1091" s="269" t="n"/>
      <c r="G1091" s="269" t="n"/>
      <c r="H1091" s="269" t="n"/>
      <c r="I1091" s="269" t="n"/>
      <c r="J1091" s="269" t="n"/>
      <c r="K1091" s="269" t="n"/>
      <c r="L1091" s="269" t="n"/>
      <c r="M1091" s="269" t="n"/>
      <c r="N1091" s="269" t="n"/>
      <c r="O1091" s="269" t="n"/>
      <c r="P1091" s="269" t="n"/>
      <c r="Q1091" s="269" t="n"/>
      <c r="R1091" s="269" t="n"/>
      <c r="S1091" s="269" t="n"/>
      <c r="T1091" s="269" t="n"/>
      <c r="U1091" s="269" t="n"/>
      <c r="V1091" s="269" t="n"/>
      <c r="W1091" s="270" t="n"/>
    </row>
    <row r="1092" customFormat="1" s="163">
      <c r="A1092" s="282" t="n"/>
      <c r="B1092" s="268" t="n"/>
      <c r="C1092" s="269" t="n"/>
      <c r="D1092" s="269" t="n"/>
      <c r="E1092" s="269" t="n"/>
      <c r="F1092" s="269" t="n"/>
      <c r="G1092" s="269" t="n"/>
      <c r="H1092" s="269" t="n"/>
      <c r="I1092" s="269" t="n"/>
      <c r="J1092" s="269" t="n"/>
      <c r="K1092" s="269" t="n"/>
      <c r="L1092" s="269" t="n"/>
      <c r="M1092" s="269" t="n"/>
      <c r="N1092" s="269" t="n"/>
      <c r="O1092" s="269" t="n"/>
      <c r="P1092" s="269" t="n"/>
      <c r="Q1092" s="269" t="n"/>
      <c r="R1092" s="269" t="n"/>
      <c r="S1092" s="269" t="n"/>
      <c r="T1092" s="269" t="n"/>
      <c r="U1092" s="269" t="n"/>
      <c r="V1092" s="269" t="n"/>
      <c r="W1092" s="270" t="n"/>
    </row>
    <row r="1093" customFormat="1" s="163">
      <c r="A1093" s="282" t="n"/>
      <c r="B1093" s="268" t="n"/>
      <c r="C1093" s="269" t="n"/>
      <c r="D1093" s="269" t="n"/>
      <c r="E1093" s="269" t="n"/>
      <c r="F1093" s="269" t="n"/>
      <c r="G1093" s="269" t="n"/>
      <c r="H1093" s="269" t="n"/>
      <c r="I1093" s="269" t="n"/>
      <c r="J1093" s="269" t="n"/>
      <c r="K1093" s="269" t="n"/>
      <c r="L1093" s="269" t="n"/>
      <c r="M1093" s="269" t="n"/>
      <c r="N1093" s="269" t="n"/>
      <c r="O1093" s="269" t="n"/>
      <c r="P1093" s="269" t="n"/>
      <c r="Q1093" s="269" t="n"/>
      <c r="R1093" s="269" t="n"/>
      <c r="S1093" s="269" t="n"/>
      <c r="T1093" s="269" t="n"/>
      <c r="U1093" s="269" t="n"/>
      <c r="V1093" s="269" t="n"/>
      <c r="W1093" s="270" t="n"/>
    </row>
    <row r="1094" customFormat="1" s="163">
      <c r="A1094" s="282" t="n"/>
      <c r="B1094" s="268" t="n"/>
      <c r="C1094" s="269" t="n"/>
      <c r="D1094" s="269" t="n"/>
      <c r="E1094" s="269" t="n"/>
      <c r="F1094" s="269" t="n"/>
      <c r="G1094" s="269" t="n"/>
      <c r="H1094" s="269" t="n"/>
      <c r="I1094" s="269" t="n"/>
      <c r="J1094" s="269" t="n"/>
      <c r="K1094" s="269" t="n"/>
      <c r="L1094" s="269" t="n"/>
      <c r="M1094" s="269" t="n"/>
      <c r="N1094" s="269" t="n"/>
      <c r="O1094" s="269" t="n"/>
      <c r="P1094" s="269" t="n"/>
      <c r="Q1094" s="269" t="n"/>
      <c r="R1094" s="269" t="n"/>
      <c r="S1094" s="269" t="n"/>
      <c r="T1094" s="269" t="n"/>
      <c r="U1094" s="269" t="n"/>
      <c r="V1094" s="269" t="n"/>
      <c r="W1094" s="270" t="n"/>
    </row>
    <row r="1095" customFormat="1" s="163">
      <c r="A1095" s="282" t="n"/>
      <c r="B1095" s="268" t="n"/>
      <c r="C1095" s="269" t="n"/>
      <c r="D1095" s="269" t="n"/>
      <c r="E1095" s="269" t="n"/>
      <c r="F1095" s="269" t="n"/>
      <c r="G1095" s="269" t="n"/>
      <c r="H1095" s="269" t="n"/>
      <c r="I1095" s="269" t="n"/>
      <c r="J1095" s="269" t="n"/>
      <c r="K1095" s="269" t="n"/>
      <c r="L1095" s="269" t="n"/>
      <c r="M1095" s="269" t="n"/>
      <c r="N1095" s="269" t="n"/>
      <c r="O1095" s="269" t="n"/>
      <c r="P1095" s="269" t="n"/>
      <c r="Q1095" s="269" t="n"/>
      <c r="R1095" s="269" t="n"/>
      <c r="S1095" s="269" t="n"/>
      <c r="T1095" s="269" t="n"/>
      <c r="U1095" s="269" t="n"/>
      <c r="V1095" s="269" t="n"/>
      <c r="W1095" s="270" t="n"/>
    </row>
    <row r="1096" customFormat="1" s="163">
      <c r="A1096" s="282" t="n"/>
      <c r="B1096" s="268" t="n"/>
      <c r="C1096" s="269" t="n"/>
      <c r="D1096" s="269" t="n"/>
      <c r="E1096" s="269" t="n"/>
      <c r="F1096" s="269" t="n"/>
      <c r="G1096" s="269" t="n"/>
      <c r="H1096" s="269" t="n"/>
      <c r="I1096" s="269" t="n"/>
      <c r="J1096" s="269" t="n"/>
      <c r="K1096" s="269" t="n"/>
      <c r="L1096" s="269" t="n"/>
      <c r="M1096" s="269" t="n"/>
      <c r="N1096" s="269" t="n"/>
      <c r="O1096" s="269" t="n"/>
      <c r="P1096" s="269" t="n"/>
      <c r="Q1096" s="269" t="n"/>
      <c r="R1096" s="269" t="n"/>
      <c r="S1096" s="269" t="n"/>
      <c r="T1096" s="269" t="n"/>
      <c r="U1096" s="269" t="n"/>
      <c r="V1096" s="269" t="n"/>
      <c r="W1096" s="270" t="n"/>
    </row>
    <row r="1097" customFormat="1" s="163">
      <c r="A1097" s="282" t="n"/>
      <c r="B1097" s="268" t="n"/>
      <c r="C1097" s="269" t="n"/>
      <c r="D1097" s="269" t="n"/>
      <c r="E1097" s="269" t="n"/>
      <c r="F1097" s="269" t="n"/>
      <c r="G1097" s="269" t="n"/>
      <c r="H1097" s="269" t="n"/>
      <c r="I1097" s="269" t="n"/>
      <c r="J1097" s="269" t="n"/>
      <c r="K1097" s="269" t="n"/>
      <c r="L1097" s="269" t="n"/>
      <c r="M1097" s="269" t="n"/>
      <c r="N1097" s="269" t="n"/>
      <c r="O1097" s="269" t="n"/>
      <c r="P1097" s="269" t="n"/>
      <c r="Q1097" s="269" t="n"/>
      <c r="R1097" s="269" t="n"/>
      <c r="S1097" s="269" t="n"/>
      <c r="T1097" s="269" t="n"/>
      <c r="U1097" s="269" t="n"/>
      <c r="V1097" s="269" t="n"/>
      <c r="W1097" s="270" t="n"/>
    </row>
    <row r="1098" customFormat="1" s="163">
      <c r="A1098" s="282" t="n"/>
      <c r="B1098" s="268" t="n"/>
      <c r="C1098" s="269" t="n"/>
      <c r="D1098" s="269" t="n"/>
      <c r="E1098" s="269" t="n"/>
      <c r="F1098" s="269" t="n"/>
      <c r="G1098" s="269" t="n"/>
      <c r="H1098" s="269" t="n"/>
      <c r="I1098" s="269" t="n"/>
      <c r="J1098" s="269" t="n"/>
      <c r="K1098" s="269" t="n"/>
      <c r="L1098" s="269" t="n"/>
      <c r="M1098" s="269" t="n"/>
      <c r="N1098" s="269" t="n"/>
      <c r="O1098" s="269" t="n"/>
      <c r="P1098" s="269" t="n"/>
      <c r="Q1098" s="269" t="n"/>
      <c r="R1098" s="269" t="n"/>
      <c r="S1098" s="269" t="n"/>
      <c r="T1098" s="269" t="n"/>
      <c r="U1098" s="269" t="n"/>
      <c r="V1098" s="269" t="n"/>
      <c r="W1098" s="270" t="n"/>
    </row>
    <row r="1099" customFormat="1" s="163">
      <c r="A1099" s="282" t="n"/>
      <c r="B1099" s="268" t="n"/>
      <c r="C1099" s="269" t="n"/>
      <c r="D1099" s="269" t="n"/>
      <c r="E1099" s="269" t="n"/>
      <c r="F1099" s="269" t="n"/>
      <c r="G1099" s="269" t="n"/>
      <c r="H1099" s="269" t="n"/>
      <c r="I1099" s="269" t="n"/>
      <c r="J1099" s="269" t="n"/>
      <c r="K1099" s="269" t="n"/>
      <c r="L1099" s="269" t="n"/>
      <c r="M1099" s="269" t="n"/>
      <c r="N1099" s="269" t="n"/>
      <c r="O1099" s="269" t="n"/>
      <c r="P1099" s="269" t="n"/>
      <c r="Q1099" s="269" t="n"/>
      <c r="R1099" s="269" t="n"/>
      <c r="S1099" s="269" t="n"/>
      <c r="T1099" s="269" t="n"/>
      <c r="U1099" s="269" t="n"/>
      <c r="V1099" s="269" t="n"/>
      <c r="W1099" s="270" t="n"/>
    </row>
    <row r="1100" customFormat="1" s="163">
      <c r="A1100" s="282" t="n"/>
      <c r="B1100" s="268" t="n"/>
      <c r="C1100" s="269" t="n"/>
      <c r="D1100" s="269" t="n"/>
      <c r="E1100" s="269" t="n"/>
      <c r="F1100" s="269" t="n"/>
      <c r="G1100" s="269" t="n"/>
      <c r="H1100" s="269" t="n"/>
      <c r="I1100" s="269" t="n"/>
      <c r="J1100" s="269" t="n"/>
      <c r="K1100" s="269" t="n"/>
      <c r="L1100" s="269" t="n"/>
      <c r="M1100" s="269" t="n"/>
      <c r="N1100" s="269" t="n"/>
      <c r="O1100" s="269" t="n"/>
      <c r="P1100" s="269" t="n"/>
      <c r="Q1100" s="269" t="n"/>
      <c r="R1100" s="269" t="n"/>
      <c r="S1100" s="269" t="n"/>
      <c r="T1100" s="269" t="n"/>
      <c r="U1100" s="269" t="n"/>
      <c r="V1100" s="269" t="n"/>
      <c r="W1100" s="270" t="n"/>
    </row>
    <row r="1101" customFormat="1" s="163">
      <c r="A1101" s="282" t="n"/>
      <c r="B1101" s="268" t="n"/>
      <c r="C1101" s="269" t="n"/>
      <c r="D1101" s="269" t="n"/>
      <c r="E1101" s="269" t="n"/>
      <c r="F1101" s="269" t="n"/>
      <c r="G1101" s="269" t="n"/>
      <c r="H1101" s="269" t="n"/>
      <c r="I1101" s="269" t="n"/>
      <c r="J1101" s="269" t="n"/>
      <c r="K1101" s="269" t="n"/>
      <c r="L1101" s="269" t="n"/>
      <c r="M1101" s="269" t="n"/>
      <c r="N1101" s="269" t="n"/>
      <c r="O1101" s="269" t="n"/>
      <c r="P1101" s="269" t="n"/>
      <c r="Q1101" s="269" t="n"/>
      <c r="R1101" s="269" t="n"/>
      <c r="S1101" s="269" t="n"/>
      <c r="T1101" s="269" t="n"/>
      <c r="U1101" s="269" t="n"/>
      <c r="V1101" s="269" t="n"/>
      <c r="W1101" s="270" t="n"/>
    </row>
    <row r="1102" customFormat="1" s="163">
      <c r="A1102" s="282" t="n"/>
      <c r="B1102" s="268" t="n"/>
      <c r="C1102" s="269" t="n"/>
      <c r="D1102" s="269" t="n"/>
      <c r="E1102" s="269" t="n"/>
      <c r="F1102" s="269" t="n"/>
      <c r="G1102" s="269" t="n"/>
      <c r="H1102" s="269" t="n"/>
      <c r="I1102" s="269" t="n"/>
      <c r="J1102" s="269" t="n"/>
      <c r="K1102" s="269" t="n"/>
      <c r="L1102" s="269" t="n"/>
      <c r="M1102" s="269" t="n"/>
      <c r="N1102" s="269" t="n"/>
      <c r="O1102" s="269" t="n"/>
      <c r="P1102" s="269" t="n"/>
      <c r="Q1102" s="269" t="n"/>
      <c r="R1102" s="269" t="n"/>
      <c r="S1102" s="269" t="n"/>
      <c r="T1102" s="269" t="n"/>
      <c r="U1102" s="269" t="n"/>
      <c r="V1102" s="269" t="n"/>
      <c r="W1102" s="270" t="n"/>
    </row>
    <row r="1103" customFormat="1" s="163">
      <c r="A1103" s="282" t="n"/>
      <c r="B1103" s="268" t="n"/>
      <c r="C1103" s="269" t="n"/>
      <c r="D1103" s="269" t="n"/>
      <c r="E1103" s="269" t="n"/>
      <c r="F1103" s="269" t="n"/>
      <c r="G1103" s="269" t="n"/>
      <c r="H1103" s="269" t="n"/>
      <c r="I1103" s="269" t="n"/>
      <c r="J1103" s="269" t="n"/>
      <c r="K1103" s="269" t="n"/>
      <c r="L1103" s="269" t="n"/>
      <c r="M1103" s="269" t="n"/>
      <c r="N1103" s="269" t="n"/>
      <c r="O1103" s="269" t="n"/>
      <c r="P1103" s="269" t="n"/>
      <c r="Q1103" s="269" t="n"/>
      <c r="R1103" s="269" t="n"/>
      <c r="S1103" s="269" t="n"/>
      <c r="T1103" s="269" t="n"/>
      <c r="U1103" s="269" t="n"/>
      <c r="V1103" s="269" t="n"/>
      <c r="W1103" s="270" t="n"/>
    </row>
    <row r="1104" customFormat="1" s="163">
      <c r="A1104" s="282" t="n"/>
      <c r="B1104" s="268" t="n"/>
      <c r="C1104" s="269" t="n"/>
      <c r="D1104" s="269" t="n"/>
      <c r="E1104" s="269" t="n"/>
      <c r="F1104" s="269" t="n"/>
      <c r="G1104" s="269" t="n"/>
      <c r="H1104" s="269" t="n"/>
      <c r="I1104" s="269" t="n"/>
      <c r="J1104" s="269" t="n"/>
      <c r="K1104" s="269" t="n"/>
      <c r="L1104" s="269" t="n"/>
      <c r="M1104" s="269" t="n"/>
      <c r="N1104" s="269" t="n"/>
      <c r="O1104" s="269" t="n"/>
      <c r="P1104" s="269" t="n"/>
      <c r="Q1104" s="269" t="n"/>
      <c r="R1104" s="269" t="n"/>
      <c r="S1104" s="269" t="n"/>
      <c r="T1104" s="269" t="n"/>
      <c r="U1104" s="269" t="n"/>
      <c r="V1104" s="269" t="n"/>
      <c r="W1104" s="270" t="n"/>
    </row>
    <row r="1105" customFormat="1" s="163">
      <c r="A1105" s="282" t="n"/>
      <c r="B1105" s="268" t="n"/>
      <c r="C1105" s="269" t="n"/>
      <c r="D1105" s="269" t="n"/>
      <c r="E1105" s="269" t="n"/>
      <c r="F1105" s="269" t="n"/>
      <c r="G1105" s="269" t="n"/>
      <c r="H1105" s="269" t="n"/>
      <c r="I1105" s="269" t="n"/>
      <c r="J1105" s="269" t="n"/>
      <c r="K1105" s="269" t="n"/>
      <c r="L1105" s="269" t="n"/>
      <c r="M1105" s="269" t="n"/>
      <c r="N1105" s="269" t="n"/>
      <c r="O1105" s="269" t="n"/>
      <c r="P1105" s="269" t="n"/>
      <c r="Q1105" s="269" t="n"/>
      <c r="R1105" s="269" t="n"/>
      <c r="S1105" s="269" t="n"/>
      <c r="T1105" s="269" t="n"/>
      <c r="U1105" s="269" t="n"/>
      <c r="V1105" s="269" t="n"/>
      <c r="W1105" s="270" t="n"/>
    </row>
    <row r="1106" customFormat="1" s="163">
      <c r="A1106" s="282" t="n"/>
      <c r="B1106" s="268" t="n"/>
      <c r="C1106" s="269" t="n"/>
      <c r="D1106" s="269" t="n"/>
      <c r="E1106" s="269" t="n"/>
      <c r="F1106" s="269" t="n"/>
      <c r="G1106" s="269" t="n"/>
      <c r="H1106" s="269" t="n"/>
      <c r="I1106" s="269" t="n"/>
      <c r="J1106" s="269" t="n"/>
      <c r="K1106" s="269" t="n"/>
      <c r="L1106" s="269" t="n"/>
      <c r="M1106" s="269" t="n"/>
      <c r="N1106" s="269" t="n"/>
      <c r="O1106" s="269" t="n"/>
      <c r="P1106" s="269" t="n"/>
      <c r="Q1106" s="269" t="n"/>
      <c r="R1106" s="269" t="n"/>
      <c r="S1106" s="269" t="n"/>
      <c r="T1106" s="269" t="n"/>
      <c r="U1106" s="269" t="n"/>
      <c r="V1106" s="269" t="n"/>
      <c r="W1106" s="270" t="n"/>
    </row>
    <row r="1107" customFormat="1" s="163">
      <c r="A1107" s="282" t="n"/>
      <c r="B1107" s="268" t="n"/>
      <c r="C1107" s="269" t="n"/>
      <c r="D1107" s="269" t="n"/>
      <c r="E1107" s="269" t="n"/>
      <c r="F1107" s="269" t="n"/>
      <c r="G1107" s="269" t="n"/>
      <c r="H1107" s="269" t="n"/>
      <c r="I1107" s="269" t="n"/>
      <c r="J1107" s="269" t="n"/>
      <c r="K1107" s="269" t="n"/>
      <c r="L1107" s="269" t="n"/>
      <c r="M1107" s="269" t="n"/>
      <c r="N1107" s="269" t="n"/>
      <c r="O1107" s="269" t="n"/>
      <c r="P1107" s="269" t="n"/>
      <c r="Q1107" s="269" t="n"/>
      <c r="R1107" s="269" t="n"/>
      <c r="S1107" s="269" t="n"/>
      <c r="T1107" s="269" t="n"/>
      <c r="U1107" s="269" t="n"/>
      <c r="V1107" s="269" t="n"/>
      <c r="W1107" s="270" t="n"/>
    </row>
    <row r="1108" customFormat="1" s="163">
      <c r="A1108" s="282" t="n"/>
      <c r="B1108" s="268" t="n"/>
      <c r="C1108" s="269" t="n"/>
      <c r="D1108" s="269" t="n"/>
      <c r="E1108" s="269" t="n"/>
      <c r="F1108" s="269" t="n"/>
      <c r="G1108" s="269" t="n"/>
      <c r="H1108" s="269" t="n"/>
      <c r="I1108" s="269" t="n"/>
      <c r="J1108" s="269" t="n"/>
      <c r="K1108" s="269" t="n"/>
      <c r="L1108" s="269" t="n"/>
      <c r="M1108" s="269" t="n"/>
      <c r="N1108" s="269" t="n"/>
      <c r="O1108" s="269" t="n"/>
      <c r="P1108" s="269" t="n"/>
      <c r="Q1108" s="269" t="n"/>
      <c r="R1108" s="269" t="n"/>
      <c r="S1108" s="269" t="n"/>
      <c r="T1108" s="269" t="n"/>
      <c r="U1108" s="269" t="n"/>
      <c r="V1108" s="269" t="n"/>
      <c r="W1108" s="270" t="n"/>
    </row>
    <row r="1109" customFormat="1" s="163">
      <c r="A1109" s="282" t="n"/>
      <c r="B1109" s="268" t="n"/>
      <c r="C1109" s="269" t="n"/>
      <c r="D1109" s="269" t="n"/>
      <c r="E1109" s="269" t="n"/>
      <c r="F1109" s="269" t="n"/>
      <c r="G1109" s="269" t="n"/>
      <c r="H1109" s="269" t="n"/>
      <c r="I1109" s="269" t="n"/>
      <c r="J1109" s="269" t="n"/>
      <c r="K1109" s="269" t="n"/>
      <c r="L1109" s="269" t="n"/>
      <c r="M1109" s="269" t="n"/>
      <c r="N1109" s="269" t="n"/>
      <c r="O1109" s="269" t="n"/>
      <c r="P1109" s="269" t="n"/>
      <c r="Q1109" s="269" t="n"/>
      <c r="R1109" s="269" t="n"/>
      <c r="S1109" s="269" t="n"/>
      <c r="T1109" s="269" t="n"/>
      <c r="U1109" s="269" t="n"/>
      <c r="V1109" s="269" t="n"/>
      <c r="W1109" s="270" t="n"/>
    </row>
    <row r="1110" customFormat="1" s="163">
      <c r="A1110" s="282" t="n"/>
      <c r="B1110" s="268" t="n"/>
      <c r="C1110" s="269" t="n"/>
      <c r="D1110" s="269" t="n"/>
      <c r="E1110" s="269" t="n"/>
      <c r="F1110" s="269" t="n"/>
      <c r="G1110" s="269" t="n"/>
      <c r="H1110" s="269" t="n"/>
      <c r="I1110" s="269" t="n"/>
      <c r="J1110" s="269" t="n"/>
      <c r="K1110" s="269" t="n"/>
      <c r="L1110" s="269" t="n"/>
      <c r="M1110" s="269" t="n"/>
      <c r="N1110" s="269" t="n"/>
      <c r="O1110" s="269" t="n"/>
      <c r="P1110" s="269" t="n"/>
      <c r="Q1110" s="269" t="n"/>
      <c r="R1110" s="269" t="n"/>
      <c r="S1110" s="269" t="n"/>
      <c r="T1110" s="269" t="n"/>
      <c r="U1110" s="269" t="n"/>
      <c r="V1110" s="269" t="n"/>
      <c r="W1110" s="270" t="n"/>
    </row>
    <row r="1111" customFormat="1" s="163">
      <c r="A1111" s="282" t="n"/>
      <c r="B1111" s="268" t="n"/>
      <c r="C1111" s="269" t="n"/>
      <c r="D1111" s="269" t="n"/>
      <c r="E1111" s="269" t="n"/>
      <c r="F1111" s="269" t="n"/>
      <c r="G1111" s="269" t="n"/>
      <c r="H1111" s="269" t="n"/>
      <c r="I1111" s="269" t="n"/>
      <c r="J1111" s="269" t="n"/>
      <c r="K1111" s="269" t="n"/>
      <c r="L1111" s="269" t="n"/>
      <c r="M1111" s="269" t="n"/>
      <c r="N1111" s="269" t="n"/>
      <c r="O1111" s="269" t="n"/>
      <c r="P1111" s="269" t="n"/>
      <c r="Q1111" s="269" t="n"/>
      <c r="R1111" s="269" t="n"/>
      <c r="S1111" s="269" t="n"/>
      <c r="T1111" s="269" t="n"/>
      <c r="U1111" s="269" t="n"/>
      <c r="V1111" s="269" t="n"/>
      <c r="W1111" s="270" t="n"/>
    </row>
    <row r="1112" customFormat="1" s="163">
      <c r="A1112" s="282" t="n"/>
      <c r="B1112" s="268" t="n"/>
      <c r="C1112" s="269" t="n"/>
      <c r="D1112" s="269" t="n"/>
      <c r="E1112" s="269" t="n"/>
      <c r="F1112" s="269" t="n"/>
      <c r="G1112" s="269" t="n"/>
      <c r="H1112" s="269" t="n"/>
      <c r="I1112" s="269" t="n"/>
      <c r="J1112" s="269" t="n"/>
      <c r="K1112" s="269" t="n"/>
      <c r="L1112" s="269" t="n"/>
      <c r="M1112" s="269" t="n"/>
      <c r="N1112" s="269" t="n"/>
      <c r="O1112" s="269" t="n"/>
      <c r="P1112" s="269" t="n"/>
      <c r="Q1112" s="269" t="n"/>
      <c r="R1112" s="269" t="n"/>
      <c r="S1112" s="269" t="n"/>
      <c r="T1112" s="269" t="n"/>
      <c r="U1112" s="269" t="n"/>
      <c r="V1112" s="269" t="n"/>
      <c r="W1112" s="270" t="n"/>
    </row>
    <row r="1113" customFormat="1" s="163">
      <c r="A1113" s="282" t="n"/>
      <c r="B1113" s="268" t="n"/>
      <c r="C1113" s="269" t="n"/>
      <c r="D1113" s="269" t="n"/>
      <c r="E1113" s="269" t="n"/>
      <c r="F1113" s="269" t="n"/>
      <c r="G1113" s="269" t="n"/>
      <c r="H1113" s="269" t="n"/>
      <c r="I1113" s="269" t="n"/>
      <c r="J1113" s="269" t="n"/>
      <c r="K1113" s="269" t="n"/>
      <c r="L1113" s="269" t="n"/>
      <c r="M1113" s="269" t="n"/>
      <c r="N1113" s="269" t="n"/>
      <c r="O1113" s="269" t="n"/>
      <c r="P1113" s="269" t="n"/>
      <c r="Q1113" s="269" t="n"/>
      <c r="R1113" s="269" t="n"/>
      <c r="S1113" s="269" t="n"/>
      <c r="T1113" s="269" t="n"/>
      <c r="U1113" s="269" t="n"/>
      <c r="V1113" s="269" t="n"/>
      <c r="W1113" s="270" t="n"/>
    </row>
    <row r="1114" customFormat="1" s="163">
      <c r="A1114" s="282" t="n"/>
      <c r="B1114" s="268" t="n"/>
      <c r="C1114" s="269" t="n"/>
      <c r="D1114" s="269" t="n"/>
      <c r="E1114" s="269" t="n"/>
      <c r="F1114" s="269" t="n"/>
      <c r="G1114" s="269" t="n"/>
      <c r="H1114" s="269" t="n"/>
      <c r="I1114" s="269" t="n"/>
      <c r="J1114" s="269" t="n"/>
      <c r="K1114" s="269" t="n"/>
      <c r="L1114" s="269" t="n"/>
      <c r="M1114" s="269" t="n"/>
      <c r="N1114" s="269" t="n"/>
      <c r="O1114" s="269" t="n"/>
      <c r="P1114" s="269" t="n"/>
      <c r="Q1114" s="269" t="n"/>
      <c r="R1114" s="269" t="n"/>
      <c r="S1114" s="269" t="n"/>
      <c r="T1114" s="269" t="n"/>
      <c r="U1114" s="269" t="n"/>
      <c r="V1114" s="269" t="n"/>
      <c r="W1114" s="270" t="n"/>
    </row>
    <row r="1115" customFormat="1" s="163">
      <c r="A1115" s="282" t="n"/>
      <c r="B1115" s="268" t="n"/>
      <c r="C1115" s="269" t="n"/>
      <c r="D1115" s="269" t="n"/>
      <c r="E1115" s="269" t="n"/>
      <c r="F1115" s="269" t="n"/>
      <c r="G1115" s="269" t="n"/>
      <c r="H1115" s="269" t="n"/>
      <c r="I1115" s="269" t="n"/>
      <c r="J1115" s="269" t="n"/>
      <c r="K1115" s="269" t="n"/>
      <c r="L1115" s="269" t="n"/>
      <c r="M1115" s="269" t="n"/>
      <c r="N1115" s="269" t="n"/>
      <c r="O1115" s="269" t="n"/>
      <c r="P1115" s="269" t="n"/>
      <c r="Q1115" s="269" t="n"/>
      <c r="R1115" s="269" t="n"/>
      <c r="S1115" s="269" t="n"/>
      <c r="T1115" s="269" t="n"/>
      <c r="U1115" s="269" t="n"/>
      <c r="V1115" s="269" t="n"/>
      <c r="W1115" s="270" t="n"/>
    </row>
    <row r="1116" customFormat="1" s="163">
      <c r="A1116" s="282" t="n"/>
      <c r="B1116" s="268" t="n"/>
      <c r="C1116" s="269" t="n"/>
      <c r="D1116" s="269" t="n"/>
      <c r="E1116" s="269" t="n"/>
      <c r="F1116" s="269" t="n"/>
      <c r="G1116" s="269" t="n"/>
      <c r="H1116" s="269" t="n"/>
      <c r="I1116" s="269" t="n"/>
      <c r="J1116" s="269" t="n"/>
      <c r="K1116" s="269" t="n"/>
      <c r="L1116" s="269" t="n"/>
      <c r="M1116" s="269" t="n"/>
      <c r="N1116" s="269" t="n"/>
      <c r="O1116" s="269" t="n"/>
      <c r="P1116" s="269" t="n"/>
      <c r="Q1116" s="269" t="n"/>
      <c r="R1116" s="269" t="n"/>
      <c r="S1116" s="269" t="n"/>
      <c r="T1116" s="269" t="n"/>
      <c r="U1116" s="269" t="n"/>
      <c r="V1116" s="269" t="n"/>
      <c r="W1116" s="270" t="n"/>
    </row>
    <row r="1117" customFormat="1" s="163">
      <c r="A1117" s="282" t="n"/>
      <c r="B1117" s="268" t="n"/>
      <c r="C1117" s="269" t="n"/>
      <c r="D1117" s="269" t="n"/>
      <c r="E1117" s="269" t="n"/>
      <c r="F1117" s="269" t="n"/>
      <c r="G1117" s="269" t="n"/>
      <c r="H1117" s="269" t="n"/>
      <c r="I1117" s="269" t="n"/>
      <c r="J1117" s="269" t="n"/>
      <c r="K1117" s="269" t="n"/>
      <c r="L1117" s="269" t="n"/>
      <c r="M1117" s="269" t="n"/>
      <c r="N1117" s="269" t="n"/>
      <c r="O1117" s="269" t="n"/>
      <c r="P1117" s="269" t="n"/>
      <c r="Q1117" s="269" t="n"/>
      <c r="R1117" s="269" t="n"/>
      <c r="S1117" s="269" t="n"/>
      <c r="T1117" s="269" t="n"/>
      <c r="U1117" s="269" t="n"/>
      <c r="V1117" s="269" t="n"/>
      <c r="W1117" s="270" t="n"/>
    </row>
    <row r="1118" customFormat="1" s="163">
      <c r="A1118" s="282" t="n"/>
      <c r="B1118" s="268" t="n"/>
      <c r="C1118" s="269" t="n"/>
      <c r="D1118" s="269" t="n"/>
      <c r="E1118" s="269" t="n"/>
      <c r="F1118" s="269" t="n"/>
      <c r="G1118" s="269" t="n"/>
      <c r="H1118" s="269" t="n"/>
      <c r="I1118" s="269" t="n"/>
      <c r="J1118" s="269" t="n"/>
      <c r="K1118" s="269" t="n"/>
      <c r="L1118" s="269" t="n"/>
      <c r="M1118" s="269" t="n"/>
      <c r="N1118" s="269" t="n"/>
      <c r="O1118" s="269" t="n"/>
      <c r="P1118" s="269" t="n"/>
      <c r="Q1118" s="269" t="n"/>
      <c r="R1118" s="269" t="n"/>
      <c r="S1118" s="269" t="n"/>
      <c r="T1118" s="269" t="n"/>
      <c r="U1118" s="269" t="n"/>
      <c r="V1118" s="269" t="n"/>
      <c r="W1118" s="270" t="n"/>
    </row>
    <row r="1119" customFormat="1" s="163">
      <c r="A1119" s="282" t="n"/>
      <c r="B1119" s="268" t="n"/>
      <c r="C1119" s="269" t="n"/>
      <c r="D1119" s="269" t="n"/>
      <c r="E1119" s="269" t="n"/>
      <c r="F1119" s="269" t="n"/>
      <c r="G1119" s="269" t="n"/>
      <c r="H1119" s="269" t="n"/>
      <c r="I1119" s="269" t="n"/>
      <c r="J1119" s="269" t="n"/>
      <c r="K1119" s="269" t="n"/>
      <c r="L1119" s="269" t="n"/>
      <c r="M1119" s="269" t="n"/>
      <c r="N1119" s="269" t="n"/>
      <c r="O1119" s="269" t="n"/>
      <c r="P1119" s="269" t="n"/>
      <c r="Q1119" s="269" t="n"/>
      <c r="R1119" s="269" t="n"/>
      <c r="S1119" s="269" t="n"/>
      <c r="T1119" s="269" t="n"/>
      <c r="U1119" s="269" t="n"/>
      <c r="V1119" s="269" t="n"/>
      <c r="W1119" s="270" t="n"/>
    </row>
    <row r="1120" customFormat="1" s="163">
      <c r="A1120" s="282" t="n"/>
      <c r="B1120" s="268" t="n"/>
      <c r="C1120" s="269" t="n"/>
      <c r="D1120" s="269" t="n"/>
      <c r="E1120" s="269" t="n"/>
      <c r="F1120" s="269" t="n"/>
      <c r="G1120" s="269" t="n"/>
      <c r="H1120" s="269" t="n"/>
      <c r="I1120" s="269" t="n"/>
      <c r="J1120" s="269" t="n"/>
      <c r="K1120" s="269" t="n"/>
      <c r="L1120" s="269" t="n"/>
      <c r="M1120" s="269" t="n"/>
      <c r="N1120" s="269" t="n"/>
      <c r="O1120" s="269" t="n"/>
      <c r="P1120" s="269" t="n"/>
      <c r="Q1120" s="269" t="n"/>
      <c r="R1120" s="269" t="n"/>
      <c r="S1120" s="269" t="n"/>
      <c r="T1120" s="269" t="n"/>
      <c r="U1120" s="269" t="n"/>
      <c r="V1120" s="269" t="n"/>
      <c r="W1120" s="270" t="n"/>
    </row>
    <row r="1121" customFormat="1" s="163">
      <c r="A1121" s="282" t="n"/>
      <c r="B1121" s="268" t="n"/>
      <c r="C1121" s="269" t="n"/>
      <c r="D1121" s="269" t="n"/>
      <c r="E1121" s="269" t="n"/>
      <c r="F1121" s="269" t="n"/>
      <c r="G1121" s="269" t="n"/>
      <c r="H1121" s="269" t="n"/>
      <c r="I1121" s="269" t="n"/>
      <c r="J1121" s="269" t="n"/>
      <c r="K1121" s="269" t="n"/>
      <c r="L1121" s="269" t="n"/>
      <c r="M1121" s="269" t="n"/>
      <c r="N1121" s="269" t="n"/>
      <c r="O1121" s="269" t="n"/>
      <c r="P1121" s="269" t="n"/>
      <c r="Q1121" s="269" t="n"/>
      <c r="R1121" s="269" t="n"/>
      <c r="S1121" s="269" t="n"/>
      <c r="T1121" s="269" t="n"/>
      <c r="U1121" s="269" t="n"/>
      <c r="V1121" s="269" t="n"/>
      <c r="W1121" s="270" t="n"/>
    </row>
    <row r="1122" customFormat="1" s="163">
      <c r="A1122" s="282" t="n"/>
      <c r="B1122" s="268" t="n"/>
      <c r="C1122" s="269" t="n"/>
      <c r="D1122" s="269" t="n"/>
      <c r="E1122" s="269" t="n"/>
      <c r="F1122" s="269" t="n"/>
      <c r="G1122" s="269" t="n"/>
      <c r="H1122" s="269" t="n"/>
      <c r="I1122" s="269" t="n"/>
      <c r="J1122" s="269" t="n"/>
      <c r="K1122" s="269" t="n"/>
      <c r="L1122" s="269" t="n"/>
      <c r="M1122" s="269" t="n"/>
      <c r="N1122" s="269" t="n"/>
      <c r="O1122" s="269" t="n"/>
      <c r="P1122" s="269" t="n"/>
      <c r="Q1122" s="269" t="n"/>
      <c r="R1122" s="269" t="n"/>
      <c r="S1122" s="269" t="n"/>
      <c r="T1122" s="269" t="n"/>
      <c r="U1122" s="269" t="n"/>
      <c r="V1122" s="269" t="n"/>
      <c r="W1122" s="270" t="n"/>
    </row>
    <row r="1123" customFormat="1" s="163">
      <c r="A1123" s="282" t="n"/>
      <c r="B1123" s="268" t="n"/>
      <c r="C1123" s="269" t="n"/>
      <c r="D1123" s="269" t="n"/>
      <c r="E1123" s="269" t="n"/>
      <c r="F1123" s="269" t="n"/>
      <c r="G1123" s="269" t="n"/>
      <c r="H1123" s="269" t="n"/>
      <c r="I1123" s="269" t="n"/>
      <c r="J1123" s="269" t="n"/>
      <c r="K1123" s="269" t="n"/>
      <c r="L1123" s="269" t="n"/>
      <c r="M1123" s="269" t="n"/>
      <c r="N1123" s="269" t="n"/>
      <c r="O1123" s="269" t="n"/>
      <c r="P1123" s="269" t="n"/>
      <c r="Q1123" s="269" t="n"/>
      <c r="R1123" s="269" t="n"/>
      <c r="S1123" s="269" t="n"/>
      <c r="T1123" s="269" t="n"/>
      <c r="U1123" s="269" t="n"/>
      <c r="V1123" s="269" t="n"/>
      <c r="W1123" s="270" t="n"/>
    </row>
    <row r="1124" customFormat="1" s="163">
      <c r="A1124" s="282" t="n"/>
      <c r="B1124" s="268" t="n"/>
      <c r="C1124" s="269" t="n"/>
      <c r="D1124" s="269" t="n"/>
      <c r="E1124" s="269" t="n"/>
      <c r="F1124" s="269" t="n"/>
      <c r="G1124" s="269" t="n"/>
      <c r="H1124" s="269" t="n"/>
      <c r="I1124" s="269" t="n"/>
      <c r="J1124" s="269" t="n"/>
      <c r="K1124" s="269" t="n"/>
      <c r="L1124" s="269" t="n"/>
      <c r="M1124" s="269" t="n"/>
      <c r="N1124" s="269" t="n"/>
      <c r="O1124" s="269" t="n"/>
      <c r="P1124" s="269" t="n"/>
      <c r="Q1124" s="269" t="n"/>
      <c r="R1124" s="269" t="n"/>
      <c r="S1124" s="269" t="n"/>
      <c r="T1124" s="269" t="n"/>
      <c r="U1124" s="269" t="n"/>
      <c r="V1124" s="269" t="n"/>
      <c r="W1124" s="270" t="n"/>
    </row>
    <row r="1125" customFormat="1" s="163">
      <c r="A1125" s="282" t="n"/>
      <c r="B1125" s="268" t="n"/>
      <c r="C1125" s="269" t="n"/>
      <c r="D1125" s="269" t="n"/>
      <c r="E1125" s="269" t="n"/>
      <c r="F1125" s="269" t="n"/>
      <c r="G1125" s="269" t="n"/>
      <c r="H1125" s="269" t="n"/>
      <c r="I1125" s="269" t="n"/>
      <c r="J1125" s="269" t="n"/>
      <c r="K1125" s="269" t="n"/>
      <c r="L1125" s="269" t="n"/>
      <c r="M1125" s="269" t="n"/>
      <c r="N1125" s="269" t="n"/>
      <c r="O1125" s="269" t="n"/>
      <c r="P1125" s="269" t="n"/>
      <c r="Q1125" s="269" t="n"/>
      <c r="R1125" s="269" t="n"/>
      <c r="S1125" s="269" t="n"/>
      <c r="T1125" s="269" t="n"/>
      <c r="U1125" s="269" t="n"/>
      <c r="V1125" s="269" t="n"/>
      <c r="W1125" s="270" t="n"/>
    </row>
    <row r="1126" customFormat="1" s="163">
      <c r="A1126" s="282" t="n"/>
      <c r="B1126" s="268" t="n"/>
      <c r="C1126" s="269" t="n"/>
      <c r="D1126" s="269" t="n"/>
      <c r="E1126" s="269" t="n"/>
      <c r="F1126" s="269" t="n"/>
      <c r="G1126" s="269" t="n"/>
      <c r="H1126" s="269" t="n"/>
      <c r="I1126" s="269" t="n"/>
      <c r="J1126" s="269" t="n"/>
      <c r="K1126" s="269" t="n"/>
      <c r="L1126" s="269" t="n"/>
      <c r="M1126" s="269" t="n"/>
      <c r="N1126" s="269" t="n"/>
      <c r="O1126" s="269" t="n"/>
      <c r="P1126" s="269" t="n"/>
      <c r="Q1126" s="269" t="n"/>
      <c r="R1126" s="269" t="n"/>
      <c r="S1126" s="269" t="n"/>
      <c r="T1126" s="269" t="n"/>
      <c r="U1126" s="269" t="n"/>
      <c r="V1126" s="269" t="n"/>
      <c r="W1126" s="270" t="n"/>
    </row>
    <row r="1127" customFormat="1" s="163">
      <c r="A1127" s="282" t="n"/>
      <c r="B1127" s="268" t="n"/>
      <c r="C1127" s="269" t="n"/>
      <c r="D1127" s="269" t="n"/>
      <c r="E1127" s="269" t="n"/>
      <c r="F1127" s="269" t="n"/>
      <c r="G1127" s="269" t="n"/>
      <c r="H1127" s="269" t="n"/>
      <c r="I1127" s="269" t="n"/>
      <c r="J1127" s="269" t="n"/>
      <c r="K1127" s="269" t="n"/>
      <c r="L1127" s="269" t="n"/>
      <c r="M1127" s="269" t="n"/>
      <c r="N1127" s="269" t="n"/>
      <c r="O1127" s="269" t="n"/>
      <c r="P1127" s="269" t="n"/>
      <c r="Q1127" s="269" t="n"/>
      <c r="R1127" s="269" t="n"/>
      <c r="S1127" s="269" t="n"/>
      <c r="T1127" s="269" t="n"/>
      <c r="U1127" s="269" t="n"/>
      <c r="V1127" s="269" t="n"/>
      <c r="W1127" s="270" t="n"/>
    </row>
    <row r="1128" customFormat="1" s="163">
      <c r="A1128" s="282" t="n"/>
      <c r="B1128" s="268" t="n"/>
      <c r="C1128" s="269" t="n"/>
      <c r="D1128" s="269" t="n"/>
      <c r="E1128" s="269" t="n"/>
      <c r="F1128" s="269" t="n"/>
      <c r="G1128" s="269" t="n"/>
      <c r="H1128" s="269" t="n"/>
      <c r="I1128" s="269" t="n"/>
      <c r="J1128" s="269" t="n"/>
      <c r="K1128" s="269" t="n"/>
      <c r="L1128" s="269" t="n"/>
      <c r="M1128" s="269" t="n"/>
      <c r="N1128" s="269" t="n"/>
      <c r="O1128" s="269" t="n"/>
      <c r="P1128" s="269" t="n"/>
      <c r="Q1128" s="269" t="n"/>
      <c r="R1128" s="269" t="n"/>
      <c r="S1128" s="269" t="n"/>
      <c r="T1128" s="269" t="n"/>
      <c r="U1128" s="269" t="n"/>
      <c r="V1128" s="269" t="n"/>
      <c r="W1128" s="270" t="n"/>
    </row>
    <row r="1129" customFormat="1" s="163">
      <c r="A1129" s="282" t="n"/>
      <c r="B1129" s="268" t="n"/>
      <c r="C1129" s="269" t="n"/>
      <c r="D1129" s="269" t="n"/>
      <c r="E1129" s="269" t="n"/>
      <c r="F1129" s="269" t="n"/>
      <c r="G1129" s="269" t="n"/>
      <c r="H1129" s="269" t="n"/>
      <c r="I1129" s="269" t="n"/>
      <c r="J1129" s="269" t="n"/>
      <c r="K1129" s="269" t="n"/>
      <c r="L1129" s="269" t="n"/>
      <c r="M1129" s="269" t="n"/>
      <c r="N1129" s="269" t="n"/>
      <c r="O1129" s="269" t="n"/>
      <c r="P1129" s="269" t="n"/>
      <c r="Q1129" s="269" t="n"/>
      <c r="R1129" s="269" t="n"/>
      <c r="S1129" s="269" t="n"/>
      <c r="T1129" s="269" t="n"/>
      <c r="U1129" s="269" t="n"/>
      <c r="V1129" s="269" t="n"/>
      <c r="W1129" s="270" t="n"/>
    </row>
    <row r="1130" customFormat="1" s="163">
      <c r="A1130" s="282" t="n"/>
      <c r="B1130" s="268" t="n"/>
      <c r="C1130" s="269" t="n"/>
      <c r="D1130" s="269" t="n"/>
      <c r="E1130" s="269" t="n"/>
      <c r="F1130" s="269" t="n"/>
      <c r="G1130" s="269" t="n"/>
      <c r="H1130" s="269" t="n"/>
      <c r="I1130" s="269" t="n"/>
      <c r="J1130" s="269" t="n"/>
      <c r="K1130" s="269" t="n"/>
      <c r="L1130" s="269" t="n"/>
      <c r="M1130" s="269" t="n"/>
      <c r="N1130" s="269" t="n"/>
      <c r="O1130" s="269" t="n"/>
      <c r="P1130" s="269" t="n"/>
      <c r="Q1130" s="269" t="n"/>
      <c r="R1130" s="269" t="n"/>
      <c r="S1130" s="269" t="n"/>
      <c r="T1130" s="269" t="n"/>
      <c r="U1130" s="269" t="n"/>
      <c r="V1130" s="269" t="n"/>
      <c r="W1130" s="270" t="n"/>
    </row>
    <row r="1131" customFormat="1" s="163">
      <c r="A1131" s="282" t="n"/>
      <c r="B1131" s="268" t="n"/>
      <c r="C1131" s="269" t="n"/>
      <c r="D1131" s="269" t="n"/>
      <c r="E1131" s="269" t="n"/>
      <c r="F1131" s="269" t="n"/>
      <c r="G1131" s="269" t="n"/>
      <c r="H1131" s="269" t="n"/>
      <c r="I1131" s="269" t="n"/>
      <c r="J1131" s="269" t="n"/>
      <c r="K1131" s="269" t="n"/>
      <c r="L1131" s="269" t="n"/>
      <c r="M1131" s="269" t="n"/>
      <c r="N1131" s="269" t="n"/>
      <c r="O1131" s="269" t="n"/>
      <c r="P1131" s="269" t="n"/>
      <c r="Q1131" s="269" t="n"/>
      <c r="R1131" s="269" t="n"/>
      <c r="S1131" s="269" t="n"/>
      <c r="T1131" s="269" t="n"/>
      <c r="U1131" s="269" t="n"/>
      <c r="V1131" s="269" t="n"/>
      <c r="W1131" s="270" t="n"/>
    </row>
    <row r="1132" customFormat="1" s="163">
      <c r="A1132" s="282" t="n"/>
      <c r="B1132" s="268" t="n"/>
      <c r="C1132" s="269" t="n"/>
      <c r="D1132" s="269" t="n"/>
      <c r="E1132" s="269" t="n"/>
      <c r="F1132" s="269" t="n"/>
      <c r="G1132" s="269" t="n"/>
      <c r="H1132" s="269" t="n"/>
      <c r="I1132" s="269" t="n"/>
      <c r="J1132" s="269" t="n"/>
      <c r="K1132" s="269" t="n"/>
      <c r="L1132" s="269" t="n"/>
      <c r="M1132" s="269" t="n"/>
      <c r="N1132" s="269" t="n"/>
      <c r="O1132" s="269" t="n"/>
      <c r="P1132" s="269" t="n"/>
      <c r="Q1132" s="269" t="n"/>
      <c r="R1132" s="269" t="n"/>
      <c r="S1132" s="269" t="n"/>
      <c r="T1132" s="269" t="n"/>
      <c r="U1132" s="269" t="n"/>
      <c r="V1132" s="269" t="n"/>
      <c r="W1132" s="270" t="n"/>
    </row>
    <row r="1133" customFormat="1" s="163">
      <c r="A1133" s="282" t="n"/>
      <c r="B1133" s="268" t="n"/>
      <c r="C1133" s="269" t="n"/>
      <c r="D1133" s="269" t="n"/>
      <c r="E1133" s="269" t="n"/>
      <c r="F1133" s="269" t="n"/>
      <c r="G1133" s="269" t="n"/>
      <c r="H1133" s="269" t="n"/>
      <c r="I1133" s="269" t="n"/>
      <c r="J1133" s="269" t="n"/>
      <c r="K1133" s="269" t="n"/>
      <c r="L1133" s="269" t="n"/>
      <c r="M1133" s="269" t="n"/>
      <c r="N1133" s="269" t="n"/>
      <c r="O1133" s="269" t="n"/>
      <c r="P1133" s="269" t="n"/>
      <c r="Q1133" s="269" t="n"/>
      <c r="R1133" s="269" t="n"/>
      <c r="S1133" s="269" t="n"/>
      <c r="T1133" s="269" t="n"/>
      <c r="U1133" s="269" t="n"/>
      <c r="V1133" s="269" t="n"/>
      <c r="W1133" s="270" t="n"/>
    </row>
    <row r="1134" customFormat="1" s="163">
      <c r="A1134" s="282" t="n"/>
      <c r="B1134" s="268" t="n"/>
      <c r="C1134" s="269" t="n"/>
      <c r="D1134" s="269" t="n"/>
      <c r="E1134" s="269" t="n"/>
      <c r="F1134" s="269" t="n"/>
      <c r="G1134" s="269" t="n"/>
      <c r="H1134" s="269" t="n"/>
      <c r="I1134" s="269" t="n"/>
      <c r="J1134" s="269" t="n"/>
      <c r="K1134" s="269" t="n"/>
      <c r="L1134" s="269" t="n"/>
      <c r="M1134" s="269" t="n"/>
      <c r="N1134" s="269" t="n"/>
      <c r="O1134" s="269" t="n"/>
      <c r="P1134" s="269" t="n"/>
      <c r="Q1134" s="269" t="n"/>
      <c r="R1134" s="269" t="n"/>
      <c r="S1134" s="269" t="n"/>
      <c r="T1134" s="269" t="n"/>
      <c r="U1134" s="269" t="n"/>
      <c r="V1134" s="269" t="n"/>
      <c r="W1134" s="270" t="n"/>
    </row>
    <row r="1135" customFormat="1" s="163">
      <c r="A1135" s="282" t="n"/>
      <c r="B1135" s="268" t="n"/>
      <c r="C1135" s="269" t="n"/>
      <c r="D1135" s="269" t="n"/>
      <c r="E1135" s="269" t="n"/>
      <c r="F1135" s="269" t="n"/>
      <c r="G1135" s="269" t="n"/>
      <c r="H1135" s="269" t="n"/>
      <c r="I1135" s="269" t="n"/>
      <c r="J1135" s="269" t="n"/>
      <c r="K1135" s="269" t="n"/>
      <c r="L1135" s="269" t="n"/>
      <c r="M1135" s="269" t="n"/>
      <c r="N1135" s="269" t="n"/>
      <c r="O1135" s="269" t="n"/>
      <c r="P1135" s="269" t="n"/>
      <c r="Q1135" s="269" t="n"/>
      <c r="R1135" s="269" t="n"/>
      <c r="S1135" s="269" t="n"/>
      <c r="T1135" s="269" t="n"/>
      <c r="U1135" s="269" t="n"/>
      <c r="V1135" s="269" t="n"/>
      <c r="W1135" s="270" t="n"/>
    </row>
    <row r="1136" customFormat="1" s="163">
      <c r="A1136" s="282" t="n"/>
      <c r="B1136" s="268" t="n"/>
      <c r="C1136" s="269" t="n"/>
      <c r="D1136" s="269" t="n"/>
      <c r="E1136" s="269" t="n"/>
      <c r="F1136" s="269" t="n"/>
      <c r="G1136" s="269" t="n"/>
      <c r="H1136" s="269" t="n"/>
      <c r="I1136" s="269" t="n"/>
      <c r="J1136" s="269" t="n"/>
      <c r="K1136" s="269" t="n"/>
      <c r="L1136" s="269" t="n"/>
      <c r="M1136" s="269" t="n"/>
      <c r="N1136" s="269" t="n"/>
      <c r="O1136" s="269" t="n"/>
      <c r="P1136" s="269" t="n"/>
      <c r="Q1136" s="269" t="n"/>
      <c r="R1136" s="269" t="n"/>
      <c r="S1136" s="269" t="n"/>
      <c r="T1136" s="269" t="n"/>
      <c r="U1136" s="269" t="n"/>
      <c r="V1136" s="269" t="n"/>
      <c r="W1136" s="270" t="n"/>
    </row>
    <row r="1137" customFormat="1" s="163">
      <c r="A1137" s="282" t="n"/>
      <c r="B1137" s="268" t="n"/>
      <c r="C1137" s="269" t="n"/>
      <c r="D1137" s="269" t="n"/>
      <c r="E1137" s="269" t="n"/>
      <c r="F1137" s="269" t="n"/>
      <c r="G1137" s="269" t="n"/>
      <c r="H1137" s="269" t="n"/>
      <c r="I1137" s="269" t="n"/>
      <c r="J1137" s="269" t="n"/>
      <c r="K1137" s="269" t="n"/>
      <c r="L1137" s="269" t="n"/>
      <c r="M1137" s="269" t="n"/>
      <c r="N1137" s="269" t="n"/>
      <c r="O1137" s="269" t="n"/>
      <c r="P1137" s="269" t="n"/>
      <c r="Q1137" s="269" t="n"/>
      <c r="R1137" s="269" t="n"/>
      <c r="S1137" s="269" t="n"/>
      <c r="T1137" s="269" t="n"/>
      <c r="U1137" s="269" t="n"/>
      <c r="V1137" s="269" t="n"/>
      <c r="W1137" s="270" t="n"/>
    </row>
    <row r="1138" customFormat="1" s="163">
      <c r="A1138" s="282" t="n"/>
      <c r="B1138" s="268" t="n"/>
      <c r="C1138" s="269" t="n"/>
      <c r="D1138" s="269" t="n"/>
      <c r="E1138" s="269" t="n"/>
      <c r="F1138" s="269" t="n"/>
      <c r="G1138" s="269" t="n"/>
      <c r="H1138" s="269" t="n"/>
      <c r="I1138" s="269" t="n"/>
      <c r="J1138" s="269" t="n"/>
      <c r="K1138" s="269" t="n"/>
      <c r="L1138" s="269" t="n"/>
      <c r="M1138" s="269" t="n"/>
      <c r="N1138" s="269" t="n"/>
      <c r="O1138" s="269" t="n"/>
      <c r="P1138" s="269" t="n"/>
      <c r="Q1138" s="269" t="n"/>
      <c r="R1138" s="269" t="n"/>
      <c r="S1138" s="269" t="n"/>
      <c r="T1138" s="269" t="n"/>
      <c r="U1138" s="269" t="n"/>
      <c r="V1138" s="269" t="n"/>
      <c r="W1138" s="270" t="n"/>
    </row>
    <row r="1139" customFormat="1" s="163">
      <c r="A1139" s="282" t="n"/>
      <c r="B1139" s="268" t="n"/>
      <c r="C1139" s="269" t="n"/>
      <c r="D1139" s="269" t="n"/>
      <c r="E1139" s="269" t="n"/>
      <c r="F1139" s="269" t="n"/>
      <c r="G1139" s="269" t="n"/>
      <c r="H1139" s="269" t="n"/>
      <c r="I1139" s="269" t="n"/>
      <c r="J1139" s="269" t="n"/>
      <c r="K1139" s="269" t="n"/>
      <c r="L1139" s="269" t="n"/>
      <c r="M1139" s="269" t="n"/>
      <c r="N1139" s="269" t="n"/>
      <c r="O1139" s="269" t="n"/>
      <c r="P1139" s="269" t="n"/>
      <c r="Q1139" s="269" t="n"/>
      <c r="R1139" s="269" t="n"/>
      <c r="S1139" s="269" t="n"/>
      <c r="T1139" s="269" t="n"/>
      <c r="U1139" s="269" t="n"/>
      <c r="V1139" s="269" t="n"/>
      <c r="W1139" s="270" t="n"/>
    </row>
    <row r="1140" customFormat="1" s="163">
      <c r="A1140" s="282" t="n"/>
      <c r="B1140" s="268" t="n"/>
      <c r="C1140" s="269" t="n"/>
      <c r="D1140" s="269" t="n"/>
      <c r="E1140" s="269" t="n"/>
      <c r="F1140" s="269" t="n"/>
      <c r="G1140" s="269" t="n"/>
      <c r="H1140" s="269" t="n"/>
      <c r="I1140" s="269" t="n"/>
      <c r="J1140" s="269" t="n"/>
      <c r="K1140" s="269" t="n"/>
      <c r="L1140" s="269" t="n"/>
      <c r="M1140" s="269" t="n"/>
      <c r="N1140" s="269" t="n"/>
      <c r="O1140" s="269" t="n"/>
      <c r="P1140" s="269" t="n"/>
      <c r="Q1140" s="269" t="n"/>
      <c r="R1140" s="269" t="n"/>
      <c r="S1140" s="269" t="n"/>
      <c r="T1140" s="269" t="n"/>
      <c r="U1140" s="269" t="n"/>
      <c r="V1140" s="269" t="n"/>
      <c r="W1140" s="270" t="n"/>
    </row>
    <row r="1141" customFormat="1" s="163">
      <c r="A1141" s="282" t="n"/>
      <c r="B1141" s="268" t="n"/>
      <c r="C1141" s="269" t="n"/>
      <c r="D1141" s="269" t="n"/>
      <c r="E1141" s="269" t="n"/>
      <c r="F1141" s="269" t="n"/>
      <c r="G1141" s="269" t="n"/>
      <c r="H1141" s="269" t="n"/>
      <c r="I1141" s="269" t="n"/>
      <c r="J1141" s="269" t="n"/>
      <c r="K1141" s="269" t="n"/>
      <c r="L1141" s="269" t="n"/>
      <c r="M1141" s="269" t="n"/>
      <c r="N1141" s="269" t="n"/>
      <c r="O1141" s="269" t="n"/>
      <c r="P1141" s="269" t="n"/>
      <c r="Q1141" s="269" t="n"/>
      <c r="R1141" s="269" t="n"/>
      <c r="S1141" s="269" t="n"/>
      <c r="T1141" s="269" t="n"/>
      <c r="U1141" s="269" t="n"/>
      <c r="V1141" s="269" t="n"/>
      <c r="W1141" s="270" t="n"/>
    </row>
    <row r="1142" customFormat="1" s="163">
      <c r="A1142" s="282" t="n"/>
      <c r="B1142" s="268" t="n"/>
      <c r="C1142" s="269" t="n"/>
      <c r="D1142" s="269" t="n"/>
      <c r="E1142" s="269" t="n"/>
      <c r="F1142" s="269" t="n"/>
      <c r="G1142" s="269" t="n"/>
      <c r="H1142" s="269" t="n"/>
      <c r="I1142" s="269" t="n"/>
      <c r="J1142" s="269" t="n"/>
      <c r="K1142" s="269" t="n"/>
      <c r="L1142" s="269" t="n"/>
      <c r="M1142" s="269" t="n"/>
      <c r="N1142" s="269" t="n"/>
      <c r="O1142" s="269" t="n"/>
      <c r="P1142" s="269" t="n"/>
      <c r="Q1142" s="269" t="n"/>
      <c r="R1142" s="269" t="n"/>
      <c r="S1142" s="269" t="n"/>
      <c r="T1142" s="269" t="n"/>
      <c r="U1142" s="269" t="n"/>
      <c r="V1142" s="269" t="n"/>
      <c r="W1142" s="270" t="n"/>
    </row>
    <row r="1143" customFormat="1" s="163">
      <c r="A1143" s="282" t="n"/>
      <c r="B1143" s="268" t="n"/>
      <c r="C1143" s="269" t="n"/>
      <c r="D1143" s="269" t="n"/>
      <c r="E1143" s="269" t="n"/>
      <c r="F1143" s="269" t="n"/>
      <c r="G1143" s="269" t="n"/>
      <c r="H1143" s="269" t="n"/>
      <c r="I1143" s="269" t="n"/>
      <c r="J1143" s="269" t="n"/>
      <c r="K1143" s="269" t="n"/>
      <c r="L1143" s="269" t="n"/>
      <c r="M1143" s="269" t="n"/>
      <c r="N1143" s="269" t="n"/>
      <c r="O1143" s="269" t="n"/>
      <c r="P1143" s="269" t="n"/>
      <c r="Q1143" s="269" t="n"/>
      <c r="R1143" s="269" t="n"/>
      <c r="S1143" s="269" t="n"/>
      <c r="T1143" s="269" t="n"/>
      <c r="U1143" s="269" t="n"/>
      <c r="V1143" s="269" t="n"/>
      <c r="W1143" s="270" t="n"/>
    </row>
    <row r="1144" customFormat="1" s="163">
      <c r="A1144" s="282" t="n"/>
      <c r="B1144" s="268" t="n"/>
      <c r="C1144" s="269" t="n"/>
      <c r="D1144" s="269" t="n"/>
      <c r="E1144" s="269" t="n"/>
      <c r="F1144" s="269" t="n"/>
      <c r="G1144" s="269" t="n"/>
      <c r="H1144" s="269" t="n"/>
      <c r="I1144" s="269" t="n"/>
      <c r="J1144" s="269" t="n"/>
      <c r="K1144" s="269" t="n"/>
      <c r="L1144" s="269" t="n"/>
      <c r="M1144" s="269" t="n"/>
      <c r="N1144" s="269" t="n"/>
      <c r="O1144" s="269" t="n"/>
      <c r="P1144" s="269" t="n"/>
      <c r="Q1144" s="269" t="n"/>
      <c r="R1144" s="269" t="n"/>
      <c r="S1144" s="269" t="n"/>
      <c r="T1144" s="269" t="n"/>
      <c r="U1144" s="269" t="n"/>
      <c r="V1144" s="269" t="n"/>
      <c r="W1144" s="270" t="n"/>
    </row>
    <row r="1145" customFormat="1" s="163">
      <c r="A1145" s="282" t="n"/>
      <c r="B1145" s="268" t="n"/>
      <c r="C1145" s="269" t="n"/>
      <c r="D1145" s="269" t="n"/>
      <c r="E1145" s="269" t="n"/>
      <c r="F1145" s="269" t="n"/>
      <c r="G1145" s="269" t="n"/>
      <c r="H1145" s="269" t="n"/>
      <c r="I1145" s="269" t="n"/>
      <c r="J1145" s="269" t="n"/>
      <c r="K1145" s="269" t="n"/>
      <c r="L1145" s="269" t="n"/>
      <c r="M1145" s="269" t="n"/>
      <c r="N1145" s="269" t="n"/>
      <c r="O1145" s="269" t="n"/>
      <c r="P1145" s="269" t="n"/>
      <c r="Q1145" s="269" t="n"/>
      <c r="R1145" s="269" t="n"/>
      <c r="S1145" s="269" t="n"/>
      <c r="T1145" s="269" t="n"/>
      <c r="U1145" s="269" t="n"/>
      <c r="V1145" s="269" t="n"/>
      <c r="W1145" s="270" t="n"/>
    </row>
    <row r="1146" customFormat="1" s="163">
      <c r="A1146" s="282" t="n"/>
      <c r="B1146" s="268" t="n"/>
      <c r="C1146" s="269" t="n"/>
      <c r="D1146" s="269" t="n"/>
      <c r="E1146" s="269" t="n"/>
      <c r="F1146" s="269" t="n"/>
      <c r="G1146" s="269" t="n"/>
      <c r="H1146" s="269" t="n"/>
      <c r="I1146" s="269" t="n"/>
      <c r="J1146" s="269" t="n"/>
      <c r="K1146" s="269" t="n"/>
      <c r="L1146" s="269" t="n"/>
      <c r="M1146" s="269" t="n"/>
      <c r="N1146" s="269" t="n"/>
      <c r="O1146" s="269" t="n"/>
      <c r="P1146" s="269" t="n"/>
      <c r="Q1146" s="269" t="n"/>
      <c r="R1146" s="269" t="n"/>
      <c r="S1146" s="269" t="n"/>
      <c r="T1146" s="269" t="n"/>
      <c r="U1146" s="269" t="n"/>
      <c r="V1146" s="269" t="n"/>
      <c r="W1146" s="270" t="n"/>
    </row>
    <row r="1147" customFormat="1" s="163">
      <c r="A1147" s="282" t="n"/>
      <c r="B1147" s="268" t="n"/>
      <c r="C1147" s="269" t="n"/>
      <c r="D1147" s="269" t="n"/>
      <c r="E1147" s="269" t="n"/>
      <c r="F1147" s="269" t="n"/>
      <c r="G1147" s="269" t="n"/>
      <c r="H1147" s="269" t="n"/>
      <c r="I1147" s="269" t="n"/>
      <c r="J1147" s="269" t="n"/>
      <c r="K1147" s="269" t="n"/>
      <c r="L1147" s="269" t="n"/>
      <c r="M1147" s="269" t="n"/>
      <c r="N1147" s="269" t="n"/>
      <c r="O1147" s="269" t="n"/>
      <c r="P1147" s="269" t="n"/>
      <c r="Q1147" s="269" t="n"/>
      <c r="R1147" s="269" t="n"/>
      <c r="S1147" s="269" t="n"/>
      <c r="T1147" s="269" t="n"/>
      <c r="U1147" s="269" t="n"/>
      <c r="V1147" s="269" t="n"/>
      <c r="W1147" s="270" t="n"/>
    </row>
    <row r="1148" customFormat="1" s="163">
      <c r="A1148" s="282" t="n"/>
      <c r="B1148" s="268" t="n"/>
      <c r="C1148" s="269" t="n"/>
      <c r="D1148" s="269" t="n"/>
      <c r="E1148" s="269" t="n"/>
      <c r="F1148" s="269" t="n"/>
      <c r="G1148" s="269" t="n"/>
      <c r="H1148" s="269" t="n"/>
      <c r="I1148" s="269" t="n"/>
      <c r="J1148" s="269" t="n"/>
      <c r="K1148" s="269" t="n"/>
      <c r="L1148" s="269" t="n"/>
      <c r="M1148" s="269" t="n"/>
      <c r="N1148" s="269" t="n"/>
      <c r="O1148" s="269" t="n"/>
      <c r="P1148" s="269" t="n"/>
      <c r="Q1148" s="269" t="n"/>
      <c r="R1148" s="269" t="n"/>
      <c r="S1148" s="269" t="n"/>
      <c r="T1148" s="269" t="n"/>
      <c r="U1148" s="269" t="n"/>
      <c r="V1148" s="269" t="n"/>
      <c r="W1148" s="270" t="n"/>
    </row>
    <row r="1149" customFormat="1" s="163">
      <c r="A1149" s="282" t="n"/>
      <c r="B1149" s="268" t="n"/>
      <c r="C1149" s="269" t="n"/>
      <c r="D1149" s="269" t="n"/>
      <c r="E1149" s="269" t="n"/>
      <c r="F1149" s="269" t="n"/>
      <c r="G1149" s="269" t="n"/>
      <c r="H1149" s="269" t="n"/>
      <c r="I1149" s="269" t="n"/>
      <c r="J1149" s="269" t="n"/>
      <c r="K1149" s="269" t="n"/>
      <c r="L1149" s="269" t="n"/>
      <c r="M1149" s="269" t="n"/>
      <c r="N1149" s="269" t="n"/>
      <c r="O1149" s="269" t="n"/>
      <c r="P1149" s="269" t="n"/>
      <c r="Q1149" s="269" t="n"/>
      <c r="R1149" s="269" t="n"/>
      <c r="S1149" s="269" t="n"/>
      <c r="T1149" s="269" t="n"/>
      <c r="U1149" s="269" t="n"/>
      <c r="V1149" s="269" t="n"/>
      <c r="W1149" s="270" t="n"/>
    </row>
    <row r="1150" customFormat="1" s="163">
      <c r="A1150" s="282" t="n"/>
      <c r="B1150" s="268" t="n"/>
      <c r="C1150" s="269" t="n"/>
      <c r="D1150" s="269" t="n"/>
      <c r="E1150" s="269" t="n"/>
      <c r="F1150" s="269" t="n"/>
      <c r="G1150" s="269" t="n"/>
      <c r="H1150" s="269" t="n"/>
      <c r="I1150" s="269" t="n"/>
      <c r="J1150" s="269" t="n"/>
      <c r="K1150" s="269" t="n"/>
      <c r="L1150" s="269" t="n"/>
      <c r="M1150" s="269" t="n"/>
      <c r="N1150" s="269" t="n"/>
      <c r="O1150" s="269" t="n"/>
      <c r="P1150" s="269" t="n"/>
      <c r="Q1150" s="269" t="n"/>
      <c r="R1150" s="269" t="n"/>
      <c r="S1150" s="269" t="n"/>
      <c r="T1150" s="269" t="n"/>
      <c r="U1150" s="269" t="n"/>
      <c r="V1150" s="269" t="n"/>
      <c r="W1150" s="270" t="n"/>
    </row>
    <row r="1151" customFormat="1" s="163">
      <c r="A1151" s="282" t="n"/>
      <c r="B1151" s="268" t="n"/>
      <c r="C1151" s="269" t="n"/>
      <c r="D1151" s="269" t="n"/>
      <c r="E1151" s="269" t="n"/>
      <c r="F1151" s="269" t="n"/>
      <c r="G1151" s="269" t="n"/>
      <c r="H1151" s="269" t="n"/>
      <c r="I1151" s="269" t="n"/>
      <c r="J1151" s="269" t="n"/>
      <c r="K1151" s="269" t="n"/>
      <c r="L1151" s="269" t="n"/>
      <c r="M1151" s="269" t="n"/>
      <c r="N1151" s="269" t="n"/>
      <c r="O1151" s="269" t="n"/>
      <c r="P1151" s="269" t="n"/>
      <c r="Q1151" s="269" t="n"/>
      <c r="R1151" s="269" t="n"/>
      <c r="S1151" s="269" t="n"/>
      <c r="T1151" s="269" t="n"/>
      <c r="U1151" s="269" t="n"/>
      <c r="V1151" s="269" t="n"/>
      <c r="W1151" s="270" t="n"/>
    </row>
    <row r="1152" customFormat="1" s="163">
      <c r="A1152" s="282" t="n"/>
      <c r="B1152" s="268" t="n"/>
      <c r="C1152" s="269" t="n"/>
      <c r="D1152" s="269" t="n"/>
      <c r="E1152" s="269" t="n"/>
      <c r="F1152" s="269" t="n"/>
      <c r="G1152" s="269" t="n"/>
      <c r="H1152" s="269" t="n"/>
      <c r="I1152" s="269" t="n"/>
      <c r="J1152" s="269" t="n"/>
      <c r="K1152" s="269" t="n"/>
      <c r="L1152" s="269" t="n"/>
      <c r="M1152" s="269" t="n"/>
      <c r="N1152" s="269" t="n"/>
      <c r="O1152" s="269" t="n"/>
      <c r="P1152" s="269" t="n"/>
      <c r="Q1152" s="269" t="n"/>
      <c r="R1152" s="269" t="n"/>
      <c r="S1152" s="269" t="n"/>
      <c r="T1152" s="269" t="n"/>
      <c r="U1152" s="269" t="n"/>
      <c r="V1152" s="269" t="n"/>
      <c r="W1152" s="270" t="n"/>
    </row>
    <row r="1153" customFormat="1" s="163">
      <c r="A1153" s="282" t="n"/>
      <c r="B1153" s="268" t="n"/>
      <c r="C1153" s="269" t="n"/>
      <c r="D1153" s="269" t="n"/>
      <c r="E1153" s="269" t="n"/>
      <c r="F1153" s="269" t="n"/>
      <c r="G1153" s="269" t="n"/>
      <c r="H1153" s="269" t="n"/>
      <c r="I1153" s="269" t="n"/>
      <c r="J1153" s="269" t="n"/>
      <c r="K1153" s="269" t="n"/>
      <c r="L1153" s="269" t="n"/>
      <c r="M1153" s="269" t="n"/>
      <c r="N1153" s="269" t="n"/>
      <c r="O1153" s="269" t="n"/>
      <c r="P1153" s="269" t="n"/>
      <c r="Q1153" s="269" t="n"/>
      <c r="R1153" s="269" t="n"/>
      <c r="S1153" s="269" t="n"/>
      <c r="T1153" s="269" t="n"/>
      <c r="U1153" s="269" t="n"/>
      <c r="V1153" s="269" t="n"/>
      <c r="W1153" s="270" t="n"/>
    </row>
    <row r="1154" customFormat="1" s="163">
      <c r="A1154" s="282" t="n"/>
      <c r="B1154" s="268" t="n"/>
      <c r="C1154" s="269" t="n"/>
      <c r="D1154" s="269" t="n"/>
      <c r="E1154" s="269" t="n"/>
      <c r="F1154" s="269" t="n"/>
      <c r="G1154" s="269" t="n"/>
      <c r="H1154" s="269" t="n"/>
      <c r="I1154" s="269" t="n"/>
      <c r="J1154" s="269" t="n"/>
      <c r="K1154" s="269" t="n"/>
      <c r="L1154" s="269" t="n"/>
      <c r="M1154" s="269" t="n"/>
      <c r="N1154" s="269" t="n"/>
      <c r="O1154" s="269" t="n"/>
      <c r="P1154" s="269" t="n"/>
      <c r="Q1154" s="269" t="n"/>
      <c r="R1154" s="269" t="n"/>
      <c r="S1154" s="269" t="n"/>
      <c r="T1154" s="269" t="n"/>
      <c r="U1154" s="269" t="n"/>
      <c r="V1154" s="269" t="n"/>
      <c r="W1154" s="270" t="n"/>
    </row>
    <row r="1155" customFormat="1" s="163">
      <c r="A1155" s="282" t="n"/>
      <c r="B1155" s="268" t="n"/>
      <c r="C1155" s="269" t="n"/>
      <c r="D1155" s="269" t="n"/>
      <c r="E1155" s="269" t="n"/>
      <c r="F1155" s="269" t="n"/>
      <c r="G1155" s="269" t="n"/>
      <c r="H1155" s="269" t="n"/>
      <c r="I1155" s="269" t="n"/>
      <c r="J1155" s="269" t="n"/>
      <c r="K1155" s="269" t="n"/>
      <c r="L1155" s="269" t="n"/>
      <c r="M1155" s="269" t="n"/>
      <c r="N1155" s="269" t="n"/>
      <c r="O1155" s="269" t="n"/>
      <c r="P1155" s="269" t="n"/>
      <c r="Q1155" s="269" t="n"/>
      <c r="R1155" s="269" t="n"/>
      <c r="S1155" s="269" t="n"/>
      <c r="T1155" s="269" t="n"/>
      <c r="U1155" s="269" t="n"/>
      <c r="V1155" s="269" t="n"/>
      <c r="W1155" s="270" t="n"/>
    </row>
    <row r="1156" customFormat="1" s="163">
      <c r="A1156" s="282" t="n"/>
      <c r="B1156" s="268" t="n"/>
      <c r="C1156" s="269" t="n"/>
      <c r="D1156" s="269" t="n"/>
      <c r="E1156" s="269" t="n"/>
      <c r="F1156" s="269" t="n"/>
      <c r="G1156" s="269" t="n"/>
      <c r="H1156" s="269" t="n"/>
      <c r="I1156" s="269" t="n"/>
      <c r="J1156" s="269" t="n"/>
      <c r="K1156" s="269" t="n"/>
      <c r="L1156" s="269" t="n"/>
      <c r="M1156" s="269" t="n"/>
      <c r="N1156" s="269" t="n"/>
      <c r="O1156" s="269" t="n"/>
      <c r="P1156" s="269" t="n"/>
      <c r="Q1156" s="269" t="n"/>
      <c r="R1156" s="269" t="n"/>
      <c r="S1156" s="269" t="n"/>
      <c r="T1156" s="269" t="n"/>
      <c r="U1156" s="269" t="n"/>
      <c r="V1156" s="269" t="n"/>
      <c r="W1156" s="270" t="n"/>
    </row>
    <row r="1157" customFormat="1" s="163">
      <c r="A1157" s="282" t="n"/>
      <c r="B1157" s="268" t="n"/>
      <c r="C1157" s="269" t="n"/>
      <c r="D1157" s="269" t="n"/>
      <c r="E1157" s="269" t="n"/>
      <c r="F1157" s="269" t="n"/>
      <c r="G1157" s="269" t="n"/>
      <c r="H1157" s="269" t="n"/>
      <c r="I1157" s="269" t="n"/>
      <c r="J1157" s="269" t="n"/>
      <c r="K1157" s="269" t="n"/>
      <c r="L1157" s="269" t="n"/>
      <c r="M1157" s="269" t="n"/>
      <c r="N1157" s="269" t="n"/>
      <c r="O1157" s="269" t="n"/>
      <c r="P1157" s="269" t="n"/>
      <c r="Q1157" s="269" t="n"/>
      <c r="R1157" s="269" t="n"/>
      <c r="S1157" s="269" t="n"/>
      <c r="T1157" s="269" t="n"/>
      <c r="U1157" s="269" t="n"/>
      <c r="V1157" s="269" t="n"/>
      <c r="W1157" s="270" t="n"/>
    </row>
    <row r="1158" customFormat="1" s="163">
      <c r="A1158" s="282" t="n"/>
      <c r="B1158" s="268" t="n"/>
      <c r="C1158" s="269" t="n"/>
      <c r="D1158" s="269" t="n"/>
      <c r="E1158" s="269" t="n"/>
      <c r="F1158" s="269" t="n"/>
      <c r="G1158" s="269" t="n"/>
      <c r="H1158" s="269" t="n"/>
      <c r="I1158" s="269" t="n"/>
      <c r="J1158" s="269" t="n"/>
      <c r="K1158" s="269" t="n"/>
      <c r="L1158" s="269" t="n"/>
      <c r="M1158" s="269" t="n"/>
      <c r="N1158" s="269" t="n"/>
      <c r="O1158" s="269" t="n"/>
      <c r="P1158" s="269" t="n"/>
      <c r="Q1158" s="269" t="n"/>
      <c r="R1158" s="269" t="n"/>
      <c r="S1158" s="269" t="n"/>
      <c r="T1158" s="269" t="n"/>
      <c r="U1158" s="269" t="n"/>
      <c r="V1158" s="269" t="n"/>
      <c r="W1158" s="270" t="n"/>
    </row>
    <row r="1159" customFormat="1" s="163">
      <c r="A1159" s="282" t="n"/>
      <c r="B1159" s="268" t="n"/>
      <c r="C1159" s="269" t="n"/>
      <c r="D1159" s="269" t="n"/>
      <c r="E1159" s="269" t="n"/>
      <c r="F1159" s="269" t="n"/>
      <c r="G1159" s="269" t="n"/>
      <c r="H1159" s="269" t="n"/>
      <c r="I1159" s="269" t="n"/>
      <c r="J1159" s="269" t="n"/>
      <c r="K1159" s="269" t="n"/>
      <c r="L1159" s="269" t="n"/>
      <c r="M1159" s="269" t="n"/>
      <c r="N1159" s="269" t="n"/>
      <c r="O1159" s="269" t="n"/>
      <c r="P1159" s="269" t="n"/>
      <c r="Q1159" s="269" t="n"/>
      <c r="R1159" s="269" t="n"/>
      <c r="S1159" s="269" t="n"/>
      <c r="T1159" s="269" t="n"/>
      <c r="U1159" s="269" t="n"/>
      <c r="V1159" s="269" t="n"/>
      <c r="W1159" s="270" t="n"/>
    </row>
    <row r="1160" customFormat="1" s="163">
      <c r="A1160" s="282" t="n"/>
      <c r="B1160" s="268" t="n"/>
      <c r="C1160" s="269" t="n"/>
      <c r="D1160" s="269" t="n"/>
      <c r="E1160" s="269" t="n"/>
      <c r="F1160" s="269" t="n"/>
      <c r="G1160" s="269" t="n"/>
      <c r="H1160" s="269" t="n"/>
      <c r="I1160" s="269" t="n"/>
      <c r="J1160" s="269" t="n"/>
      <c r="K1160" s="269" t="n"/>
      <c r="L1160" s="269" t="n"/>
      <c r="M1160" s="269" t="n"/>
      <c r="N1160" s="269" t="n"/>
      <c r="O1160" s="269" t="n"/>
      <c r="P1160" s="269" t="n"/>
      <c r="Q1160" s="269" t="n"/>
      <c r="R1160" s="269" t="n"/>
      <c r="S1160" s="269" t="n"/>
      <c r="T1160" s="269" t="n"/>
      <c r="U1160" s="269" t="n"/>
      <c r="V1160" s="269" t="n"/>
      <c r="W1160" s="270" t="n"/>
    </row>
    <row r="1161" customFormat="1" s="163">
      <c r="A1161" s="282" t="n"/>
      <c r="B1161" s="268" t="n"/>
      <c r="C1161" s="269" t="n"/>
      <c r="D1161" s="269" t="n"/>
      <c r="E1161" s="269" t="n"/>
      <c r="F1161" s="269" t="n"/>
      <c r="G1161" s="269" t="n"/>
      <c r="H1161" s="269" t="n"/>
      <c r="I1161" s="269" t="n"/>
      <c r="J1161" s="269" t="n"/>
      <c r="K1161" s="269" t="n"/>
      <c r="L1161" s="269" t="n"/>
      <c r="M1161" s="269" t="n"/>
      <c r="N1161" s="269" t="n"/>
      <c r="O1161" s="269" t="n"/>
      <c r="P1161" s="269" t="n"/>
      <c r="Q1161" s="269" t="n"/>
      <c r="R1161" s="269" t="n"/>
      <c r="S1161" s="269" t="n"/>
      <c r="T1161" s="269" t="n"/>
      <c r="U1161" s="269" t="n"/>
      <c r="V1161" s="269" t="n"/>
      <c r="W1161" s="270" t="n"/>
    </row>
    <row r="1162" customFormat="1" s="163">
      <c r="A1162" s="282" t="n"/>
      <c r="B1162" s="268" t="n"/>
      <c r="C1162" s="269" t="n"/>
      <c r="D1162" s="269" t="n"/>
      <c r="E1162" s="269" t="n"/>
      <c r="F1162" s="269" t="n"/>
      <c r="G1162" s="269" t="n"/>
      <c r="H1162" s="269" t="n"/>
      <c r="I1162" s="269" t="n"/>
      <c r="J1162" s="269" t="n"/>
      <c r="K1162" s="269" t="n"/>
      <c r="L1162" s="269" t="n"/>
      <c r="M1162" s="269" t="n"/>
      <c r="N1162" s="269" t="n"/>
      <c r="O1162" s="269" t="n"/>
      <c r="P1162" s="269" t="n"/>
      <c r="Q1162" s="269" t="n"/>
      <c r="R1162" s="269" t="n"/>
      <c r="S1162" s="269" t="n"/>
      <c r="T1162" s="269" t="n"/>
      <c r="U1162" s="269" t="n"/>
      <c r="V1162" s="269" t="n"/>
      <c r="W1162" s="270" t="n"/>
    </row>
    <row r="1163" customFormat="1" s="163">
      <c r="A1163" s="282" t="n"/>
      <c r="B1163" s="268" t="n"/>
      <c r="C1163" s="269" t="n"/>
      <c r="D1163" s="269" t="n"/>
      <c r="E1163" s="269" t="n"/>
      <c r="F1163" s="269" t="n"/>
      <c r="G1163" s="269" t="n"/>
      <c r="H1163" s="269" t="n"/>
      <c r="I1163" s="269" t="n"/>
      <c r="J1163" s="269" t="n"/>
      <c r="K1163" s="269" t="n"/>
      <c r="L1163" s="269" t="n"/>
      <c r="M1163" s="269" t="n"/>
      <c r="N1163" s="269" t="n"/>
      <c r="O1163" s="269" t="n"/>
      <c r="P1163" s="269" t="n"/>
      <c r="Q1163" s="269" t="n"/>
      <c r="R1163" s="269" t="n"/>
      <c r="S1163" s="269" t="n"/>
      <c r="T1163" s="269" t="n"/>
      <c r="U1163" s="269" t="n"/>
      <c r="V1163" s="269" t="n"/>
      <c r="W1163" s="270" t="n"/>
    </row>
    <row r="1164" customFormat="1" s="163">
      <c r="A1164" s="282" t="n"/>
      <c r="B1164" s="268" t="n"/>
      <c r="C1164" s="269" t="n"/>
      <c r="D1164" s="269" t="n"/>
      <c r="E1164" s="269" t="n"/>
      <c r="F1164" s="269" t="n"/>
      <c r="G1164" s="269" t="n"/>
      <c r="H1164" s="269" t="n"/>
      <c r="I1164" s="269" t="n"/>
      <c r="J1164" s="269" t="n"/>
      <c r="K1164" s="269" t="n"/>
      <c r="L1164" s="269" t="n"/>
      <c r="M1164" s="269" t="n"/>
      <c r="N1164" s="269" t="n"/>
      <c r="O1164" s="269" t="n"/>
      <c r="P1164" s="269" t="n"/>
      <c r="Q1164" s="269" t="n"/>
      <c r="R1164" s="269" t="n"/>
      <c r="S1164" s="269" t="n"/>
      <c r="T1164" s="269" t="n"/>
      <c r="U1164" s="269" t="n"/>
      <c r="V1164" s="269" t="n"/>
      <c r="W1164" s="270" t="n"/>
    </row>
    <row r="1165" customFormat="1" s="163">
      <c r="A1165" s="282" t="n"/>
      <c r="B1165" s="268" t="n"/>
      <c r="C1165" s="269" t="n"/>
      <c r="D1165" s="269" t="n"/>
      <c r="E1165" s="269" t="n"/>
      <c r="F1165" s="269" t="n"/>
      <c r="G1165" s="269" t="n"/>
      <c r="H1165" s="269" t="n"/>
      <c r="I1165" s="269" t="n"/>
      <c r="J1165" s="269" t="n"/>
      <c r="K1165" s="269" t="n"/>
      <c r="L1165" s="269" t="n"/>
      <c r="M1165" s="269" t="n"/>
      <c r="N1165" s="269" t="n"/>
      <c r="O1165" s="269" t="n"/>
      <c r="P1165" s="269" t="n"/>
      <c r="Q1165" s="269" t="n"/>
      <c r="R1165" s="269" t="n"/>
      <c r="S1165" s="269" t="n"/>
      <c r="T1165" s="269" t="n"/>
      <c r="U1165" s="269" t="n"/>
      <c r="V1165" s="269" t="n"/>
      <c r="W1165" s="270" t="n"/>
    </row>
    <row r="1166" customFormat="1" s="163">
      <c r="A1166" s="282" t="n"/>
      <c r="B1166" s="268" t="n"/>
      <c r="C1166" s="269" t="n"/>
      <c r="D1166" s="269" t="n"/>
      <c r="E1166" s="269" t="n"/>
      <c r="F1166" s="269" t="n"/>
      <c r="G1166" s="269" t="n"/>
      <c r="H1166" s="269" t="n"/>
      <c r="I1166" s="269" t="n"/>
      <c r="J1166" s="269" t="n"/>
      <c r="K1166" s="269" t="n"/>
      <c r="L1166" s="269" t="n"/>
      <c r="M1166" s="269" t="n"/>
      <c r="N1166" s="269" t="n"/>
      <c r="O1166" s="269" t="n"/>
      <c r="P1166" s="269" t="n"/>
      <c r="Q1166" s="269" t="n"/>
      <c r="R1166" s="269" t="n"/>
      <c r="S1166" s="269" t="n"/>
      <c r="T1166" s="269" t="n"/>
      <c r="U1166" s="269" t="n"/>
      <c r="V1166" s="269" t="n"/>
      <c r="W1166" s="270" t="n"/>
    </row>
    <row r="1167" customFormat="1" s="163">
      <c r="A1167" s="282" t="n"/>
      <c r="B1167" s="268" t="n"/>
      <c r="C1167" s="269" t="n"/>
      <c r="D1167" s="269" t="n"/>
      <c r="E1167" s="269" t="n"/>
      <c r="F1167" s="269" t="n"/>
      <c r="G1167" s="269" t="n"/>
      <c r="H1167" s="269" t="n"/>
      <c r="I1167" s="269" t="n"/>
      <c r="J1167" s="269" t="n"/>
      <c r="K1167" s="269" t="n"/>
      <c r="L1167" s="269" t="n"/>
      <c r="M1167" s="269" t="n"/>
      <c r="N1167" s="269" t="n"/>
      <c r="O1167" s="269" t="n"/>
      <c r="P1167" s="269" t="n"/>
      <c r="Q1167" s="269" t="n"/>
      <c r="R1167" s="269" t="n"/>
      <c r="S1167" s="269" t="n"/>
      <c r="T1167" s="269" t="n"/>
      <c r="U1167" s="269" t="n"/>
      <c r="V1167" s="269" t="n"/>
      <c r="W1167" s="270" t="n"/>
    </row>
    <row r="1168" customFormat="1" s="163">
      <c r="A1168" s="282" t="n"/>
      <c r="B1168" s="268" t="n"/>
      <c r="C1168" s="269" t="n"/>
      <c r="D1168" s="269" t="n"/>
      <c r="E1168" s="269" t="n"/>
      <c r="F1168" s="269" t="n"/>
      <c r="G1168" s="269" t="n"/>
      <c r="H1168" s="269" t="n"/>
      <c r="I1168" s="269" t="n"/>
      <c r="J1168" s="269" t="n"/>
      <c r="K1168" s="269" t="n"/>
      <c r="L1168" s="269" t="n"/>
      <c r="M1168" s="269" t="n"/>
      <c r="N1168" s="269" t="n"/>
      <c r="O1168" s="269" t="n"/>
      <c r="P1168" s="269" t="n"/>
      <c r="Q1168" s="269" t="n"/>
      <c r="R1168" s="269" t="n"/>
      <c r="S1168" s="269" t="n"/>
      <c r="T1168" s="269" t="n"/>
      <c r="U1168" s="269" t="n"/>
      <c r="V1168" s="269" t="n"/>
      <c r="W1168" s="270" t="n"/>
    </row>
    <row r="1169" customFormat="1" s="163">
      <c r="A1169" s="282" t="n"/>
      <c r="B1169" s="268" t="n"/>
      <c r="C1169" s="269" t="n"/>
      <c r="D1169" s="269" t="n"/>
      <c r="E1169" s="269" t="n"/>
      <c r="F1169" s="269" t="n"/>
      <c r="G1169" s="269" t="n"/>
      <c r="H1169" s="269" t="n"/>
      <c r="I1169" s="269" t="n"/>
      <c r="J1169" s="269" t="n"/>
      <c r="K1169" s="269" t="n"/>
      <c r="L1169" s="269" t="n"/>
      <c r="M1169" s="269" t="n"/>
      <c r="N1169" s="269" t="n"/>
      <c r="O1169" s="269" t="n"/>
      <c r="P1169" s="269" t="n"/>
      <c r="Q1169" s="269" t="n"/>
      <c r="R1169" s="269" t="n"/>
      <c r="S1169" s="269" t="n"/>
      <c r="T1169" s="269" t="n"/>
      <c r="U1169" s="269" t="n"/>
      <c r="V1169" s="269" t="n"/>
      <c r="W1169" s="270" t="n"/>
    </row>
    <row r="1170" customFormat="1" s="163">
      <c r="A1170" s="282" t="n"/>
      <c r="B1170" s="268" t="n"/>
      <c r="C1170" s="269" t="n"/>
      <c r="D1170" s="269" t="n"/>
      <c r="E1170" s="269" t="n"/>
      <c r="F1170" s="269" t="n"/>
      <c r="G1170" s="269" t="n"/>
      <c r="H1170" s="269" t="n"/>
      <c r="I1170" s="269" t="n"/>
      <c r="J1170" s="269" t="n"/>
      <c r="K1170" s="269" t="n"/>
      <c r="L1170" s="269" t="n"/>
      <c r="M1170" s="269" t="n"/>
      <c r="N1170" s="269" t="n"/>
      <c r="O1170" s="269" t="n"/>
      <c r="P1170" s="269" t="n"/>
      <c r="Q1170" s="269" t="n"/>
      <c r="R1170" s="269" t="n"/>
      <c r="S1170" s="269" t="n"/>
      <c r="T1170" s="269" t="n"/>
      <c r="U1170" s="269" t="n"/>
      <c r="V1170" s="269" t="n"/>
      <c r="W1170" s="270" t="n"/>
    </row>
    <row r="1171" customFormat="1" s="163">
      <c r="A1171" s="282" t="n"/>
      <c r="B1171" s="268" t="n"/>
      <c r="C1171" s="269" t="n"/>
      <c r="D1171" s="269" t="n"/>
      <c r="E1171" s="269" t="n"/>
      <c r="F1171" s="269" t="n"/>
      <c r="G1171" s="269" t="n"/>
      <c r="H1171" s="269" t="n"/>
      <c r="I1171" s="269" t="n"/>
      <c r="J1171" s="269" t="n"/>
      <c r="K1171" s="269" t="n"/>
      <c r="L1171" s="269" t="n"/>
      <c r="M1171" s="269" t="n"/>
      <c r="N1171" s="269" t="n"/>
      <c r="O1171" s="269" t="n"/>
      <c r="P1171" s="269" t="n"/>
      <c r="Q1171" s="269" t="n"/>
      <c r="R1171" s="269" t="n"/>
      <c r="S1171" s="269" t="n"/>
      <c r="T1171" s="269" t="n"/>
      <c r="U1171" s="269" t="n"/>
      <c r="V1171" s="269" t="n"/>
      <c r="W1171" s="270" t="n"/>
    </row>
    <row r="1172" customFormat="1" s="163">
      <c r="A1172" s="282" t="n"/>
      <c r="B1172" s="268" t="n"/>
      <c r="C1172" s="269" t="n"/>
      <c r="D1172" s="269" t="n"/>
      <c r="E1172" s="269" t="n"/>
      <c r="F1172" s="269" t="n"/>
      <c r="G1172" s="269" t="n"/>
      <c r="H1172" s="269" t="n"/>
      <c r="I1172" s="269" t="n"/>
      <c r="J1172" s="269" t="n"/>
      <c r="K1172" s="269" t="n"/>
      <c r="L1172" s="269" t="n"/>
      <c r="M1172" s="269" t="n"/>
      <c r="N1172" s="269" t="n"/>
      <c r="O1172" s="269" t="n"/>
      <c r="P1172" s="269" t="n"/>
      <c r="Q1172" s="269" t="n"/>
      <c r="R1172" s="269" t="n"/>
      <c r="S1172" s="269" t="n"/>
      <c r="T1172" s="269" t="n"/>
      <c r="U1172" s="269" t="n"/>
      <c r="V1172" s="269" t="n"/>
      <c r="W1172" s="270" t="n"/>
    </row>
    <row r="1173" customFormat="1" s="163">
      <c r="A1173" s="282" t="n"/>
      <c r="B1173" s="268" t="n"/>
      <c r="C1173" s="269" t="n"/>
      <c r="D1173" s="269" t="n"/>
      <c r="E1173" s="269" t="n"/>
      <c r="F1173" s="269" t="n"/>
      <c r="G1173" s="269" t="n"/>
      <c r="H1173" s="269" t="n"/>
      <c r="I1173" s="269" t="n"/>
      <c r="J1173" s="269" t="n"/>
      <c r="K1173" s="269" t="n"/>
      <c r="L1173" s="269" t="n"/>
      <c r="M1173" s="269" t="n"/>
      <c r="N1173" s="269" t="n"/>
      <c r="O1173" s="269" t="n"/>
      <c r="P1173" s="269" t="n"/>
      <c r="Q1173" s="269" t="n"/>
      <c r="R1173" s="269" t="n"/>
      <c r="S1173" s="269" t="n"/>
      <c r="T1173" s="269" t="n"/>
      <c r="U1173" s="269" t="n"/>
      <c r="V1173" s="269" t="n"/>
      <c r="W1173" s="270" t="n"/>
    </row>
    <row r="1174" customFormat="1" s="163">
      <c r="A1174" s="282" t="n"/>
      <c r="B1174" s="268" t="n"/>
      <c r="C1174" s="269" t="n"/>
      <c r="D1174" s="269" t="n"/>
      <c r="E1174" s="269" t="n"/>
      <c r="F1174" s="269" t="n"/>
      <c r="G1174" s="269" t="n"/>
      <c r="H1174" s="269" t="n"/>
      <c r="I1174" s="269" t="n"/>
      <c r="J1174" s="269" t="n"/>
      <c r="K1174" s="269" t="n"/>
      <c r="L1174" s="269" t="n"/>
      <c r="M1174" s="269" t="n"/>
      <c r="N1174" s="269" t="n"/>
      <c r="O1174" s="269" t="n"/>
      <c r="P1174" s="269" t="n"/>
      <c r="Q1174" s="269" t="n"/>
      <c r="R1174" s="269" t="n"/>
      <c r="S1174" s="269" t="n"/>
      <c r="T1174" s="269" t="n"/>
      <c r="U1174" s="269" t="n"/>
      <c r="V1174" s="269" t="n"/>
      <c r="W1174" s="270" t="n"/>
    </row>
    <row r="1175" customFormat="1" s="163">
      <c r="A1175" s="282" t="n"/>
      <c r="B1175" s="268" t="n"/>
      <c r="C1175" s="269" t="n"/>
      <c r="D1175" s="269" t="n"/>
      <c r="E1175" s="269" t="n"/>
      <c r="F1175" s="269" t="n"/>
      <c r="G1175" s="269" t="n"/>
      <c r="H1175" s="269" t="n"/>
      <c r="I1175" s="269" t="n"/>
      <c r="J1175" s="269" t="n"/>
      <c r="K1175" s="269" t="n"/>
      <c r="L1175" s="269" t="n"/>
      <c r="M1175" s="269" t="n"/>
      <c r="N1175" s="269" t="n"/>
      <c r="O1175" s="269" t="n"/>
      <c r="P1175" s="269" t="n"/>
      <c r="Q1175" s="269" t="n"/>
      <c r="R1175" s="269" t="n"/>
      <c r="S1175" s="269" t="n"/>
      <c r="T1175" s="269" t="n"/>
      <c r="U1175" s="269" t="n"/>
      <c r="V1175" s="269" t="n"/>
      <c r="W1175" s="270" t="n"/>
    </row>
    <row r="1176" customFormat="1" s="163">
      <c r="A1176" s="282" t="n"/>
      <c r="B1176" s="268" t="n"/>
      <c r="C1176" s="269" t="n"/>
      <c r="D1176" s="269" t="n"/>
      <c r="E1176" s="269" t="n"/>
      <c r="F1176" s="269" t="n"/>
      <c r="G1176" s="269" t="n"/>
      <c r="H1176" s="269" t="n"/>
      <c r="I1176" s="269" t="n"/>
      <c r="J1176" s="269" t="n"/>
      <c r="K1176" s="269" t="n"/>
      <c r="L1176" s="269" t="n"/>
      <c r="M1176" s="269" t="n"/>
      <c r="N1176" s="269" t="n"/>
      <c r="O1176" s="269" t="n"/>
      <c r="P1176" s="269" t="n"/>
      <c r="Q1176" s="269" t="n"/>
      <c r="R1176" s="269" t="n"/>
      <c r="S1176" s="269" t="n"/>
      <c r="T1176" s="269" t="n"/>
      <c r="U1176" s="269" t="n"/>
      <c r="V1176" s="269" t="n"/>
      <c r="W1176" s="270" t="n"/>
    </row>
    <row r="1177" customFormat="1" s="163">
      <c r="A1177" s="282" t="n"/>
      <c r="B1177" s="268" t="n"/>
      <c r="C1177" s="269" t="n"/>
      <c r="D1177" s="269" t="n"/>
      <c r="E1177" s="269" t="n"/>
      <c r="F1177" s="269" t="n"/>
      <c r="G1177" s="269" t="n"/>
      <c r="H1177" s="269" t="n"/>
      <c r="I1177" s="269" t="n"/>
      <c r="J1177" s="269" t="n"/>
      <c r="K1177" s="269" t="n"/>
      <c r="L1177" s="269" t="n"/>
      <c r="M1177" s="269" t="n"/>
      <c r="N1177" s="269" t="n"/>
      <c r="O1177" s="269" t="n"/>
      <c r="P1177" s="269" t="n"/>
      <c r="Q1177" s="269" t="n"/>
      <c r="R1177" s="269" t="n"/>
      <c r="S1177" s="269" t="n"/>
      <c r="T1177" s="269" t="n"/>
      <c r="U1177" s="269" t="n"/>
      <c r="V1177" s="269" t="n"/>
      <c r="W1177" s="270" t="n"/>
    </row>
    <row r="1178" customFormat="1" s="163">
      <c r="A1178" s="282" t="n"/>
      <c r="B1178" s="268" t="n"/>
      <c r="C1178" s="269" t="n"/>
      <c r="D1178" s="269" t="n"/>
      <c r="E1178" s="269" t="n"/>
      <c r="F1178" s="269" t="n"/>
      <c r="G1178" s="269" t="n"/>
      <c r="H1178" s="269" t="n"/>
      <c r="I1178" s="269" t="n"/>
      <c r="J1178" s="269" t="n"/>
      <c r="K1178" s="269" t="n"/>
      <c r="L1178" s="269" t="n"/>
      <c r="M1178" s="269" t="n"/>
      <c r="N1178" s="269" t="n"/>
      <c r="O1178" s="269" t="n"/>
      <c r="P1178" s="269" t="n"/>
      <c r="Q1178" s="269" t="n"/>
      <c r="R1178" s="269" t="n"/>
      <c r="S1178" s="269" t="n"/>
      <c r="T1178" s="269" t="n"/>
      <c r="U1178" s="269" t="n"/>
      <c r="V1178" s="269" t="n"/>
      <c r="W1178" s="270" t="n"/>
    </row>
    <row r="1179" customFormat="1" s="163">
      <c r="A1179" s="282" t="n"/>
      <c r="B1179" s="268" t="n"/>
      <c r="C1179" s="269" t="n"/>
      <c r="D1179" s="269" t="n"/>
      <c r="E1179" s="269" t="n"/>
      <c r="F1179" s="269" t="n"/>
      <c r="G1179" s="269" t="n"/>
      <c r="H1179" s="269" t="n"/>
      <c r="I1179" s="269" t="n"/>
      <c r="J1179" s="269" t="n"/>
      <c r="K1179" s="269" t="n"/>
      <c r="L1179" s="269" t="n"/>
      <c r="M1179" s="269" t="n"/>
      <c r="N1179" s="269" t="n"/>
      <c r="O1179" s="269" t="n"/>
      <c r="P1179" s="269" t="n"/>
      <c r="Q1179" s="269" t="n"/>
      <c r="R1179" s="269" t="n"/>
      <c r="S1179" s="269" t="n"/>
      <c r="T1179" s="269" t="n"/>
      <c r="U1179" s="269" t="n"/>
      <c r="V1179" s="269" t="n"/>
      <c r="W1179" s="270" t="n"/>
    </row>
    <row r="1180" customFormat="1" s="163">
      <c r="A1180" s="282" t="n"/>
      <c r="B1180" s="268" t="n"/>
      <c r="C1180" s="269" t="n"/>
      <c r="D1180" s="269" t="n"/>
      <c r="E1180" s="269" t="n"/>
      <c r="F1180" s="269" t="n"/>
      <c r="G1180" s="269" t="n"/>
      <c r="H1180" s="269" t="n"/>
      <c r="I1180" s="269" t="n"/>
      <c r="J1180" s="269" t="n"/>
      <c r="K1180" s="269" t="n"/>
      <c r="L1180" s="269" t="n"/>
      <c r="M1180" s="269" t="n"/>
      <c r="N1180" s="269" t="n"/>
      <c r="O1180" s="269" t="n"/>
      <c r="P1180" s="269" t="n"/>
      <c r="Q1180" s="269" t="n"/>
      <c r="R1180" s="269" t="n"/>
      <c r="S1180" s="269" t="n"/>
      <c r="T1180" s="269" t="n"/>
      <c r="U1180" s="269" t="n"/>
      <c r="V1180" s="269" t="n"/>
      <c r="W1180" s="270" t="n"/>
    </row>
    <row r="1181" customFormat="1" s="163">
      <c r="A1181" s="282" t="n"/>
      <c r="B1181" s="268" t="n"/>
      <c r="C1181" s="269" t="n"/>
      <c r="D1181" s="269" t="n"/>
      <c r="E1181" s="269" t="n"/>
      <c r="F1181" s="269" t="n"/>
      <c r="G1181" s="269" t="n"/>
      <c r="H1181" s="269" t="n"/>
      <c r="I1181" s="269" t="n"/>
      <c r="J1181" s="269" t="n"/>
      <c r="K1181" s="269" t="n"/>
      <c r="L1181" s="269" t="n"/>
      <c r="M1181" s="269" t="n"/>
      <c r="N1181" s="269" t="n"/>
      <c r="O1181" s="269" t="n"/>
      <c r="P1181" s="269" t="n"/>
      <c r="Q1181" s="269" t="n"/>
      <c r="R1181" s="269" t="n"/>
      <c r="S1181" s="269" t="n"/>
      <c r="T1181" s="269" t="n"/>
      <c r="U1181" s="269" t="n"/>
      <c r="V1181" s="269" t="n"/>
      <c r="W1181" s="270" t="n"/>
    </row>
    <row r="1182" customFormat="1" s="163">
      <c r="A1182" s="282" t="n"/>
      <c r="B1182" s="268" t="n"/>
      <c r="C1182" s="269" t="n"/>
      <c r="D1182" s="269" t="n"/>
      <c r="E1182" s="269" t="n"/>
      <c r="F1182" s="269" t="n"/>
      <c r="G1182" s="269" t="n"/>
      <c r="H1182" s="269" t="n"/>
      <c r="I1182" s="269" t="n"/>
      <c r="J1182" s="269" t="n"/>
      <c r="K1182" s="269" t="n"/>
      <c r="L1182" s="269" t="n"/>
      <c r="M1182" s="269" t="n"/>
      <c r="N1182" s="269" t="n"/>
      <c r="O1182" s="269" t="n"/>
      <c r="P1182" s="269" t="n"/>
      <c r="Q1182" s="269" t="n"/>
      <c r="R1182" s="269" t="n"/>
      <c r="S1182" s="269" t="n"/>
      <c r="T1182" s="269" t="n"/>
      <c r="U1182" s="269" t="n"/>
      <c r="V1182" s="269" t="n"/>
      <c r="W1182" s="270" t="n"/>
    </row>
    <row r="1183" customFormat="1" s="163">
      <c r="A1183" s="282" t="n"/>
      <c r="B1183" s="268" t="n"/>
      <c r="C1183" s="269" t="n"/>
      <c r="D1183" s="269" t="n"/>
      <c r="E1183" s="269" t="n"/>
      <c r="F1183" s="269" t="n"/>
      <c r="G1183" s="269" t="n"/>
      <c r="H1183" s="269" t="n"/>
      <c r="I1183" s="269" t="n"/>
      <c r="J1183" s="269" t="n"/>
      <c r="K1183" s="269" t="n"/>
      <c r="L1183" s="269" t="n"/>
      <c r="M1183" s="269" t="n"/>
      <c r="N1183" s="269" t="n"/>
      <c r="O1183" s="269" t="n"/>
      <c r="P1183" s="269" t="n"/>
      <c r="Q1183" s="269" t="n"/>
      <c r="R1183" s="269" t="n"/>
      <c r="S1183" s="269" t="n"/>
      <c r="T1183" s="269" t="n"/>
      <c r="U1183" s="269" t="n"/>
      <c r="V1183" s="269" t="n"/>
      <c r="W1183" s="270" t="n"/>
    </row>
    <row r="1184" customFormat="1" s="163">
      <c r="A1184" s="282" t="n"/>
      <c r="B1184" s="268" t="n"/>
      <c r="C1184" s="269" t="n"/>
      <c r="D1184" s="269" t="n"/>
      <c r="E1184" s="269" t="n"/>
      <c r="F1184" s="269" t="n"/>
      <c r="G1184" s="269" t="n"/>
      <c r="H1184" s="269" t="n"/>
      <c r="I1184" s="269" t="n"/>
      <c r="J1184" s="269" t="n"/>
      <c r="K1184" s="269" t="n"/>
      <c r="L1184" s="269" t="n"/>
      <c r="M1184" s="269" t="n"/>
      <c r="N1184" s="269" t="n"/>
      <c r="O1184" s="269" t="n"/>
      <c r="P1184" s="269" t="n"/>
      <c r="Q1184" s="269" t="n"/>
      <c r="R1184" s="269" t="n"/>
      <c r="S1184" s="269" t="n"/>
      <c r="T1184" s="269" t="n"/>
      <c r="U1184" s="269" t="n"/>
      <c r="V1184" s="269" t="n"/>
      <c r="W1184" s="270" t="n"/>
    </row>
    <row r="1185" customFormat="1" s="163">
      <c r="A1185" s="282" t="n"/>
      <c r="B1185" s="268" t="n"/>
      <c r="C1185" s="269" t="n"/>
      <c r="D1185" s="269" t="n"/>
      <c r="E1185" s="269" t="n"/>
      <c r="F1185" s="269" t="n"/>
      <c r="G1185" s="269" t="n"/>
      <c r="H1185" s="269" t="n"/>
      <c r="I1185" s="269" t="n"/>
      <c r="J1185" s="269" t="n"/>
      <c r="K1185" s="269" t="n"/>
      <c r="L1185" s="269" t="n"/>
      <c r="M1185" s="269" t="n"/>
      <c r="N1185" s="269" t="n"/>
      <c r="O1185" s="269" t="n"/>
      <c r="P1185" s="269" t="n"/>
      <c r="Q1185" s="269" t="n"/>
      <c r="R1185" s="269" t="n"/>
      <c r="S1185" s="269" t="n"/>
      <c r="T1185" s="269" t="n"/>
      <c r="U1185" s="269" t="n"/>
      <c r="V1185" s="269" t="n"/>
      <c r="W1185" s="270" t="n"/>
    </row>
    <row r="1186" customFormat="1" s="163">
      <c r="A1186" s="282" t="n"/>
      <c r="B1186" s="268" t="n"/>
      <c r="C1186" s="269" t="n"/>
      <c r="D1186" s="269" t="n"/>
      <c r="E1186" s="269" t="n"/>
      <c r="F1186" s="269" t="n"/>
      <c r="G1186" s="269" t="n"/>
      <c r="H1186" s="269" t="n"/>
      <c r="I1186" s="269" t="n"/>
      <c r="J1186" s="269" t="n"/>
      <c r="K1186" s="269" t="n"/>
      <c r="L1186" s="269" t="n"/>
      <c r="M1186" s="269" t="n"/>
      <c r="N1186" s="269" t="n"/>
      <c r="O1186" s="269" t="n"/>
      <c r="P1186" s="269" t="n"/>
      <c r="Q1186" s="269" t="n"/>
      <c r="R1186" s="269" t="n"/>
      <c r="S1186" s="269" t="n"/>
      <c r="T1186" s="269" t="n"/>
      <c r="U1186" s="269" t="n"/>
      <c r="V1186" s="269" t="n"/>
      <c r="W1186" s="270" t="n"/>
    </row>
    <row r="1187" customFormat="1" s="163">
      <c r="A1187" s="282" t="n"/>
      <c r="B1187" s="268" t="n"/>
      <c r="C1187" s="269" t="n"/>
      <c r="D1187" s="269" t="n"/>
      <c r="E1187" s="269" t="n"/>
      <c r="F1187" s="269" t="n"/>
      <c r="G1187" s="269" t="n"/>
      <c r="H1187" s="269" t="n"/>
      <c r="I1187" s="269" t="n"/>
      <c r="J1187" s="269" t="n"/>
      <c r="K1187" s="269" t="n"/>
      <c r="L1187" s="269" t="n"/>
      <c r="M1187" s="269" t="n"/>
      <c r="N1187" s="269" t="n"/>
      <c r="O1187" s="269" t="n"/>
      <c r="P1187" s="269" t="n"/>
      <c r="Q1187" s="269" t="n"/>
      <c r="R1187" s="269" t="n"/>
      <c r="S1187" s="269" t="n"/>
      <c r="T1187" s="269" t="n"/>
      <c r="U1187" s="269" t="n"/>
      <c r="V1187" s="269" t="n"/>
      <c r="W1187" s="270" t="n"/>
    </row>
    <row r="1188" customFormat="1" s="163">
      <c r="A1188" s="282" t="n"/>
      <c r="B1188" s="268" t="n"/>
      <c r="C1188" s="269" t="n"/>
      <c r="D1188" s="269" t="n"/>
      <c r="E1188" s="269" t="n"/>
      <c r="F1188" s="269" t="n"/>
      <c r="G1188" s="269" t="n"/>
      <c r="H1188" s="269" t="n"/>
      <c r="I1188" s="269" t="n"/>
      <c r="J1188" s="269" t="n"/>
      <c r="K1188" s="269" t="n"/>
      <c r="L1188" s="269" t="n"/>
      <c r="M1188" s="269" t="n"/>
      <c r="N1188" s="269" t="n"/>
      <c r="O1188" s="269" t="n"/>
      <c r="P1188" s="269" t="n"/>
      <c r="Q1188" s="269" t="n"/>
      <c r="R1188" s="269" t="n"/>
      <c r="S1188" s="269" t="n"/>
      <c r="T1188" s="269" t="n"/>
      <c r="U1188" s="269" t="n"/>
      <c r="V1188" s="269" t="n"/>
      <c r="W1188" s="270" t="n"/>
    </row>
    <row r="1189" customFormat="1" s="163">
      <c r="A1189" s="282" t="n"/>
      <c r="B1189" s="268" t="n"/>
      <c r="C1189" s="269" t="n"/>
      <c r="D1189" s="269" t="n"/>
      <c r="E1189" s="269" t="n"/>
      <c r="F1189" s="269" t="n"/>
      <c r="G1189" s="269" t="n"/>
      <c r="H1189" s="269" t="n"/>
      <c r="I1189" s="269" t="n"/>
      <c r="J1189" s="269" t="n"/>
      <c r="K1189" s="269" t="n"/>
      <c r="L1189" s="269" t="n"/>
      <c r="M1189" s="269" t="n"/>
      <c r="N1189" s="269" t="n"/>
      <c r="O1189" s="269" t="n"/>
      <c r="P1189" s="269" t="n"/>
      <c r="Q1189" s="269" t="n"/>
      <c r="R1189" s="269" t="n"/>
      <c r="S1189" s="269" t="n"/>
      <c r="T1189" s="269" t="n"/>
      <c r="U1189" s="269" t="n"/>
      <c r="V1189" s="269" t="n"/>
      <c r="W1189" s="270" t="n"/>
    </row>
    <row r="1190" customFormat="1" s="163">
      <c r="A1190" s="282" t="n"/>
      <c r="B1190" s="268" t="n"/>
      <c r="C1190" s="269" t="n"/>
      <c r="D1190" s="269" t="n"/>
      <c r="E1190" s="269" t="n"/>
      <c r="F1190" s="269" t="n"/>
      <c r="G1190" s="269" t="n"/>
      <c r="H1190" s="269" t="n"/>
      <c r="I1190" s="269" t="n"/>
      <c r="J1190" s="269" t="n"/>
      <c r="K1190" s="269" t="n"/>
      <c r="L1190" s="269" t="n"/>
      <c r="M1190" s="269" t="n"/>
      <c r="N1190" s="269" t="n"/>
      <c r="O1190" s="269" t="n"/>
      <c r="P1190" s="269" t="n"/>
      <c r="Q1190" s="269" t="n"/>
      <c r="R1190" s="269" t="n"/>
      <c r="S1190" s="269" t="n"/>
      <c r="T1190" s="269" t="n"/>
      <c r="U1190" s="269" t="n"/>
      <c r="V1190" s="269" t="n"/>
      <c r="W1190" s="270" t="n"/>
    </row>
    <row r="1191" customFormat="1" s="163">
      <c r="A1191" s="282" t="n"/>
      <c r="B1191" s="268" t="n"/>
      <c r="C1191" s="269" t="n"/>
      <c r="D1191" s="269" t="n"/>
      <c r="E1191" s="269" t="n"/>
      <c r="F1191" s="269" t="n"/>
      <c r="G1191" s="269" t="n"/>
      <c r="H1191" s="269" t="n"/>
      <c r="I1191" s="269" t="n"/>
      <c r="J1191" s="269" t="n"/>
      <c r="K1191" s="269" t="n"/>
      <c r="L1191" s="269" t="n"/>
      <c r="M1191" s="269" t="n"/>
      <c r="N1191" s="269" t="n"/>
      <c r="O1191" s="269" t="n"/>
      <c r="P1191" s="269" t="n"/>
      <c r="Q1191" s="269" t="n"/>
      <c r="R1191" s="269" t="n"/>
      <c r="S1191" s="269" t="n"/>
      <c r="T1191" s="269" t="n"/>
      <c r="U1191" s="269" t="n"/>
      <c r="V1191" s="269" t="n"/>
      <c r="W1191" s="270" t="n"/>
    </row>
    <row r="1192" customFormat="1" s="163">
      <c r="A1192" s="282" t="n"/>
      <c r="B1192" s="268" t="n"/>
      <c r="C1192" s="269" t="n"/>
      <c r="D1192" s="269" t="n"/>
      <c r="E1192" s="269" t="n"/>
      <c r="F1192" s="269" t="n"/>
      <c r="G1192" s="269" t="n"/>
      <c r="H1192" s="269" t="n"/>
      <c r="I1192" s="269" t="n"/>
      <c r="J1192" s="269" t="n"/>
      <c r="K1192" s="269" t="n"/>
      <c r="L1192" s="269" t="n"/>
      <c r="M1192" s="269" t="n"/>
      <c r="N1192" s="269" t="n"/>
      <c r="O1192" s="269" t="n"/>
      <c r="P1192" s="269" t="n"/>
      <c r="Q1192" s="269" t="n"/>
      <c r="R1192" s="269" t="n"/>
      <c r="S1192" s="269" t="n"/>
      <c r="T1192" s="269" t="n"/>
      <c r="U1192" s="269" t="n"/>
      <c r="V1192" s="269" t="n"/>
      <c r="W1192" s="270" t="n"/>
    </row>
    <row r="1193" customFormat="1" s="163">
      <c r="A1193" s="282" t="n"/>
      <c r="B1193" s="268" t="n"/>
      <c r="C1193" s="269" t="n"/>
      <c r="D1193" s="269" t="n"/>
      <c r="E1193" s="269" t="n"/>
      <c r="F1193" s="269" t="n"/>
      <c r="G1193" s="269" t="n"/>
      <c r="H1193" s="269" t="n"/>
      <c r="I1193" s="269" t="n"/>
      <c r="J1193" s="269" t="n"/>
      <c r="K1193" s="269" t="n"/>
      <c r="L1193" s="269" t="n"/>
      <c r="M1193" s="269" t="n"/>
      <c r="N1193" s="269" t="n"/>
      <c r="O1193" s="269" t="n"/>
      <c r="P1193" s="269" t="n"/>
      <c r="Q1193" s="269" t="n"/>
      <c r="R1193" s="269" t="n"/>
      <c r="S1193" s="269" t="n"/>
      <c r="T1193" s="269" t="n"/>
      <c r="U1193" s="269" t="n"/>
      <c r="V1193" s="269" t="n"/>
      <c r="W1193" s="270" t="n"/>
    </row>
    <row r="1194" customFormat="1" s="163">
      <c r="A1194" s="282" t="n"/>
      <c r="B1194" s="268" t="n"/>
      <c r="C1194" s="269" t="n"/>
      <c r="D1194" s="269" t="n"/>
      <c r="E1194" s="269" t="n"/>
      <c r="F1194" s="269" t="n"/>
      <c r="G1194" s="269" t="n"/>
      <c r="H1194" s="269" t="n"/>
      <c r="I1194" s="269" t="n"/>
      <c r="J1194" s="269" t="n"/>
      <c r="K1194" s="269" t="n"/>
      <c r="L1194" s="269" t="n"/>
      <c r="M1194" s="269" t="n"/>
      <c r="N1194" s="269" t="n"/>
      <c r="O1194" s="269" t="n"/>
      <c r="P1194" s="269" t="n"/>
      <c r="Q1194" s="269" t="n"/>
      <c r="R1194" s="269" t="n"/>
      <c r="S1194" s="269" t="n"/>
      <c r="T1194" s="269" t="n"/>
      <c r="U1194" s="269" t="n"/>
      <c r="V1194" s="269" t="n"/>
      <c r="W1194" s="270" t="n"/>
    </row>
    <row r="1195" customFormat="1" s="163">
      <c r="A1195" s="282" t="n"/>
      <c r="B1195" s="268" t="n"/>
      <c r="C1195" s="269" t="n"/>
      <c r="D1195" s="269" t="n"/>
      <c r="E1195" s="269" t="n"/>
      <c r="F1195" s="269" t="n"/>
      <c r="G1195" s="269" t="n"/>
      <c r="H1195" s="269" t="n"/>
      <c r="I1195" s="269" t="n"/>
      <c r="J1195" s="269" t="n"/>
      <c r="K1195" s="269" t="n"/>
      <c r="L1195" s="269" t="n"/>
      <c r="M1195" s="269" t="n"/>
      <c r="N1195" s="269" t="n"/>
      <c r="O1195" s="269" t="n"/>
      <c r="P1195" s="269" t="n"/>
      <c r="Q1195" s="269" t="n"/>
      <c r="R1195" s="269" t="n"/>
      <c r="S1195" s="269" t="n"/>
      <c r="T1195" s="269" t="n"/>
      <c r="U1195" s="269" t="n"/>
      <c r="V1195" s="269" t="n"/>
      <c r="W1195" s="270" t="n"/>
    </row>
    <row r="1196" customFormat="1" s="163">
      <c r="A1196" s="282" t="n"/>
      <c r="B1196" s="268" t="n"/>
      <c r="C1196" s="269" t="n"/>
      <c r="D1196" s="269" t="n"/>
      <c r="E1196" s="269" t="n"/>
      <c r="F1196" s="269" t="n"/>
      <c r="G1196" s="269" t="n"/>
      <c r="H1196" s="269" t="n"/>
      <c r="I1196" s="269" t="n"/>
      <c r="J1196" s="269" t="n"/>
      <c r="K1196" s="269" t="n"/>
      <c r="L1196" s="269" t="n"/>
      <c r="M1196" s="269" t="n"/>
      <c r="N1196" s="269" t="n"/>
      <c r="O1196" s="269" t="n"/>
      <c r="P1196" s="269" t="n"/>
      <c r="Q1196" s="269" t="n"/>
      <c r="R1196" s="269" t="n"/>
      <c r="S1196" s="269" t="n"/>
      <c r="T1196" s="269" t="n"/>
      <c r="U1196" s="269" t="n"/>
      <c r="V1196" s="269" t="n"/>
      <c r="W1196" s="270" t="n"/>
    </row>
    <row r="1197" customFormat="1" s="163">
      <c r="A1197" s="282" t="n"/>
      <c r="B1197" s="268" t="n"/>
      <c r="C1197" s="269" t="n"/>
      <c r="D1197" s="269" t="n"/>
      <c r="E1197" s="269" t="n"/>
      <c r="F1197" s="269" t="n"/>
      <c r="G1197" s="269" t="n"/>
      <c r="H1197" s="269" t="n"/>
      <c r="I1197" s="269" t="n"/>
      <c r="J1197" s="269" t="n"/>
      <c r="K1197" s="269" t="n"/>
      <c r="L1197" s="269" t="n"/>
      <c r="M1197" s="269" t="n"/>
      <c r="N1197" s="269" t="n"/>
      <c r="O1197" s="269" t="n"/>
      <c r="P1197" s="269" t="n"/>
      <c r="Q1197" s="269" t="n"/>
      <c r="R1197" s="269" t="n"/>
      <c r="S1197" s="269" t="n"/>
      <c r="T1197" s="269" t="n"/>
      <c r="U1197" s="269" t="n"/>
      <c r="V1197" s="269" t="n"/>
      <c r="W1197" s="270" t="n"/>
    </row>
    <row r="1198" customFormat="1" s="163">
      <c r="A1198" s="282" t="n"/>
      <c r="B1198" s="268" t="n"/>
      <c r="C1198" s="269" t="n"/>
      <c r="D1198" s="269" t="n"/>
      <c r="E1198" s="269" t="n"/>
      <c r="F1198" s="269" t="n"/>
      <c r="G1198" s="269" t="n"/>
      <c r="H1198" s="269" t="n"/>
      <c r="I1198" s="269" t="n"/>
      <c r="J1198" s="269" t="n"/>
      <c r="K1198" s="269" t="n"/>
      <c r="L1198" s="269" t="n"/>
      <c r="M1198" s="269" t="n"/>
      <c r="N1198" s="269" t="n"/>
      <c r="O1198" s="269" t="n"/>
      <c r="P1198" s="269" t="n"/>
      <c r="Q1198" s="269" t="n"/>
      <c r="R1198" s="269" t="n"/>
      <c r="S1198" s="269" t="n"/>
      <c r="T1198" s="269" t="n"/>
      <c r="U1198" s="269" t="n"/>
      <c r="V1198" s="269" t="n"/>
      <c r="W1198" s="270" t="n"/>
    </row>
    <row r="1199" customFormat="1" s="163">
      <c r="A1199" s="282" t="n"/>
      <c r="B1199" s="268" t="n"/>
      <c r="C1199" s="269" t="n"/>
      <c r="D1199" s="269" t="n"/>
      <c r="E1199" s="269" t="n"/>
      <c r="F1199" s="269" t="n"/>
      <c r="G1199" s="269" t="n"/>
      <c r="H1199" s="269" t="n"/>
      <c r="I1199" s="269" t="n"/>
      <c r="J1199" s="269" t="n"/>
      <c r="K1199" s="269" t="n"/>
      <c r="L1199" s="269" t="n"/>
      <c r="M1199" s="269" t="n"/>
      <c r="N1199" s="269" t="n"/>
      <c r="O1199" s="269" t="n"/>
      <c r="P1199" s="269" t="n"/>
      <c r="Q1199" s="269" t="n"/>
      <c r="R1199" s="269" t="n"/>
      <c r="S1199" s="269" t="n"/>
      <c r="T1199" s="269" t="n"/>
      <c r="U1199" s="269" t="n"/>
      <c r="V1199" s="269" t="n"/>
      <c r="W1199" s="270" t="n"/>
    </row>
    <row r="1200" customFormat="1" s="163">
      <c r="A1200" s="282" t="n"/>
      <c r="B1200" s="268" t="n"/>
      <c r="C1200" s="269" t="n"/>
      <c r="D1200" s="269" t="n"/>
      <c r="E1200" s="269" t="n"/>
      <c r="F1200" s="269" t="n"/>
      <c r="G1200" s="269" t="n"/>
      <c r="H1200" s="269" t="n"/>
      <c r="I1200" s="269" t="n"/>
      <c r="J1200" s="269" t="n"/>
      <c r="K1200" s="269" t="n"/>
      <c r="L1200" s="269" t="n"/>
      <c r="M1200" s="269" t="n"/>
      <c r="N1200" s="269" t="n"/>
      <c r="O1200" s="269" t="n"/>
      <c r="P1200" s="269" t="n"/>
      <c r="Q1200" s="269" t="n"/>
      <c r="R1200" s="269" t="n"/>
      <c r="S1200" s="269" t="n"/>
      <c r="T1200" s="269" t="n"/>
      <c r="U1200" s="269" t="n"/>
      <c r="V1200" s="269" t="n"/>
      <c r="W1200" s="270" t="n"/>
    </row>
    <row r="1201" customFormat="1" s="163">
      <c r="A1201" s="282" t="n"/>
      <c r="B1201" s="268" t="n"/>
      <c r="C1201" s="269" t="n"/>
      <c r="D1201" s="269" t="n"/>
      <c r="E1201" s="269" t="n"/>
      <c r="F1201" s="269" t="n"/>
      <c r="G1201" s="269" t="n"/>
      <c r="H1201" s="269" t="n"/>
      <c r="I1201" s="269" t="n"/>
      <c r="J1201" s="269" t="n"/>
      <c r="K1201" s="269" t="n"/>
      <c r="L1201" s="269" t="n"/>
      <c r="M1201" s="269" t="n"/>
      <c r="N1201" s="269" t="n"/>
      <c r="O1201" s="269" t="n"/>
      <c r="P1201" s="269" t="n"/>
      <c r="Q1201" s="269" t="n"/>
      <c r="R1201" s="269" t="n"/>
      <c r="S1201" s="269" t="n"/>
      <c r="T1201" s="269" t="n"/>
      <c r="U1201" s="269" t="n"/>
      <c r="V1201" s="269" t="n"/>
      <c r="W1201" s="270" t="n"/>
    </row>
    <row r="1202" customFormat="1" s="163">
      <c r="A1202" s="282" t="n"/>
      <c r="B1202" s="268" t="n"/>
      <c r="C1202" s="269" t="n"/>
      <c r="D1202" s="269" t="n"/>
      <c r="E1202" s="269" t="n"/>
      <c r="F1202" s="269" t="n"/>
      <c r="G1202" s="269" t="n"/>
      <c r="H1202" s="269" t="n"/>
      <c r="I1202" s="269" t="n"/>
      <c r="J1202" s="269" t="n"/>
      <c r="K1202" s="269" t="n"/>
      <c r="L1202" s="269" t="n"/>
      <c r="M1202" s="269" t="n"/>
      <c r="N1202" s="269" t="n"/>
      <c r="O1202" s="269" t="n"/>
      <c r="P1202" s="269" t="n"/>
      <c r="Q1202" s="269" t="n"/>
      <c r="R1202" s="269" t="n"/>
      <c r="S1202" s="269" t="n"/>
      <c r="T1202" s="269" t="n"/>
      <c r="U1202" s="269" t="n"/>
      <c r="V1202" s="269" t="n"/>
      <c r="W1202" s="270" t="n"/>
    </row>
    <row r="1203" customFormat="1" s="163">
      <c r="A1203" s="282" t="n"/>
      <c r="B1203" s="268" t="n"/>
      <c r="C1203" s="269" t="n"/>
      <c r="D1203" s="269" t="n"/>
      <c r="E1203" s="269" t="n"/>
      <c r="F1203" s="269" t="n"/>
      <c r="G1203" s="269" t="n"/>
      <c r="H1203" s="269" t="n"/>
      <c r="I1203" s="269" t="n"/>
      <c r="J1203" s="269" t="n"/>
      <c r="K1203" s="269" t="n"/>
      <c r="L1203" s="269" t="n"/>
      <c r="M1203" s="269" t="n"/>
      <c r="N1203" s="269" t="n"/>
      <c r="O1203" s="269" t="n"/>
      <c r="P1203" s="269" t="n"/>
      <c r="Q1203" s="269" t="n"/>
      <c r="R1203" s="269" t="n"/>
      <c r="S1203" s="269" t="n"/>
      <c r="T1203" s="269" t="n"/>
      <c r="U1203" s="269" t="n"/>
      <c r="V1203" s="269" t="n"/>
      <c r="W1203" s="270" t="n"/>
    </row>
    <row r="1204" customFormat="1" s="163">
      <c r="A1204" s="282" t="n"/>
      <c r="B1204" s="268" t="n"/>
      <c r="C1204" s="269" t="n"/>
      <c r="D1204" s="269" t="n"/>
      <c r="E1204" s="269" t="n"/>
      <c r="F1204" s="269" t="n"/>
      <c r="G1204" s="269" t="n"/>
      <c r="H1204" s="269" t="n"/>
      <c r="I1204" s="269" t="n"/>
      <c r="J1204" s="269" t="n"/>
      <c r="K1204" s="269" t="n"/>
      <c r="L1204" s="269" t="n"/>
      <c r="M1204" s="269" t="n"/>
      <c r="N1204" s="269" t="n"/>
      <c r="O1204" s="269" t="n"/>
      <c r="P1204" s="269" t="n"/>
      <c r="Q1204" s="269" t="n"/>
      <c r="R1204" s="269" t="n"/>
      <c r="S1204" s="269" t="n"/>
      <c r="T1204" s="269" t="n"/>
      <c r="U1204" s="269" t="n"/>
      <c r="V1204" s="269" t="n"/>
      <c r="W1204" s="270" t="n"/>
    </row>
    <row r="1205" customFormat="1" s="163">
      <c r="A1205" s="282" t="n"/>
      <c r="B1205" s="268" t="n"/>
      <c r="C1205" s="269" t="n"/>
      <c r="D1205" s="269" t="n"/>
      <c r="E1205" s="269" t="n"/>
      <c r="F1205" s="269" t="n"/>
      <c r="G1205" s="269" t="n"/>
      <c r="H1205" s="269" t="n"/>
      <c r="I1205" s="269" t="n"/>
      <c r="J1205" s="269" t="n"/>
      <c r="K1205" s="269" t="n"/>
      <c r="L1205" s="269" t="n"/>
      <c r="M1205" s="269" t="n"/>
      <c r="N1205" s="269" t="n"/>
      <c r="O1205" s="269" t="n"/>
      <c r="P1205" s="269" t="n"/>
      <c r="Q1205" s="269" t="n"/>
      <c r="R1205" s="269" t="n"/>
      <c r="S1205" s="269" t="n"/>
      <c r="T1205" s="269" t="n"/>
      <c r="U1205" s="269" t="n"/>
      <c r="V1205" s="269" t="n"/>
      <c r="W1205" s="270" t="n"/>
    </row>
    <row r="1206" customFormat="1" s="163">
      <c r="A1206" s="282" t="n"/>
      <c r="B1206" s="268" t="n"/>
      <c r="C1206" s="269" t="n"/>
      <c r="D1206" s="269" t="n"/>
      <c r="E1206" s="269" t="n"/>
      <c r="F1206" s="269" t="n"/>
      <c r="G1206" s="269" t="n"/>
      <c r="H1206" s="269" t="n"/>
      <c r="I1206" s="269" t="n"/>
      <c r="J1206" s="269" t="n"/>
      <c r="K1206" s="269" t="n"/>
      <c r="L1206" s="269" t="n"/>
      <c r="M1206" s="269" t="n"/>
      <c r="N1206" s="269" t="n"/>
      <c r="O1206" s="269" t="n"/>
      <c r="P1206" s="269" t="n"/>
      <c r="Q1206" s="269" t="n"/>
      <c r="R1206" s="269" t="n"/>
      <c r="S1206" s="269" t="n"/>
      <c r="T1206" s="269" t="n"/>
      <c r="U1206" s="269" t="n"/>
      <c r="V1206" s="269" t="n"/>
      <c r="W1206" s="270" t="n"/>
    </row>
    <row r="1207" customFormat="1" s="163">
      <c r="A1207" s="282" t="n"/>
      <c r="B1207" s="268" t="n"/>
      <c r="C1207" s="269" t="n"/>
      <c r="D1207" s="269" t="n"/>
      <c r="E1207" s="269" t="n"/>
      <c r="F1207" s="269" t="n"/>
      <c r="G1207" s="269" t="n"/>
      <c r="H1207" s="269" t="n"/>
      <c r="I1207" s="269" t="n"/>
      <c r="J1207" s="269" t="n"/>
      <c r="K1207" s="269" t="n"/>
      <c r="L1207" s="269" t="n"/>
      <c r="M1207" s="269" t="n"/>
      <c r="N1207" s="269" t="n"/>
      <c r="O1207" s="269" t="n"/>
      <c r="P1207" s="269" t="n"/>
      <c r="Q1207" s="269" t="n"/>
      <c r="R1207" s="269" t="n"/>
      <c r="S1207" s="269" t="n"/>
      <c r="T1207" s="269" t="n"/>
      <c r="U1207" s="269" t="n"/>
      <c r="V1207" s="269" t="n"/>
      <c r="W1207" s="270" t="n"/>
    </row>
    <row r="1208" customFormat="1" s="163">
      <c r="A1208" s="282" t="n"/>
      <c r="B1208" s="268" t="n"/>
      <c r="C1208" s="269" t="n"/>
      <c r="D1208" s="269" t="n"/>
      <c r="E1208" s="269" t="n"/>
      <c r="F1208" s="269" t="n"/>
      <c r="G1208" s="269" t="n"/>
      <c r="H1208" s="269" t="n"/>
      <c r="I1208" s="269" t="n"/>
      <c r="J1208" s="269" t="n"/>
      <c r="K1208" s="269" t="n"/>
      <c r="L1208" s="269" t="n"/>
      <c r="M1208" s="269" t="n"/>
      <c r="N1208" s="269" t="n"/>
      <c r="O1208" s="269" t="n"/>
      <c r="P1208" s="269" t="n"/>
      <c r="Q1208" s="269" t="n"/>
      <c r="R1208" s="269" t="n"/>
      <c r="S1208" s="269" t="n"/>
      <c r="T1208" s="269" t="n"/>
      <c r="U1208" s="269" t="n"/>
      <c r="V1208" s="269" t="n"/>
      <c r="W1208" s="270" t="n"/>
    </row>
    <row r="1209" customFormat="1" s="163">
      <c r="A1209" s="282" t="n"/>
      <c r="B1209" s="268" t="n"/>
      <c r="C1209" s="269" t="n"/>
      <c r="D1209" s="269" t="n"/>
      <c r="E1209" s="269" t="n"/>
      <c r="F1209" s="269" t="n"/>
      <c r="G1209" s="269" t="n"/>
      <c r="H1209" s="269" t="n"/>
      <c r="I1209" s="269" t="n"/>
      <c r="J1209" s="269" t="n"/>
      <c r="K1209" s="269" t="n"/>
      <c r="L1209" s="269" t="n"/>
      <c r="M1209" s="269" t="n"/>
      <c r="N1209" s="269" t="n"/>
      <c r="O1209" s="269" t="n"/>
      <c r="P1209" s="269" t="n"/>
      <c r="Q1209" s="269" t="n"/>
      <c r="R1209" s="269" t="n"/>
      <c r="S1209" s="269" t="n"/>
      <c r="T1209" s="269" t="n"/>
      <c r="U1209" s="269" t="n"/>
      <c r="V1209" s="269" t="n"/>
      <c r="W1209" s="270" t="n"/>
    </row>
    <row r="1210" customFormat="1" s="163">
      <c r="A1210" s="282" t="n"/>
      <c r="B1210" s="268" t="n"/>
      <c r="C1210" s="269" t="n"/>
      <c r="D1210" s="269" t="n"/>
      <c r="E1210" s="269" t="n"/>
      <c r="F1210" s="269" t="n"/>
      <c r="G1210" s="269" t="n"/>
      <c r="H1210" s="269" t="n"/>
      <c r="I1210" s="269" t="n"/>
      <c r="J1210" s="269" t="n"/>
      <c r="K1210" s="269" t="n"/>
      <c r="L1210" s="269" t="n"/>
      <c r="M1210" s="269" t="n"/>
      <c r="N1210" s="269" t="n"/>
      <c r="O1210" s="269" t="n"/>
      <c r="P1210" s="269" t="n"/>
      <c r="Q1210" s="269" t="n"/>
      <c r="R1210" s="269" t="n"/>
      <c r="S1210" s="269" t="n"/>
      <c r="T1210" s="269" t="n"/>
      <c r="U1210" s="269" t="n"/>
      <c r="V1210" s="269" t="n"/>
      <c r="W1210" s="270" t="n"/>
    </row>
    <row r="1211" customFormat="1" s="163">
      <c r="A1211" s="282" t="n"/>
      <c r="B1211" s="268" t="n"/>
      <c r="C1211" s="269" t="n"/>
      <c r="D1211" s="269" t="n"/>
      <c r="E1211" s="269" t="n"/>
      <c r="F1211" s="269" t="n"/>
      <c r="G1211" s="269" t="n"/>
      <c r="H1211" s="269" t="n"/>
      <c r="I1211" s="269" t="n"/>
      <c r="J1211" s="269" t="n"/>
      <c r="K1211" s="269" t="n"/>
      <c r="L1211" s="269" t="n"/>
      <c r="M1211" s="269" t="n"/>
      <c r="N1211" s="269" t="n"/>
      <c r="O1211" s="269" t="n"/>
      <c r="P1211" s="269" t="n"/>
      <c r="Q1211" s="269" t="n"/>
      <c r="R1211" s="269" t="n"/>
      <c r="S1211" s="269" t="n"/>
      <c r="T1211" s="269" t="n"/>
      <c r="U1211" s="269" t="n"/>
      <c r="V1211" s="269" t="n"/>
      <c r="W1211" s="270" t="n"/>
    </row>
    <row r="1212" customFormat="1" s="163">
      <c r="A1212" s="282" t="n"/>
      <c r="B1212" s="268" t="n"/>
      <c r="C1212" s="269" t="n"/>
      <c r="D1212" s="269" t="n"/>
      <c r="E1212" s="269" t="n"/>
      <c r="F1212" s="269" t="n"/>
      <c r="G1212" s="269" t="n"/>
      <c r="H1212" s="269" t="n"/>
      <c r="I1212" s="269" t="n"/>
      <c r="J1212" s="269" t="n"/>
      <c r="K1212" s="269" t="n"/>
      <c r="L1212" s="269" t="n"/>
      <c r="M1212" s="269" t="n"/>
      <c r="N1212" s="269" t="n"/>
      <c r="O1212" s="269" t="n"/>
      <c r="P1212" s="269" t="n"/>
      <c r="Q1212" s="269" t="n"/>
      <c r="R1212" s="269" t="n"/>
      <c r="S1212" s="269" t="n"/>
      <c r="T1212" s="269" t="n"/>
      <c r="U1212" s="269" t="n"/>
      <c r="V1212" s="269" t="n"/>
      <c r="W1212" s="270" t="n"/>
    </row>
    <row r="1213" customFormat="1" s="163">
      <c r="A1213" s="282" t="n"/>
      <c r="B1213" s="268" t="n"/>
      <c r="C1213" s="269" t="n"/>
      <c r="D1213" s="269" t="n"/>
      <c r="E1213" s="269" t="n"/>
      <c r="F1213" s="269" t="n"/>
      <c r="G1213" s="269" t="n"/>
      <c r="H1213" s="269" t="n"/>
      <c r="I1213" s="269" t="n"/>
      <c r="J1213" s="269" t="n"/>
      <c r="K1213" s="269" t="n"/>
      <c r="L1213" s="269" t="n"/>
      <c r="M1213" s="269" t="n"/>
      <c r="N1213" s="269" t="n"/>
      <c r="O1213" s="269" t="n"/>
      <c r="P1213" s="269" t="n"/>
      <c r="Q1213" s="269" t="n"/>
      <c r="R1213" s="269" t="n"/>
      <c r="S1213" s="269" t="n"/>
      <c r="T1213" s="269" t="n"/>
      <c r="U1213" s="269" t="n"/>
      <c r="V1213" s="269" t="n"/>
      <c r="W1213" s="270" t="n"/>
    </row>
    <row r="1214" customFormat="1" s="163">
      <c r="A1214" s="282" t="n"/>
      <c r="B1214" s="268" t="n"/>
      <c r="C1214" s="269" t="n"/>
      <c r="D1214" s="269" t="n"/>
      <c r="E1214" s="269" t="n"/>
      <c r="F1214" s="269" t="n"/>
      <c r="G1214" s="269" t="n"/>
      <c r="H1214" s="269" t="n"/>
      <c r="I1214" s="269" t="n"/>
      <c r="J1214" s="269" t="n"/>
      <c r="K1214" s="269" t="n"/>
      <c r="L1214" s="269" t="n"/>
      <c r="M1214" s="269" t="n"/>
      <c r="N1214" s="269" t="n"/>
      <c r="O1214" s="269" t="n"/>
      <c r="P1214" s="269" t="n"/>
      <c r="Q1214" s="269" t="n"/>
      <c r="R1214" s="269" t="n"/>
      <c r="S1214" s="269" t="n"/>
      <c r="T1214" s="269" t="n"/>
      <c r="U1214" s="269" t="n"/>
      <c r="V1214" s="269" t="n"/>
      <c r="W1214" s="270" t="n"/>
    </row>
    <row r="1215" customFormat="1" s="163">
      <c r="A1215" s="282" t="n"/>
      <c r="B1215" s="268" t="n"/>
      <c r="C1215" s="269" t="n"/>
      <c r="D1215" s="269" t="n"/>
      <c r="E1215" s="269" t="n"/>
      <c r="F1215" s="269" t="n"/>
      <c r="G1215" s="269" t="n"/>
      <c r="H1215" s="269" t="n"/>
      <c r="I1215" s="269" t="n"/>
      <c r="J1215" s="269" t="n"/>
      <c r="K1215" s="269" t="n"/>
      <c r="L1215" s="269" t="n"/>
      <c r="M1215" s="269" t="n"/>
      <c r="N1215" s="269" t="n"/>
      <c r="O1215" s="269" t="n"/>
      <c r="P1215" s="269" t="n"/>
      <c r="Q1215" s="269" t="n"/>
      <c r="R1215" s="269" t="n"/>
      <c r="S1215" s="269" t="n"/>
      <c r="T1215" s="269" t="n"/>
      <c r="U1215" s="269" t="n"/>
      <c r="V1215" s="269" t="n"/>
      <c r="W1215" s="270" t="n"/>
    </row>
    <row r="1216" customFormat="1" s="163">
      <c r="A1216" s="282" t="n"/>
      <c r="B1216" s="268" t="n"/>
      <c r="C1216" s="269" t="n"/>
      <c r="D1216" s="269" t="n"/>
      <c r="E1216" s="269" t="n"/>
      <c r="F1216" s="269" t="n"/>
      <c r="G1216" s="269" t="n"/>
      <c r="H1216" s="269" t="n"/>
      <c r="I1216" s="269" t="n"/>
      <c r="J1216" s="269" t="n"/>
      <c r="K1216" s="269" t="n"/>
      <c r="L1216" s="269" t="n"/>
      <c r="M1216" s="269" t="n"/>
      <c r="N1216" s="269" t="n"/>
      <c r="O1216" s="269" t="n"/>
      <c r="P1216" s="269" t="n"/>
      <c r="Q1216" s="269" t="n"/>
      <c r="R1216" s="269" t="n"/>
      <c r="S1216" s="269" t="n"/>
      <c r="T1216" s="269" t="n"/>
      <c r="U1216" s="269" t="n"/>
      <c r="V1216" s="269" t="n"/>
      <c r="W1216" s="270" t="n"/>
    </row>
    <row r="1217" customFormat="1" s="163">
      <c r="A1217" s="282" t="n"/>
      <c r="B1217" s="268" t="n"/>
      <c r="C1217" s="269" t="n"/>
      <c r="D1217" s="269" t="n"/>
      <c r="E1217" s="269" t="n"/>
      <c r="F1217" s="269" t="n"/>
      <c r="G1217" s="269" t="n"/>
      <c r="H1217" s="269" t="n"/>
      <c r="I1217" s="269" t="n"/>
      <c r="J1217" s="269" t="n"/>
      <c r="K1217" s="269" t="n"/>
      <c r="L1217" s="269" t="n"/>
      <c r="M1217" s="269" t="n"/>
      <c r="N1217" s="269" t="n"/>
      <c r="O1217" s="269" t="n"/>
      <c r="P1217" s="269" t="n"/>
      <c r="Q1217" s="269" t="n"/>
      <c r="R1217" s="269" t="n"/>
      <c r="S1217" s="269" t="n"/>
      <c r="T1217" s="269" t="n"/>
      <c r="U1217" s="269" t="n"/>
      <c r="V1217" s="269" t="n"/>
      <c r="W1217" s="270" t="n"/>
    </row>
    <row r="1218" customFormat="1" s="163">
      <c r="A1218" s="282" t="n"/>
      <c r="B1218" s="268" t="n"/>
      <c r="C1218" s="269" t="n"/>
      <c r="D1218" s="269" t="n"/>
      <c r="E1218" s="269" t="n"/>
      <c r="F1218" s="269" t="n"/>
      <c r="G1218" s="269" t="n"/>
      <c r="H1218" s="269" t="n"/>
      <c r="I1218" s="269" t="n"/>
      <c r="J1218" s="269" t="n"/>
      <c r="K1218" s="269" t="n"/>
      <c r="L1218" s="269" t="n"/>
      <c r="M1218" s="269" t="n"/>
      <c r="N1218" s="269" t="n"/>
      <c r="O1218" s="269" t="n"/>
      <c r="P1218" s="269" t="n"/>
      <c r="Q1218" s="269" t="n"/>
      <c r="R1218" s="269" t="n"/>
      <c r="S1218" s="269" t="n"/>
      <c r="T1218" s="269" t="n"/>
      <c r="U1218" s="269" t="n"/>
      <c r="V1218" s="269" t="n"/>
      <c r="W1218" s="270" t="n"/>
    </row>
    <row r="1219" customFormat="1" s="163">
      <c r="A1219" s="282" t="n"/>
      <c r="B1219" s="268" t="n"/>
      <c r="C1219" s="269" t="n"/>
      <c r="D1219" s="269" t="n"/>
      <c r="E1219" s="269" t="n"/>
      <c r="F1219" s="269" t="n"/>
      <c r="G1219" s="269" t="n"/>
      <c r="H1219" s="269" t="n"/>
      <c r="I1219" s="269" t="n"/>
      <c r="J1219" s="269" t="n"/>
      <c r="K1219" s="269" t="n"/>
      <c r="L1219" s="269" t="n"/>
      <c r="M1219" s="269" t="n"/>
      <c r="N1219" s="269" t="n"/>
      <c r="O1219" s="269" t="n"/>
      <c r="P1219" s="269" t="n"/>
      <c r="Q1219" s="269" t="n"/>
      <c r="R1219" s="269" t="n"/>
      <c r="S1219" s="269" t="n"/>
      <c r="T1219" s="269" t="n"/>
      <c r="U1219" s="269" t="n"/>
      <c r="V1219" s="269" t="n"/>
      <c r="W1219" s="270" t="n"/>
    </row>
    <row r="1220" customFormat="1" s="163">
      <c r="A1220" s="282" t="n"/>
      <c r="B1220" s="268" t="n"/>
      <c r="C1220" s="269" t="n"/>
      <c r="D1220" s="269" t="n"/>
      <c r="E1220" s="269" t="n"/>
      <c r="F1220" s="269" t="n"/>
      <c r="G1220" s="269" t="n"/>
      <c r="H1220" s="269" t="n"/>
      <c r="I1220" s="269" t="n"/>
      <c r="J1220" s="269" t="n"/>
      <c r="K1220" s="269" t="n"/>
      <c r="L1220" s="269" t="n"/>
      <c r="M1220" s="269" t="n"/>
      <c r="N1220" s="269" t="n"/>
      <c r="O1220" s="269" t="n"/>
      <c r="P1220" s="269" t="n"/>
      <c r="Q1220" s="269" t="n"/>
      <c r="R1220" s="269" t="n"/>
      <c r="S1220" s="269" t="n"/>
      <c r="T1220" s="269" t="n"/>
      <c r="U1220" s="269" t="n"/>
      <c r="V1220" s="269" t="n"/>
      <c r="W1220" s="270" t="n"/>
    </row>
    <row r="1221" customFormat="1" s="163">
      <c r="A1221" s="282" t="n"/>
      <c r="B1221" s="268" t="n"/>
      <c r="C1221" s="269" t="n"/>
      <c r="D1221" s="269" t="n"/>
      <c r="E1221" s="269" t="n"/>
      <c r="F1221" s="269" t="n"/>
      <c r="G1221" s="269" t="n"/>
      <c r="H1221" s="269" t="n"/>
      <c r="I1221" s="269" t="n"/>
      <c r="J1221" s="269" t="n"/>
      <c r="K1221" s="269" t="n"/>
      <c r="L1221" s="269" t="n"/>
      <c r="M1221" s="269" t="n"/>
      <c r="N1221" s="269" t="n"/>
      <c r="O1221" s="269" t="n"/>
      <c r="P1221" s="269" t="n"/>
      <c r="Q1221" s="269" t="n"/>
      <c r="R1221" s="269" t="n"/>
      <c r="S1221" s="269" t="n"/>
      <c r="T1221" s="269" t="n"/>
      <c r="U1221" s="269" t="n"/>
      <c r="V1221" s="269" t="n"/>
      <c r="W1221" s="270" t="n"/>
    </row>
    <row r="1222" customFormat="1" s="163">
      <c r="A1222" s="282" t="n"/>
      <c r="B1222" s="268" t="n"/>
      <c r="C1222" s="269" t="n"/>
      <c r="D1222" s="269" t="n"/>
      <c r="E1222" s="269" t="n"/>
      <c r="F1222" s="269" t="n"/>
      <c r="G1222" s="269" t="n"/>
      <c r="H1222" s="269" t="n"/>
      <c r="I1222" s="269" t="n"/>
      <c r="J1222" s="269" t="n"/>
      <c r="K1222" s="269" t="n"/>
      <c r="L1222" s="269" t="n"/>
      <c r="M1222" s="269" t="n"/>
      <c r="N1222" s="269" t="n"/>
      <c r="O1222" s="269" t="n"/>
      <c r="P1222" s="269" t="n"/>
      <c r="Q1222" s="269" t="n"/>
      <c r="R1222" s="269" t="n"/>
      <c r="S1222" s="269" t="n"/>
      <c r="T1222" s="269" t="n"/>
      <c r="U1222" s="269" t="n"/>
      <c r="V1222" s="269" t="n"/>
      <c r="W1222" s="270" t="n"/>
    </row>
    <row r="1223" customFormat="1" s="163">
      <c r="A1223" s="282" t="n"/>
      <c r="B1223" s="268" t="n"/>
      <c r="C1223" s="269" t="n"/>
      <c r="D1223" s="269" t="n"/>
      <c r="E1223" s="269" t="n"/>
      <c r="F1223" s="269" t="n"/>
      <c r="G1223" s="269" t="n"/>
      <c r="H1223" s="269" t="n"/>
      <c r="I1223" s="269" t="n"/>
      <c r="J1223" s="269" t="n"/>
      <c r="K1223" s="269" t="n"/>
      <c r="L1223" s="269" t="n"/>
      <c r="M1223" s="269" t="n"/>
      <c r="N1223" s="269" t="n"/>
      <c r="O1223" s="269" t="n"/>
      <c r="P1223" s="269" t="n"/>
      <c r="Q1223" s="269" t="n"/>
      <c r="R1223" s="269" t="n"/>
      <c r="S1223" s="269" t="n"/>
      <c r="T1223" s="269" t="n"/>
      <c r="U1223" s="269" t="n"/>
      <c r="V1223" s="269" t="n"/>
      <c r="W1223" s="270" t="n"/>
    </row>
    <row r="1224" customFormat="1" s="163">
      <c r="A1224" s="282" t="n"/>
      <c r="B1224" s="268" t="n"/>
      <c r="C1224" s="269" t="n"/>
      <c r="D1224" s="269" t="n"/>
      <c r="E1224" s="269" t="n"/>
      <c r="F1224" s="269" t="n"/>
      <c r="G1224" s="269" t="n"/>
      <c r="H1224" s="269" t="n"/>
      <c r="I1224" s="269" t="n"/>
      <c r="J1224" s="269" t="n"/>
      <c r="K1224" s="269" t="n"/>
      <c r="L1224" s="269" t="n"/>
      <c r="M1224" s="269" t="n"/>
      <c r="N1224" s="269" t="n"/>
      <c r="O1224" s="269" t="n"/>
      <c r="P1224" s="269" t="n"/>
      <c r="Q1224" s="269" t="n"/>
      <c r="R1224" s="269" t="n"/>
      <c r="S1224" s="269" t="n"/>
      <c r="T1224" s="269" t="n"/>
      <c r="U1224" s="269" t="n"/>
      <c r="V1224" s="269" t="n"/>
      <c r="W1224" s="270" t="n"/>
    </row>
    <row r="1225" customFormat="1" s="163">
      <c r="A1225" s="282" t="n"/>
      <c r="B1225" s="268" t="n"/>
      <c r="C1225" s="269" t="n"/>
      <c r="D1225" s="269" t="n"/>
      <c r="E1225" s="269" t="n"/>
      <c r="F1225" s="269" t="n"/>
      <c r="G1225" s="269" t="n"/>
      <c r="H1225" s="269" t="n"/>
      <c r="I1225" s="269" t="n"/>
      <c r="J1225" s="269" t="n"/>
      <c r="K1225" s="269" t="n"/>
      <c r="L1225" s="269" t="n"/>
      <c r="M1225" s="269" t="n"/>
      <c r="N1225" s="269" t="n"/>
      <c r="O1225" s="269" t="n"/>
      <c r="P1225" s="269" t="n"/>
      <c r="Q1225" s="269" t="n"/>
      <c r="R1225" s="269" t="n"/>
      <c r="S1225" s="269" t="n"/>
      <c r="T1225" s="269" t="n"/>
      <c r="U1225" s="269" t="n"/>
      <c r="V1225" s="269" t="n"/>
      <c r="W1225" s="270" t="n"/>
    </row>
    <row r="1226" customFormat="1" s="163">
      <c r="A1226" s="282" t="n"/>
      <c r="B1226" s="268" t="n"/>
      <c r="C1226" s="269" t="n"/>
      <c r="D1226" s="269" t="n"/>
      <c r="E1226" s="269" t="n"/>
      <c r="F1226" s="269" t="n"/>
      <c r="G1226" s="269" t="n"/>
      <c r="H1226" s="269" t="n"/>
      <c r="I1226" s="269" t="n"/>
      <c r="J1226" s="269" t="n"/>
      <c r="K1226" s="269" t="n"/>
      <c r="L1226" s="269" t="n"/>
      <c r="M1226" s="269" t="n"/>
      <c r="N1226" s="269" t="n"/>
      <c r="O1226" s="269" t="n"/>
      <c r="P1226" s="269" t="n"/>
      <c r="Q1226" s="269" t="n"/>
      <c r="R1226" s="269" t="n"/>
      <c r="S1226" s="269" t="n"/>
      <c r="T1226" s="269" t="n"/>
      <c r="U1226" s="269" t="n"/>
      <c r="V1226" s="269" t="n"/>
      <c r="W1226" s="270" t="n"/>
    </row>
    <row r="1227" customFormat="1" s="163">
      <c r="A1227" s="282" t="n"/>
      <c r="B1227" s="268" t="n"/>
      <c r="C1227" s="269" t="n"/>
      <c r="D1227" s="269" t="n"/>
      <c r="E1227" s="269" t="n"/>
      <c r="F1227" s="269" t="n"/>
      <c r="G1227" s="269" t="n"/>
      <c r="H1227" s="269" t="n"/>
      <c r="I1227" s="269" t="n"/>
      <c r="J1227" s="269" t="n"/>
      <c r="K1227" s="269" t="n"/>
      <c r="L1227" s="269" t="n"/>
      <c r="M1227" s="269" t="n"/>
      <c r="N1227" s="269" t="n"/>
      <c r="O1227" s="269" t="n"/>
      <c r="P1227" s="269" t="n"/>
      <c r="Q1227" s="269" t="n"/>
      <c r="R1227" s="269" t="n"/>
      <c r="S1227" s="269" t="n"/>
      <c r="T1227" s="269" t="n"/>
      <c r="U1227" s="269" t="n"/>
      <c r="V1227" s="269" t="n"/>
      <c r="W1227" s="270" t="n"/>
    </row>
    <row r="1228" customFormat="1" s="163">
      <c r="A1228" s="282" t="n"/>
      <c r="B1228" s="268" t="n"/>
      <c r="C1228" s="269" t="n"/>
      <c r="D1228" s="269" t="n"/>
      <c r="E1228" s="269" t="n"/>
      <c r="F1228" s="269" t="n"/>
      <c r="G1228" s="269" t="n"/>
      <c r="H1228" s="269" t="n"/>
      <c r="I1228" s="269" t="n"/>
      <c r="J1228" s="269" t="n"/>
      <c r="K1228" s="269" t="n"/>
      <c r="L1228" s="269" t="n"/>
      <c r="M1228" s="269" t="n"/>
      <c r="N1228" s="269" t="n"/>
      <c r="O1228" s="269" t="n"/>
      <c r="P1228" s="269" t="n"/>
      <c r="Q1228" s="269" t="n"/>
      <c r="R1228" s="269" t="n"/>
      <c r="S1228" s="269" t="n"/>
      <c r="T1228" s="269" t="n"/>
      <c r="U1228" s="269" t="n"/>
      <c r="V1228" s="269" t="n"/>
      <c r="W1228" s="270" t="n"/>
    </row>
    <row r="1229" customFormat="1" s="163">
      <c r="A1229" s="282" t="n"/>
      <c r="B1229" s="268" t="n"/>
      <c r="C1229" s="269" t="n"/>
      <c r="D1229" s="269" t="n"/>
      <c r="E1229" s="269" t="n"/>
      <c r="F1229" s="269" t="n"/>
      <c r="G1229" s="269" t="n"/>
      <c r="H1229" s="269" t="n"/>
      <c r="I1229" s="269" t="n"/>
      <c r="J1229" s="269" t="n"/>
      <c r="K1229" s="269" t="n"/>
      <c r="L1229" s="269" t="n"/>
      <c r="M1229" s="269" t="n"/>
      <c r="N1229" s="269" t="n"/>
      <c r="O1229" s="269" t="n"/>
      <c r="P1229" s="269" t="n"/>
      <c r="Q1229" s="269" t="n"/>
      <c r="R1229" s="269" t="n"/>
      <c r="S1229" s="269" t="n"/>
      <c r="T1229" s="269" t="n"/>
      <c r="U1229" s="269" t="n"/>
      <c r="V1229" s="269" t="n"/>
      <c r="W1229" s="270" t="n"/>
    </row>
    <row r="1230" customFormat="1" s="163">
      <c r="A1230" s="282" t="n"/>
      <c r="B1230" s="268" t="n"/>
      <c r="C1230" s="269" t="n"/>
      <c r="D1230" s="269" t="n"/>
      <c r="E1230" s="269" t="n"/>
      <c r="F1230" s="269" t="n"/>
      <c r="G1230" s="269" t="n"/>
      <c r="H1230" s="269" t="n"/>
      <c r="I1230" s="269" t="n"/>
      <c r="J1230" s="269" t="n"/>
      <c r="K1230" s="269" t="n"/>
      <c r="L1230" s="269" t="n"/>
      <c r="M1230" s="269" t="n"/>
      <c r="N1230" s="269" t="n"/>
      <c r="O1230" s="269" t="n"/>
      <c r="P1230" s="269" t="n"/>
      <c r="Q1230" s="269" t="n"/>
      <c r="R1230" s="269" t="n"/>
      <c r="S1230" s="269" t="n"/>
      <c r="T1230" s="269" t="n"/>
      <c r="U1230" s="269" t="n"/>
      <c r="V1230" s="269" t="n"/>
      <c r="W1230" s="270" t="n"/>
    </row>
    <row r="1231" customFormat="1" s="163">
      <c r="A1231" s="282" t="n"/>
      <c r="B1231" s="268" t="n"/>
      <c r="C1231" s="269" t="n"/>
      <c r="D1231" s="269" t="n"/>
      <c r="E1231" s="269" t="n"/>
      <c r="F1231" s="269" t="n"/>
      <c r="G1231" s="269" t="n"/>
      <c r="H1231" s="269" t="n"/>
      <c r="I1231" s="269" t="n"/>
      <c r="J1231" s="269" t="n"/>
      <c r="K1231" s="269" t="n"/>
      <c r="L1231" s="269" t="n"/>
      <c r="M1231" s="269" t="n"/>
      <c r="N1231" s="269" t="n"/>
      <c r="O1231" s="269" t="n"/>
      <c r="P1231" s="269" t="n"/>
      <c r="Q1231" s="269" t="n"/>
      <c r="R1231" s="269" t="n"/>
      <c r="S1231" s="269" t="n"/>
      <c r="T1231" s="269" t="n"/>
      <c r="U1231" s="269" t="n"/>
      <c r="V1231" s="269" t="n"/>
      <c r="W1231" s="270" t="n"/>
    </row>
    <row r="1232" customFormat="1" s="163">
      <c r="A1232" s="282" t="n"/>
      <c r="B1232" s="268" t="n"/>
      <c r="C1232" s="269" t="n"/>
      <c r="D1232" s="269" t="n"/>
      <c r="E1232" s="269" t="n"/>
      <c r="F1232" s="269" t="n"/>
      <c r="G1232" s="269" t="n"/>
      <c r="H1232" s="269" t="n"/>
      <c r="I1232" s="269" t="n"/>
      <c r="J1232" s="269" t="n"/>
      <c r="K1232" s="269" t="n"/>
      <c r="L1232" s="269" t="n"/>
      <c r="M1232" s="269" t="n"/>
      <c r="N1232" s="269" t="n"/>
      <c r="O1232" s="269" t="n"/>
      <c r="P1232" s="269" t="n"/>
      <c r="Q1232" s="269" t="n"/>
      <c r="R1232" s="269" t="n"/>
      <c r="S1232" s="269" t="n"/>
      <c r="T1232" s="269" t="n"/>
      <c r="U1232" s="269" t="n"/>
      <c r="V1232" s="269" t="n"/>
      <c r="W1232" s="270" t="n"/>
    </row>
    <row r="1233" customFormat="1" s="163">
      <c r="A1233" s="282" t="n"/>
      <c r="B1233" s="268" t="n"/>
      <c r="C1233" s="269" t="n"/>
      <c r="D1233" s="269" t="n"/>
      <c r="E1233" s="269" t="n"/>
      <c r="F1233" s="269" t="n"/>
      <c r="G1233" s="269" t="n"/>
      <c r="H1233" s="269" t="n"/>
      <c r="I1233" s="269" t="n"/>
      <c r="J1233" s="269" t="n"/>
      <c r="K1233" s="269" t="n"/>
      <c r="L1233" s="269" t="n"/>
      <c r="M1233" s="269" t="n"/>
      <c r="N1233" s="269" t="n"/>
      <c r="O1233" s="269" t="n"/>
      <c r="P1233" s="269" t="n"/>
      <c r="Q1233" s="269" t="n"/>
      <c r="R1233" s="269" t="n"/>
      <c r="S1233" s="269" t="n"/>
      <c r="T1233" s="269" t="n"/>
      <c r="U1233" s="269" t="n"/>
      <c r="V1233" s="269" t="n"/>
      <c r="W1233" s="270" t="n"/>
    </row>
    <row r="1234" customFormat="1" s="163">
      <c r="A1234" s="282" t="n"/>
      <c r="B1234" s="268" t="n"/>
      <c r="C1234" s="269" t="n"/>
      <c r="D1234" s="269" t="n"/>
      <c r="E1234" s="269" t="n"/>
      <c r="F1234" s="269" t="n"/>
      <c r="G1234" s="269" t="n"/>
      <c r="H1234" s="269" t="n"/>
      <c r="I1234" s="269" t="n"/>
      <c r="J1234" s="269" t="n"/>
      <c r="K1234" s="269" t="n"/>
      <c r="L1234" s="269" t="n"/>
      <c r="M1234" s="269" t="n"/>
      <c r="N1234" s="269" t="n"/>
      <c r="O1234" s="269" t="n"/>
      <c r="P1234" s="269" t="n"/>
      <c r="Q1234" s="269" t="n"/>
      <c r="R1234" s="269" t="n"/>
      <c r="S1234" s="269" t="n"/>
      <c r="T1234" s="269" t="n"/>
      <c r="U1234" s="269" t="n"/>
      <c r="V1234" s="269" t="n"/>
      <c r="W1234" s="270" t="n"/>
    </row>
    <row r="1235" customFormat="1" s="163">
      <c r="A1235" s="282" t="n"/>
      <c r="B1235" s="268" t="n"/>
      <c r="C1235" s="269" t="n"/>
      <c r="D1235" s="269" t="n"/>
      <c r="E1235" s="269" t="n"/>
      <c r="F1235" s="269" t="n"/>
      <c r="G1235" s="269" t="n"/>
      <c r="H1235" s="269" t="n"/>
      <c r="I1235" s="269" t="n"/>
      <c r="J1235" s="269" t="n"/>
      <c r="K1235" s="269" t="n"/>
      <c r="L1235" s="269" t="n"/>
      <c r="M1235" s="269" t="n"/>
      <c r="N1235" s="269" t="n"/>
      <c r="O1235" s="269" t="n"/>
      <c r="P1235" s="269" t="n"/>
      <c r="Q1235" s="269" t="n"/>
      <c r="R1235" s="269" t="n"/>
      <c r="S1235" s="269" t="n"/>
      <c r="T1235" s="269" t="n"/>
      <c r="U1235" s="269" t="n"/>
      <c r="V1235" s="269" t="n"/>
      <c r="W1235" s="270" t="n"/>
    </row>
    <row r="1236" customFormat="1" s="163">
      <c r="A1236" s="282" t="n"/>
      <c r="B1236" s="268" t="n"/>
      <c r="C1236" s="269" t="n"/>
      <c r="D1236" s="269" t="n"/>
      <c r="E1236" s="269" t="n"/>
      <c r="F1236" s="269" t="n"/>
      <c r="G1236" s="269" t="n"/>
      <c r="H1236" s="269" t="n"/>
      <c r="I1236" s="269" t="n"/>
      <c r="J1236" s="269" t="n"/>
      <c r="K1236" s="269" t="n"/>
      <c r="L1236" s="269" t="n"/>
      <c r="M1236" s="269" t="n"/>
      <c r="N1236" s="269" t="n"/>
      <c r="O1236" s="269" t="n"/>
      <c r="P1236" s="269" t="n"/>
      <c r="Q1236" s="269" t="n"/>
      <c r="R1236" s="269" t="n"/>
      <c r="S1236" s="269" t="n"/>
      <c r="T1236" s="269" t="n"/>
      <c r="U1236" s="269" t="n"/>
      <c r="V1236" s="269" t="n"/>
      <c r="W1236" s="270" t="n"/>
    </row>
    <row r="1237" customFormat="1" s="163">
      <c r="A1237" s="282" t="n"/>
      <c r="B1237" s="268" t="n"/>
      <c r="C1237" s="269" t="n"/>
      <c r="D1237" s="269" t="n"/>
      <c r="E1237" s="269" t="n"/>
      <c r="F1237" s="269" t="n"/>
      <c r="G1237" s="269" t="n"/>
      <c r="H1237" s="269" t="n"/>
      <c r="I1237" s="269" t="n"/>
      <c r="J1237" s="269" t="n"/>
      <c r="K1237" s="269" t="n"/>
      <c r="L1237" s="269" t="n"/>
      <c r="M1237" s="269" t="n"/>
      <c r="N1237" s="269" t="n"/>
      <c r="O1237" s="269" t="n"/>
      <c r="P1237" s="269" t="n"/>
      <c r="Q1237" s="269" t="n"/>
      <c r="R1237" s="269" t="n"/>
      <c r="S1237" s="269" t="n"/>
      <c r="T1237" s="269" t="n"/>
      <c r="U1237" s="269" t="n"/>
      <c r="V1237" s="269" t="n"/>
      <c r="W1237" s="270" t="n"/>
    </row>
    <row r="1238" customFormat="1" s="163">
      <c r="A1238" s="282" t="n"/>
      <c r="B1238" s="268" t="n"/>
      <c r="C1238" s="269" t="n"/>
      <c r="D1238" s="269" t="n"/>
      <c r="E1238" s="269" t="n"/>
      <c r="F1238" s="269" t="n"/>
      <c r="G1238" s="269" t="n"/>
      <c r="H1238" s="269" t="n"/>
      <c r="I1238" s="269" t="n"/>
      <c r="J1238" s="269" t="n"/>
      <c r="K1238" s="269" t="n"/>
      <c r="L1238" s="269" t="n"/>
      <c r="M1238" s="269" t="n"/>
      <c r="N1238" s="269" t="n"/>
      <c r="O1238" s="269" t="n"/>
      <c r="P1238" s="269" t="n"/>
      <c r="Q1238" s="269" t="n"/>
      <c r="R1238" s="269" t="n"/>
      <c r="S1238" s="269" t="n"/>
      <c r="T1238" s="269" t="n"/>
      <c r="U1238" s="269" t="n"/>
      <c r="V1238" s="269" t="n"/>
      <c r="W1238" s="270" t="n"/>
    </row>
    <row r="1239" customFormat="1" s="163">
      <c r="A1239" s="282" t="n"/>
      <c r="B1239" s="268" t="n"/>
      <c r="C1239" s="269" t="n"/>
      <c r="D1239" s="269" t="n"/>
      <c r="E1239" s="269" t="n"/>
      <c r="F1239" s="269" t="n"/>
      <c r="G1239" s="269" t="n"/>
      <c r="H1239" s="269" t="n"/>
      <c r="I1239" s="269" t="n"/>
      <c r="J1239" s="269" t="n"/>
      <c r="K1239" s="269" t="n"/>
      <c r="L1239" s="269" t="n"/>
      <c r="M1239" s="269" t="n"/>
      <c r="N1239" s="269" t="n"/>
      <c r="O1239" s="269" t="n"/>
      <c r="P1239" s="269" t="n"/>
      <c r="Q1239" s="269" t="n"/>
      <c r="R1239" s="269" t="n"/>
      <c r="S1239" s="269" t="n"/>
      <c r="T1239" s="269" t="n"/>
      <c r="U1239" s="269" t="n"/>
      <c r="V1239" s="269" t="n"/>
      <c r="W1239" s="270" t="n"/>
    </row>
    <row r="1240" customFormat="1" s="163">
      <c r="A1240" s="282" t="n"/>
      <c r="B1240" s="268" t="n"/>
      <c r="C1240" s="269" t="n"/>
      <c r="D1240" s="269" t="n"/>
      <c r="E1240" s="269" t="n"/>
      <c r="F1240" s="269" t="n"/>
      <c r="G1240" s="269" t="n"/>
      <c r="H1240" s="269" t="n"/>
      <c r="I1240" s="269" t="n"/>
      <c r="J1240" s="269" t="n"/>
      <c r="K1240" s="269" t="n"/>
      <c r="L1240" s="269" t="n"/>
      <c r="M1240" s="269" t="n"/>
      <c r="N1240" s="269" t="n"/>
      <c r="O1240" s="269" t="n"/>
      <c r="P1240" s="269" t="n"/>
      <c r="Q1240" s="269" t="n"/>
      <c r="R1240" s="269" t="n"/>
      <c r="S1240" s="269" t="n"/>
      <c r="T1240" s="269" t="n"/>
      <c r="U1240" s="269" t="n"/>
      <c r="V1240" s="269" t="n"/>
      <c r="W1240" s="270" t="n"/>
    </row>
    <row r="1241" customFormat="1" s="163">
      <c r="A1241" s="282" t="n"/>
      <c r="B1241" s="268" t="n"/>
      <c r="C1241" s="269" t="n"/>
      <c r="D1241" s="269" t="n"/>
      <c r="E1241" s="269" t="n"/>
      <c r="F1241" s="269" t="n"/>
      <c r="G1241" s="269" t="n"/>
      <c r="H1241" s="269" t="n"/>
      <c r="I1241" s="269" t="n"/>
      <c r="J1241" s="269" t="n"/>
      <c r="K1241" s="269" t="n"/>
      <c r="L1241" s="269" t="n"/>
      <c r="M1241" s="269" t="n"/>
      <c r="N1241" s="269" t="n"/>
      <c r="O1241" s="269" t="n"/>
      <c r="P1241" s="269" t="n"/>
      <c r="Q1241" s="269" t="n"/>
      <c r="R1241" s="269" t="n"/>
      <c r="S1241" s="269" t="n"/>
      <c r="T1241" s="269" t="n"/>
      <c r="U1241" s="269" t="n"/>
      <c r="V1241" s="269" t="n"/>
      <c r="W1241" s="270" t="n"/>
    </row>
    <row r="1242" customFormat="1" s="163">
      <c r="A1242" s="282" t="n"/>
      <c r="B1242" s="268" t="n"/>
      <c r="C1242" s="269" t="n"/>
      <c r="D1242" s="269" t="n"/>
      <c r="E1242" s="269" t="n"/>
      <c r="F1242" s="269" t="n"/>
      <c r="G1242" s="269" t="n"/>
      <c r="H1242" s="269" t="n"/>
      <c r="I1242" s="269" t="n"/>
      <c r="J1242" s="269" t="n"/>
      <c r="K1242" s="269" t="n"/>
      <c r="L1242" s="269" t="n"/>
      <c r="M1242" s="269" t="n"/>
      <c r="N1242" s="269" t="n"/>
      <c r="O1242" s="269" t="n"/>
      <c r="P1242" s="269" t="n"/>
      <c r="Q1242" s="269" t="n"/>
      <c r="R1242" s="269" t="n"/>
      <c r="S1242" s="269" t="n"/>
      <c r="T1242" s="269" t="n"/>
      <c r="U1242" s="269" t="n"/>
      <c r="V1242" s="269" t="n"/>
      <c r="W1242" s="270" t="n"/>
    </row>
    <row r="1243" customFormat="1" s="163">
      <c r="A1243" s="282" t="n"/>
      <c r="B1243" s="268" t="n"/>
      <c r="C1243" s="269" t="n"/>
      <c r="D1243" s="269" t="n"/>
      <c r="E1243" s="269" t="n"/>
      <c r="F1243" s="269" t="n"/>
      <c r="G1243" s="269" t="n"/>
      <c r="H1243" s="269" t="n"/>
      <c r="I1243" s="269" t="n"/>
      <c r="J1243" s="269" t="n"/>
      <c r="K1243" s="269" t="n"/>
      <c r="L1243" s="269" t="n"/>
      <c r="M1243" s="269" t="n"/>
      <c r="N1243" s="269" t="n"/>
      <c r="O1243" s="269" t="n"/>
      <c r="P1243" s="269" t="n"/>
      <c r="Q1243" s="269" t="n"/>
      <c r="R1243" s="269" t="n"/>
      <c r="S1243" s="269" t="n"/>
      <c r="T1243" s="269" t="n"/>
      <c r="U1243" s="269" t="n"/>
      <c r="V1243" s="269" t="n"/>
      <c r="W1243" s="270" t="n"/>
    </row>
    <row r="1244" customFormat="1" s="163">
      <c r="A1244" s="282" t="n"/>
      <c r="B1244" s="268" t="n"/>
      <c r="C1244" s="269" t="n"/>
      <c r="D1244" s="269" t="n"/>
      <c r="E1244" s="269" t="n"/>
      <c r="F1244" s="269" t="n"/>
      <c r="G1244" s="269" t="n"/>
      <c r="H1244" s="269" t="n"/>
      <c r="I1244" s="269" t="n"/>
      <c r="J1244" s="269" t="n"/>
      <c r="K1244" s="269" t="n"/>
      <c r="L1244" s="269" t="n"/>
      <c r="M1244" s="269" t="n"/>
      <c r="N1244" s="269" t="n"/>
      <c r="O1244" s="269" t="n"/>
      <c r="P1244" s="269" t="n"/>
      <c r="Q1244" s="269" t="n"/>
      <c r="R1244" s="269" t="n"/>
      <c r="S1244" s="269" t="n"/>
      <c r="T1244" s="269" t="n"/>
      <c r="U1244" s="269" t="n"/>
      <c r="V1244" s="269" t="n"/>
      <c r="W1244" s="270" t="n"/>
    </row>
    <row r="1245" customFormat="1" s="163">
      <c r="A1245" s="282" t="n"/>
      <c r="B1245" s="268" t="n"/>
      <c r="C1245" s="269" t="n"/>
      <c r="D1245" s="269" t="n"/>
      <c r="E1245" s="269" t="n"/>
      <c r="F1245" s="269" t="n"/>
      <c r="G1245" s="269" t="n"/>
      <c r="H1245" s="269" t="n"/>
      <c r="I1245" s="269" t="n"/>
      <c r="J1245" s="269" t="n"/>
      <c r="K1245" s="269" t="n"/>
      <c r="L1245" s="269" t="n"/>
      <c r="M1245" s="269" t="n"/>
      <c r="N1245" s="269" t="n"/>
      <c r="O1245" s="269" t="n"/>
      <c r="P1245" s="269" t="n"/>
      <c r="Q1245" s="269" t="n"/>
      <c r="R1245" s="269" t="n"/>
      <c r="S1245" s="269" t="n"/>
      <c r="T1245" s="269" t="n"/>
      <c r="U1245" s="269" t="n"/>
      <c r="V1245" s="269" t="n"/>
      <c r="W1245" s="270" t="n"/>
    </row>
    <row r="1246" customFormat="1" s="163">
      <c r="A1246" s="282" t="n"/>
      <c r="B1246" s="268" t="n"/>
      <c r="C1246" s="269" t="n"/>
      <c r="D1246" s="269" t="n"/>
      <c r="E1246" s="269" t="n"/>
      <c r="F1246" s="269" t="n"/>
      <c r="G1246" s="269" t="n"/>
      <c r="H1246" s="269" t="n"/>
      <c r="I1246" s="269" t="n"/>
      <c r="J1246" s="269" t="n"/>
      <c r="K1246" s="269" t="n"/>
      <c r="L1246" s="269" t="n"/>
      <c r="M1246" s="269" t="n"/>
      <c r="N1246" s="269" t="n"/>
      <c r="O1246" s="269" t="n"/>
      <c r="P1246" s="269" t="n"/>
      <c r="Q1246" s="269" t="n"/>
      <c r="R1246" s="269" t="n"/>
      <c r="S1246" s="269" t="n"/>
      <c r="T1246" s="269" t="n"/>
      <c r="U1246" s="269" t="n"/>
      <c r="V1246" s="269" t="n"/>
      <c r="W1246" s="270" t="n"/>
    </row>
    <row r="1247" customFormat="1" s="163">
      <c r="A1247" s="282" t="n"/>
      <c r="B1247" s="268" t="n"/>
      <c r="C1247" s="269" t="n"/>
      <c r="D1247" s="269" t="n"/>
      <c r="E1247" s="269" t="n"/>
      <c r="F1247" s="269" t="n"/>
      <c r="G1247" s="269" t="n"/>
      <c r="H1247" s="269" t="n"/>
      <c r="I1247" s="269" t="n"/>
      <c r="J1247" s="269" t="n"/>
      <c r="K1247" s="269" t="n"/>
      <c r="L1247" s="269" t="n"/>
      <c r="M1247" s="269" t="n"/>
      <c r="N1247" s="269" t="n"/>
      <c r="O1247" s="269" t="n"/>
      <c r="P1247" s="269" t="n"/>
      <c r="Q1247" s="269" t="n"/>
      <c r="R1247" s="269" t="n"/>
      <c r="S1247" s="269" t="n"/>
      <c r="T1247" s="269" t="n"/>
      <c r="U1247" s="269" t="n"/>
      <c r="V1247" s="269" t="n"/>
      <c r="W1247" s="270" t="n"/>
    </row>
    <row r="1248" customFormat="1" s="163">
      <c r="A1248" s="282" t="n"/>
      <c r="B1248" s="268" t="n"/>
      <c r="C1248" s="269" t="n"/>
      <c r="D1248" s="269" t="n"/>
      <c r="E1248" s="269" t="n"/>
      <c r="F1248" s="269" t="n"/>
      <c r="G1248" s="269" t="n"/>
      <c r="H1248" s="269" t="n"/>
      <c r="I1248" s="269" t="n"/>
      <c r="J1248" s="269" t="n"/>
      <c r="K1248" s="269" t="n"/>
      <c r="L1248" s="269" t="n"/>
      <c r="M1248" s="269" t="n"/>
      <c r="N1248" s="269" t="n"/>
      <c r="O1248" s="269" t="n"/>
      <c r="P1248" s="269" t="n"/>
      <c r="Q1248" s="269" t="n"/>
      <c r="R1248" s="269" t="n"/>
      <c r="S1248" s="269" t="n"/>
      <c r="T1248" s="269" t="n"/>
      <c r="U1248" s="269" t="n"/>
      <c r="V1248" s="269" t="n"/>
      <c r="W1248" s="270" t="n"/>
    </row>
    <row r="1249" customFormat="1" s="163">
      <c r="A1249" s="282" t="n"/>
      <c r="B1249" s="268" t="n"/>
      <c r="C1249" s="269" t="n"/>
      <c r="D1249" s="269" t="n"/>
      <c r="E1249" s="269" t="n"/>
      <c r="F1249" s="269" t="n"/>
      <c r="G1249" s="269" t="n"/>
      <c r="H1249" s="269" t="n"/>
      <c r="I1249" s="269" t="n"/>
      <c r="J1249" s="269" t="n"/>
      <c r="K1249" s="269" t="n"/>
      <c r="L1249" s="269" t="n"/>
      <c r="M1249" s="269" t="n"/>
      <c r="N1249" s="269" t="n"/>
      <c r="O1249" s="269" t="n"/>
      <c r="P1249" s="269" t="n"/>
      <c r="Q1249" s="269" t="n"/>
      <c r="R1249" s="269" t="n"/>
      <c r="S1249" s="269" t="n"/>
      <c r="T1249" s="269" t="n"/>
      <c r="U1249" s="269" t="n"/>
      <c r="V1249" s="269" t="n"/>
      <c r="W1249" s="270" t="n"/>
    </row>
    <row r="1250" customFormat="1" s="163">
      <c r="A1250" s="282" t="n"/>
      <c r="B1250" s="268" t="n"/>
      <c r="C1250" s="269" t="n"/>
      <c r="D1250" s="269" t="n"/>
      <c r="E1250" s="269" t="n"/>
      <c r="F1250" s="269" t="n"/>
      <c r="G1250" s="269" t="n"/>
      <c r="H1250" s="269" t="n"/>
      <c r="I1250" s="269" t="n"/>
      <c r="J1250" s="269" t="n"/>
      <c r="K1250" s="269" t="n"/>
      <c r="L1250" s="269" t="n"/>
      <c r="M1250" s="269" t="n"/>
      <c r="N1250" s="269" t="n"/>
      <c r="O1250" s="269" t="n"/>
      <c r="P1250" s="269" t="n"/>
      <c r="Q1250" s="269" t="n"/>
      <c r="R1250" s="269" t="n"/>
      <c r="S1250" s="269" t="n"/>
      <c r="T1250" s="269" t="n"/>
      <c r="U1250" s="269" t="n"/>
      <c r="V1250" s="269" t="n"/>
      <c r="W1250" s="270" t="n"/>
    </row>
    <row r="1251" customFormat="1" s="163">
      <c r="A1251" s="282" t="n"/>
      <c r="B1251" s="268" t="n"/>
      <c r="C1251" s="269" t="n"/>
      <c r="D1251" s="269" t="n"/>
      <c r="E1251" s="269" t="n"/>
      <c r="F1251" s="269" t="n"/>
      <c r="G1251" s="269" t="n"/>
      <c r="H1251" s="269" t="n"/>
      <c r="I1251" s="269" t="n"/>
      <c r="J1251" s="269" t="n"/>
      <c r="K1251" s="269" t="n"/>
      <c r="L1251" s="269" t="n"/>
      <c r="M1251" s="269" t="n"/>
      <c r="N1251" s="269" t="n"/>
      <c r="O1251" s="269" t="n"/>
      <c r="P1251" s="269" t="n"/>
      <c r="Q1251" s="269" t="n"/>
      <c r="R1251" s="269" t="n"/>
      <c r="S1251" s="269" t="n"/>
      <c r="T1251" s="269" t="n"/>
      <c r="U1251" s="269" t="n"/>
      <c r="V1251" s="269" t="n"/>
      <c r="W1251" s="270" t="n"/>
    </row>
    <row r="1252" customFormat="1" s="163">
      <c r="A1252" s="282" t="n"/>
      <c r="B1252" s="268" t="n"/>
      <c r="C1252" s="269" t="n"/>
      <c r="D1252" s="269" t="n"/>
      <c r="E1252" s="269" t="n"/>
      <c r="F1252" s="269" t="n"/>
      <c r="G1252" s="269" t="n"/>
      <c r="H1252" s="269" t="n"/>
      <c r="I1252" s="269" t="n"/>
      <c r="J1252" s="269" t="n"/>
      <c r="K1252" s="269" t="n"/>
      <c r="L1252" s="269" t="n"/>
      <c r="M1252" s="269" t="n"/>
      <c r="N1252" s="269" t="n"/>
      <c r="O1252" s="269" t="n"/>
      <c r="P1252" s="269" t="n"/>
      <c r="Q1252" s="269" t="n"/>
      <c r="R1252" s="269" t="n"/>
      <c r="S1252" s="269" t="n"/>
      <c r="T1252" s="269" t="n"/>
      <c r="U1252" s="269" t="n"/>
      <c r="V1252" s="269" t="n"/>
      <c r="W1252" s="270" t="n"/>
    </row>
    <row r="1253" customFormat="1" s="163">
      <c r="A1253" s="282" t="n"/>
      <c r="B1253" s="268" t="n"/>
      <c r="C1253" s="269" t="n"/>
      <c r="D1253" s="269" t="n"/>
      <c r="E1253" s="269" t="n"/>
      <c r="F1253" s="269" t="n"/>
      <c r="G1253" s="269" t="n"/>
      <c r="H1253" s="269" t="n"/>
      <c r="I1253" s="269" t="n"/>
      <c r="J1253" s="269" t="n"/>
      <c r="K1253" s="269" t="n"/>
      <c r="L1253" s="269" t="n"/>
      <c r="M1253" s="269" t="n"/>
      <c r="N1253" s="269" t="n"/>
      <c r="O1253" s="269" t="n"/>
      <c r="P1253" s="269" t="n"/>
      <c r="Q1253" s="269" t="n"/>
      <c r="R1253" s="269" t="n"/>
      <c r="S1253" s="269" t="n"/>
      <c r="T1253" s="269" t="n"/>
      <c r="U1253" s="269" t="n"/>
      <c r="V1253" s="269" t="n"/>
      <c r="W1253" s="270" t="n"/>
    </row>
    <row r="1254" customFormat="1" s="163">
      <c r="A1254" s="282" t="n"/>
      <c r="B1254" s="268" t="n"/>
      <c r="C1254" s="269" t="n"/>
      <c r="D1254" s="269" t="n"/>
      <c r="E1254" s="269" t="n"/>
      <c r="F1254" s="269" t="n"/>
      <c r="G1254" s="269" t="n"/>
      <c r="H1254" s="269" t="n"/>
      <c r="I1254" s="269" t="n"/>
      <c r="J1254" s="269" t="n"/>
      <c r="K1254" s="269" t="n"/>
      <c r="L1254" s="269" t="n"/>
      <c r="M1254" s="269" t="n"/>
      <c r="N1254" s="269" t="n"/>
      <c r="O1254" s="269" t="n"/>
      <c r="P1254" s="269" t="n"/>
      <c r="Q1254" s="269" t="n"/>
      <c r="R1254" s="269" t="n"/>
      <c r="S1254" s="269" t="n"/>
      <c r="T1254" s="269" t="n"/>
      <c r="U1254" s="269" t="n"/>
      <c r="V1254" s="269" t="n"/>
      <c r="W1254" s="270" t="n"/>
    </row>
    <row r="1255" customFormat="1" s="163">
      <c r="A1255" s="282" t="n"/>
      <c r="B1255" s="268" t="n"/>
      <c r="C1255" s="269" t="n"/>
      <c r="D1255" s="269" t="n"/>
      <c r="E1255" s="269" t="n"/>
      <c r="F1255" s="269" t="n"/>
      <c r="G1255" s="269" t="n"/>
      <c r="H1255" s="269" t="n"/>
      <c r="I1255" s="269" t="n"/>
      <c r="J1255" s="269" t="n"/>
      <c r="K1255" s="269" t="n"/>
      <c r="L1255" s="269" t="n"/>
      <c r="M1255" s="269" t="n"/>
      <c r="N1255" s="269" t="n"/>
      <c r="O1255" s="269" t="n"/>
      <c r="P1255" s="269" t="n"/>
      <c r="Q1255" s="269" t="n"/>
      <c r="R1255" s="269" t="n"/>
      <c r="S1255" s="269" t="n"/>
      <c r="T1255" s="269" t="n"/>
      <c r="U1255" s="269" t="n"/>
      <c r="V1255" s="269" t="n"/>
      <c r="W1255" s="270" t="n"/>
    </row>
    <row r="1256" customFormat="1" s="163">
      <c r="A1256" s="282" t="n"/>
      <c r="B1256" s="268" t="n"/>
      <c r="C1256" s="269" t="n"/>
      <c r="D1256" s="269" t="n"/>
      <c r="E1256" s="269" t="n"/>
      <c r="F1256" s="269" t="n"/>
      <c r="G1256" s="269" t="n"/>
      <c r="H1256" s="269" t="n"/>
      <c r="I1256" s="269" t="n"/>
      <c r="J1256" s="269" t="n"/>
      <c r="K1256" s="269" t="n"/>
      <c r="L1256" s="269" t="n"/>
      <c r="M1256" s="269" t="n"/>
      <c r="N1256" s="269" t="n"/>
      <c r="O1256" s="269" t="n"/>
      <c r="P1256" s="269" t="n"/>
      <c r="Q1256" s="269" t="n"/>
      <c r="R1256" s="269" t="n"/>
      <c r="S1256" s="269" t="n"/>
      <c r="T1256" s="269" t="n"/>
      <c r="U1256" s="269" t="n"/>
      <c r="V1256" s="269" t="n"/>
      <c r="W1256" s="270" t="n"/>
    </row>
    <row r="1257" customFormat="1" s="163">
      <c r="A1257" s="282" t="n"/>
      <c r="B1257" s="268" t="n"/>
      <c r="C1257" s="269" t="n"/>
      <c r="D1257" s="269" t="n"/>
      <c r="E1257" s="269" t="n"/>
      <c r="F1257" s="269" t="n"/>
      <c r="G1257" s="269" t="n"/>
      <c r="H1257" s="269" t="n"/>
      <c r="I1257" s="269" t="n"/>
      <c r="J1257" s="269" t="n"/>
      <c r="K1257" s="269" t="n"/>
      <c r="L1257" s="269" t="n"/>
      <c r="M1257" s="269" t="n"/>
      <c r="N1257" s="269" t="n"/>
      <c r="O1257" s="269" t="n"/>
      <c r="P1257" s="269" t="n"/>
      <c r="Q1257" s="269" t="n"/>
      <c r="R1257" s="269" t="n"/>
      <c r="S1257" s="269" t="n"/>
      <c r="T1257" s="269" t="n"/>
      <c r="U1257" s="269" t="n"/>
      <c r="V1257" s="269" t="n"/>
      <c r="W1257" s="270" t="n"/>
    </row>
    <row r="1258" customFormat="1" s="163">
      <c r="A1258" s="282" t="n"/>
      <c r="B1258" s="268" t="n"/>
      <c r="C1258" s="269" t="n"/>
      <c r="D1258" s="269" t="n"/>
      <c r="E1258" s="269" t="n"/>
      <c r="F1258" s="269" t="n"/>
      <c r="G1258" s="269" t="n"/>
      <c r="H1258" s="269" t="n"/>
      <c r="I1258" s="269" t="n"/>
      <c r="J1258" s="269" t="n"/>
      <c r="K1258" s="269" t="n"/>
      <c r="L1258" s="269" t="n"/>
      <c r="M1258" s="269" t="n"/>
      <c r="N1258" s="269" t="n"/>
      <c r="O1258" s="269" t="n"/>
      <c r="P1258" s="269" t="n"/>
      <c r="Q1258" s="269" t="n"/>
      <c r="R1258" s="269" t="n"/>
      <c r="S1258" s="269" t="n"/>
      <c r="T1258" s="269" t="n"/>
      <c r="U1258" s="269" t="n"/>
      <c r="V1258" s="269" t="n"/>
      <c r="W1258" s="270" t="n"/>
    </row>
    <row r="1259" customFormat="1" s="163">
      <c r="A1259" s="282" t="n"/>
      <c r="B1259" s="268" t="n"/>
      <c r="C1259" s="269" t="n"/>
      <c r="D1259" s="269" t="n"/>
      <c r="E1259" s="269" t="n"/>
      <c r="F1259" s="269" t="n"/>
      <c r="G1259" s="269" t="n"/>
      <c r="H1259" s="269" t="n"/>
      <c r="I1259" s="269" t="n"/>
      <c r="J1259" s="269" t="n"/>
      <c r="K1259" s="269" t="n"/>
      <c r="L1259" s="269" t="n"/>
      <c r="M1259" s="269" t="n"/>
      <c r="N1259" s="269" t="n"/>
      <c r="O1259" s="269" t="n"/>
      <c r="P1259" s="269" t="n"/>
      <c r="Q1259" s="269" t="n"/>
      <c r="R1259" s="269" t="n"/>
      <c r="S1259" s="269" t="n"/>
      <c r="T1259" s="269" t="n"/>
      <c r="U1259" s="269" t="n"/>
      <c r="V1259" s="269" t="n"/>
      <c r="W1259" s="270" t="n"/>
    </row>
    <row r="1260" customFormat="1" s="163">
      <c r="A1260" s="282" t="n"/>
      <c r="B1260" s="268" t="n"/>
      <c r="C1260" s="269" t="n"/>
      <c r="D1260" s="269" t="n"/>
      <c r="E1260" s="269" t="n"/>
      <c r="F1260" s="269" t="n"/>
      <c r="G1260" s="269" t="n"/>
      <c r="H1260" s="269" t="n"/>
      <c r="I1260" s="269" t="n"/>
      <c r="J1260" s="269" t="n"/>
      <c r="K1260" s="269" t="n"/>
      <c r="L1260" s="269" t="n"/>
      <c r="M1260" s="269" t="n"/>
      <c r="N1260" s="269" t="n"/>
      <c r="O1260" s="269" t="n"/>
      <c r="P1260" s="269" t="n"/>
      <c r="Q1260" s="269" t="n"/>
      <c r="R1260" s="269" t="n"/>
      <c r="S1260" s="269" t="n"/>
      <c r="T1260" s="269" t="n"/>
      <c r="U1260" s="269" t="n"/>
      <c r="V1260" s="269" t="n"/>
      <c r="W1260" s="270" t="n"/>
    </row>
    <row r="1261" customFormat="1" s="163">
      <c r="A1261" s="282" t="n"/>
      <c r="B1261" s="268" t="n"/>
      <c r="C1261" s="269" t="n"/>
      <c r="D1261" s="269" t="n"/>
      <c r="E1261" s="269" t="n"/>
      <c r="F1261" s="269" t="n"/>
      <c r="G1261" s="269" t="n"/>
      <c r="H1261" s="269" t="n"/>
      <c r="I1261" s="269" t="n"/>
      <c r="J1261" s="269" t="n"/>
      <c r="K1261" s="269" t="n"/>
      <c r="L1261" s="269" t="n"/>
      <c r="M1261" s="269" t="n"/>
      <c r="N1261" s="269" t="n"/>
      <c r="O1261" s="269" t="n"/>
      <c r="P1261" s="269" t="n"/>
      <c r="Q1261" s="269" t="n"/>
      <c r="R1261" s="269" t="n"/>
      <c r="S1261" s="269" t="n"/>
      <c r="T1261" s="269" t="n"/>
      <c r="U1261" s="269" t="n"/>
      <c r="V1261" s="269" t="n"/>
      <c r="W1261" s="270" t="n"/>
    </row>
    <row r="1262" customFormat="1" s="163">
      <c r="A1262" s="282" t="n"/>
      <c r="B1262" s="268" t="n"/>
      <c r="C1262" s="269" t="n"/>
      <c r="D1262" s="269" t="n"/>
      <c r="E1262" s="269" t="n"/>
      <c r="F1262" s="269" t="n"/>
      <c r="G1262" s="269" t="n"/>
      <c r="H1262" s="269" t="n"/>
      <c r="I1262" s="269" t="n"/>
      <c r="J1262" s="269" t="n"/>
      <c r="K1262" s="269" t="n"/>
      <c r="L1262" s="269" t="n"/>
      <c r="M1262" s="269" t="n"/>
      <c r="N1262" s="269" t="n"/>
      <c r="O1262" s="269" t="n"/>
      <c r="P1262" s="269" t="n"/>
      <c r="Q1262" s="269" t="n"/>
      <c r="R1262" s="269" t="n"/>
      <c r="S1262" s="269" t="n"/>
      <c r="T1262" s="269" t="n"/>
      <c r="U1262" s="269" t="n"/>
      <c r="V1262" s="269" t="n"/>
      <c r="W1262" s="270" t="n"/>
    </row>
    <row r="1263" customFormat="1" s="163">
      <c r="A1263" s="282" t="n"/>
      <c r="B1263" s="268" t="n"/>
      <c r="C1263" s="269" t="n"/>
      <c r="D1263" s="269" t="n"/>
      <c r="E1263" s="269" t="n"/>
      <c r="F1263" s="269" t="n"/>
      <c r="G1263" s="269" t="n"/>
      <c r="H1263" s="269" t="n"/>
      <c r="I1263" s="269" t="n"/>
      <c r="J1263" s="269" t="n"/>
      <c r="K1263" s="269" t="n"/>
      <c r="L1263" s="269" t="n"/>
      <c r="M1263" s="269" t="n"/>
      <c r="N1263" s="269" t="n"/>
      <c r="O1263" s="269" t="n"/>
      <c r="P1263" s="269" t="n"/>
      <c r="Q1263" s="269" t="n"/>
      <c r="R1263" s="269" t="n"/>
      <c r="S1263" s="269" t="n"/>
      <c r="T1263" s="269" t="n"/>
      <c r="U1263" s="269" t="n"/>
      <c r="V1263" s="269" t="n"/>
      <c r="W1263" s="270" t="n"/>
    </row>
    <row r="1264" customFormat="1" s="163">
      <c r="A1264" s="282" t="n"/>
      <c r="B1264" s="268" t="n"/>
      <c r="C1264" s="269" t="n"/>
      <c r="D1264" s="269" t="n"/>
      <c r="E1264" s="269" t="n"/>
      <c r="F1264" s="269" t="n"/>
      <c r="G1264" s="269" t="n"/>
      <c r="H1264" s="269" t="n"/>
      <c r="I1264" s="269" t="n"/>
      <c r="J1264" s="269" t="n"/>
      <c r="K1264" s="269" t="n"/>
      <c r="L1264" s="269" t="n"/>
      <c r="M1264" s="269" t="n"/>
      <c r="N1264" s="269" t="n"/>
      <c r="O1264" s="269" t="n"/>
      <c r="P1264" s="269" t="n"/>
      <c r="Q1264" s="269" t="n"/>
      <c r="R1264" s="269" t="n"/>
      <c r="S1264" s="269" t="n"/>
      <c r="T1264" s="269" t="n"/>
      <c r="U1264" s="269" t="n"/>
      <c r="V1264" s="269" t="n"/>
      <c r="W1264" s="270" t="n"/>
    </row>
    <row r="1265" customFormat="1" s="163">
      <c r="A1265" s="282" t="n"/>
      <c r="B1265" s="268" t="n"/>
      <c r="C1265" s="269" t="n"/>
      <c r="D1265" s="269" t="n"/>
      <c r="E1265" s="269" t="n"/>
      <c r="F1265" s="269" t="n"/>
      <c r="G1265" s="269" t="n"/>
      <c r="H1265" s="269" t="n"/>
      <c r="I1265" s="269" t="n"/>
      <c r="J1265" s="269" t="n"/>
      <c r="K1265" s="269" t="n"/>
      <c r="L1265" s="269" t="n"/>
      <c r="M1265" s="269" t="n"/>
      <c r="N1265" s="269" t="n"/>
      <c r="O1265" s="269" t="n"/>
      <c r="P1265" s="269" t="n"/>
      <c r="Q1265" s="269" t="n"/>
      <c r="R1265" s="269" t="n"/>
      <c r="S1265" s="269" t="n"/>
      <c r="T1265" s="269" t="n"/>
      <c r="U1265" s="269" t="n"/>
      <c r="V1265" s="269" t="n"/>
      <c r="W1265" s="270" t="n"/>
    </row>
    <row r="1266" customFormat="1" s="163">
      <c r="A1266" s="282" t="n"/>
      <c r="B1266" s="268" t="n"/>
      <c r="C1266" s="269" t="n"/>
      <c r="D1266" s="269" t="n"/>
      <c r="E1266" s="269" t="n"/>
      <c r="F1266" s="269" t="n"/>
      <c r="G1266" s="269" t="n"/>
      <c r="H1266" s="269" t="n"/>
      <c r="I1266" s="269" t="n"/>
      <c r="J1266" s="269" t="n"/>
      <c r="K1266" s="269" t="n"/>
      <c r="L1266" s="269" t="n"/>
      <c r="M1266" s="269" t="n"/>
      <c r="N1266" s="269" t="n"/>
      <c r="O1266" s="269" t="n"/>
      <c r="P1266" s="269" t="n"/>
      <c r="Q1266" s="269" t="n"/>
      <c r="R1266" s="269" t="n"/>
      <c r="S1266" s="269" t="n"/>
      <c r="T1266" s="269" t="n"/>
      <c r="U1266" s="269" t="n"/>
      <c r="V1266" s="269" t="n"/>
      <c r="W1266" s="270" t="n"/>
    </row>
    <row r="1267" customFormat="1" s="163">
      <c r="A1267" s="282" t="n"/>
      <c r="B1267" s="268" t="n"/>
      <c r="C1267" s="269" t="n"/>
      <c r="D1267" s="269" t="n"/>
      <c r="E1267" s="269" t="n"/>
      <c r="F1267" s="269" t="n"/>
      <c r="G1267" s="269" t="n"/>
      <c r="H1267" s="269" t="n"/>
      <c r="I1267" s="269" t="n"/>
      <c r="J1267" s="269" t="n"/>
      <c r="K1267" s="269" t="n"/>
      <c r="L1267" s="269" t="n"/>
      <c r="M1267" s="269" t="n"/>
      <c r="N1267" s="269" t="n"/>
      <c r="O1267" s="269" t="n"/>
      <c r="P1267" s="269" t="n"/>
      <c r="Q1267" s="269" t="n"/>
      <c r="R1267" s="269" t="n"/>
      <c r="S1267" s="269" t="n"/>
      <c r="T1267" s="269" t="n"/>
      <c r="U1267" s="269" t="n"/>
      <c r="V1267" s="269" t="n"/>
      <c r="W1267" s="270" t="n"/>
    </row>
    <row r="1268" customFormat="1" s="163">
      <c r="A1268" s="282" t="n"/>
      <c r="B1268" s="268" t="n"/>
      <c r="C1268" s="269" t="n"/>
      <c r="D1268" s="269" t="n"/>
      <c r="E1268" s="269" t="n"/>
      <c r="F1268" s="269" t="n"/>
      <c r="G1268" s="269" t="n"/>
      <c r="H1268" s="269" t="n"/>
      <c r="I1268" s="269" t="n"/>
      <c r="J1268" s="269" t="n"/>
      <c r="K1268" s="269" t="n"/>
      <c r="L1268" s="269" t="n"/>
      <c r="M1268" s="269" t="n"/>
      <c r="N1268" s="269" t="n"/>
      <c r="O1268" s="269" t="n"/>
      <c r="P1268" s="269" t="n"/>
      <c r="Q1268" s="269" t="n"/>
      <c r="R1268" s="269" t="n"/>
      <c r="S1268" s="269" t="n"/>
      <c r="T1268" s="269" t="n"/>
      <c r="U1268" s="269" t="n"/>
      <c r="V1268" s="269" t="n"/>
      <c r="W1268" s="270" t="n"/>
    </row>
    <row r="1269" customFormat="1" s="163">
      <c r="A1269" s="282" t="n"/>
      <c r="B1269" s="268" t="n"/>
      <c r="C1269" s="269" t="n"/>
      <c r="D1269" s="269" t="n"/>
      <c r="E1269" s="269" t="n"/>
      <c r="F1269" s="269" t="n"/>
      <c r="G1269" s="269" t="n"/>
      <c r="H1269" s="269" t="n"/>
      <c r="I1269" s="269" t="n"/>
      <c r="J1269" s="269" t="n"/>
      <c r="K1269" s="269" t="n"/>
      <c r="L1269" s="269" t="n"/>
      <c r="M1269" s="269" t="n"/>
      <c r="N1269" s="269" t="n"/>
      <c r="O1269" s="269" t="n"/>
      <c r="P1269" s="269" t="n"/>
      <c r="Q1269" s="269" t="n"/>
      <c r="R1269" s="269" t="n"/>
      <c r="S1269" s="269" t="n"/>
      <c r="T1269" s="269" t="n"/>
      <c r="U1269" s="269" t="n"/>
      <c r="V1269" s="269" t="n"/>
      <c r="W1269" s="270" t="n"/>
    </row>
    <row r="1270" customFormat="1" s="163">
      <c r="A1270" s="282" t="n"/>
      <c r="B1270" s="268" t="n"/>
      <c r="C1270" s="269" t="n"/>
      <c r="D1270" s="269" t="n"/>
      <c r="E1270" s="269" t="n"/>
      <c r="F1270" s="269" t="n"/>
      <c r="G1270" s="269" t="n"/>
      <c r="H1270" s="269" t="n"/>
      <c r="I1270" s="269" t="n"/>
      <c r="J1270" s="269" t="n"/>
      <c r="K1270" s="269" t="n"/>
      <c r="L1270" s="269" t="n"/>
      <c r="M1270" s="269" t="n"/>
      <c r="N1270" s="269" t="n"/>
      <c r="O1270" s="269" t="n"/>
      <c r="P1270" s="269" t="n"/>
      <c r="Q1270" s="269" t="n"/>
      <c r="R1270" s="269" t="n"/>
      <c r="S1270" s="269" t="n"/>
      <c r="T1270" s="269" t="n"/>
      <c r="U1270" s="269" t="n"/>
      <c r="V1270" s="269" t="n"/>
      <c r="W1270" s="270" t="n"/>
    </row>
    <row r="1271" customFormat="1" s="163">
      <c r="A1271" s="282" t="n"/>
      <c r="B1271" s="268" t="n"/>
      <c r="C1271" s="269" t="n"/>
      <c r="D1271" s="269" t="n"/>
      <c r="E1271" s="269" t="n"/>
      <c r="F1271" s="269" t="n"/>
      <c r="G1271" s="269" t="n"/>
      <c r="H1271" s="269" t="n"/>
      <c r="I1271" s="269" t="n"/>
      <c r="J1271" s="269" t="n"/>
      <c r="K1271" s="269" t="n"/>
      <c r="L1271" s="269" t="n"/>
      <c r="M1271" s="269" t="n"/>
      <c r="N1271" s="269" t="n"/>
      <c r="O1271" s="269" t="n"/>
      <c r="P1271" s="269" t="n"/>
      <c r="Q1271" s="269" t="n"/>
      <c r="R1271" s="269" t="n"/>
      <c r="S1271" s="269" t="n"/>
      <c r="T1271" s="269" t="n"/>
      <c r="U1271" s="269" t="n"/>
      <c r="V1271" s="269" t="n"/>
      <c r="W1271" s="270" t="n"/>
    </row>
    <row r="1272" customFormat="1" s="163">
      <c r="A1272" s="282" t="n"/>
      <c r="B1272" s="268" t="n"/>
      <c r="C1272" s="269" t="n"/>
      <c r="D1272" s="269" t="n"/>
      <c r="E1272" s="269" t="n"/>
      <c r="F1272" s="269" t="n"/>
      <c r="G1272" s="269" t="n"/>
      <c r="H1272" s="269" t="n"/>
      <c r="I1272" s="269" t="n"/>
      <c r="J1272" s="269" t="n"/>
      <c r="K1272" s="269" t="n"/>
      <c r="L1272" s="269" t="n"/>
      <c r="M1272" s="269" t="n"/>
      <c r="N1272" s="269" t="n"/>
      <c r="O1272" s="269" t="n"/>
      <c r="P1272" s="269" t="n"/>
      <c r="Q1272" s="269" t="n"/>
      <c r="R1272" s="269" t="n"/>
      <c r="S1272" s="269" t="n"/>
      <c r="T1272" s="269" t="n"/>
      <c r="U1272" s="269" t="n"/>
      <c r="V1272" s="269" t="n"/>
      <c r="W1272" s="270" t="n"/>
    </row>
    <row r="1273" customFormat="1" s="163">
      <c r="A1273" s="282" t="n"/>
      <c r="B1273" s="268" t="n"/>
      <c r="C1273" s="269" t="n"/>
      <c r="D1273" s="269" t="n"/>
      <c r="E1273" s="269" t="n"/>
      <c r="F1273" s="269" t="n"/>
      <c r="G1273" s="269" t="n"/>
      <c r="H1273" s="269" t="n"/>
      <c r="I1273" s="269" t="n"/>
      <c r="J1273" s="269" t="n"/>
      <c r="K1273" s="269" t="n"/>
      <c r="L1273" s="269" t="n"/>
      <c r="M1273" s="269" t="n"/>
      <c r="N1273" s="269" t="n"/>
      <c r="O1273" s="269" t="n"/>
      <c r="P1273" s="269" t="n"/>
      <c r="Q1273" s="269" t="n"/>
      <c r="R1273" s="269" t="n"/>
      <c r="S1273" s="269" t="n"/>
      <c r="T1273" s="269" t="n"/>
      <c r="U1273" s="269" t="n"/>
      <c r="V1273" s="269" t="n"/>
      <c r="W1273" s="270" t="n"/>
    </row>
    <row r="1274" customFormat="1" s="163">
      <c r="A1274" s="282" t="n"/>
      <c r="B1274" s="268" t="n"/>
      <c r="C1274" s="269" t="n"/>
      <c r="D1274" s="269" t="n"/>
      <c r="E1274" s="269" t="n"/>
      <c r="F1274" s="269" t="n"/>
      <c r="G1274" s="269" t="n"/>
      <c r="H1274" s="269" t="n"/>
      <c r="I1274" s="269" t="n"/>
      <c r="J1274" s="269" t="n"/>
      <c r="K1274" s="269" t="n"/>
      <c r="L1274" s="269" t="n"/>
      <c r="M1274" s="269" t="n"/>
      <c r="N1274" s="269" t="n"/>
      <c r="O1274" s="269" t="n"/>
      <c r="P1274" s="269" t="n"/>
      <c r="Q1274" s="269" t="n"/>
      <c r="R1274" s="269" t="n"/>
      <c r="S1274" s="269" t="n"/>
      <c r="T1274" s="269" t="n"/>
      <c r="U1274" s="269" t="n"/>
      <c r="V1274" s="269" t="n"/>
      <c r="W1274" s="270" t="n"/>
    </row>
    <row r="1275" customFormat="1" s="163">
      <c r="A1275" s="282" t="n"/>
      <c r="B1275" s="268" t="n"/>
      <c r="C1275" s="269" t="n"/>
      <c r="D1275" s="269" t="n"/>
      <c r="E1275" s="269" t="n"/>
      <c r="F1275" s="269" t="n"/>
      <c r="G1275" s="269" t="n"/>
      <c r="H1275" s="269" t="n"/>
      <c r="I1275" s="269" t="n"/>
      <c r="J1275" s="269" t="n"/>
      <c r="K1275" s="269" t="n"/>
      <c r="L1275" s="269" t="n"/>
      <c r="M1275" s="269" t="n"/>
      <c r="N1275" s="269" t="n"/>
      <c r="O1275" s="269" t="n"/>
      <c r="P1275" s="269" t="n"/>
      <c r="Q1275" s="269" t="n"/>
      <c r="R1275" s="269" t="n"/>
      <c r="S1275" s="269" t="n"/>
      <c r="T1275" s="269" t="n"/>
      <c r="U1275" s="269" t="n"/>
      <c r="V1275" s="269" t="n"/>
      <c r="W1275" s="270" t="n"/>
    </row>
    <row r="1276" customFormat="1" s="163">
      <c r="A1276" s="282" t="n"/>
      <c r="B1276" s="268" t="n"/>
      <c r="C1276" s="269" t="n"/>
      <c r="D1276" s="269" t="n"/>
      <c r="E1276" s="269" t="n"/>
      <c r="F1276" s="269" t="n"/>
      <c r="G1276" s="269" t="n"/>
      <c r="H1276" s="269" t="n"/>
      <c r="I1276" s="269" t="n"/>
      <c r="J1276" s="269" t="n"/>
      <c r="K1276" s="269" t="n"/>
      <c r="L1276" s="269" t="n"/>
      <c r="M1276" s="269" t="n"/>
      <c r="N1276" s="269" t="n"/>
      <c r="O1276" s="269" t="n"/>
      <c r="P1276" s="269" t="n"/>
      <c r="Q1276" s="269" t="n"/>
      <c r="R1276" s="269" t="n"/>
      <c r="S1276" s="269" t="n"/>
      <c r="T1276" s="269" t="n"/>
      <c r="U1276" s="269" t="n"/>
      <c r="V1276" s="269" t="n"/>
      <c r="W1276" s="270" t="n"/>
    </row>
    <row r="1277" customFormat="1" s="163">
      <c r="A1277" s="282" t="n"/>
      <c r="B1277" s="268" t="n"/>
      <c r="C1277" s="269" t="n"/>
      <c r="D1277" s="269" t="n"/>
      <c r="E1277" s="269" t="n"/>
      <c r="F1277" s="269" t="n"/>
      <c r="G1277" s="269" t="n"/>
      <c r="H1277" s="269" t="n"/>
      <c r="I1277" s="269" t="n"/>
      <c r="J1277" s="269" t="n"/>
      <c r="K1277" s="269" t="n"/>
      <c r="L1277" s="269" t="n"/>
      <c r="M1277" s="269" t="n"/>
      <c r="N1277" s="269" t="n"/>
      <c r="O1277" s="269" t="n"/>
      <c r="P1277" s="269" t="n"/>
      <c r="Q1277" s="269" t="n"/>
      <c r="R1277" s="269" t="n"/>
      <c r="S1277" s="269" t="n"/>
      <c r="T1277" s="269" t="n"/>
      <c r="U1277" s="269" t="n"/>
      <c r="V1277" s="269" t="n"/>
      <c r="W1277" s="270" t="n"/>
    </row>
    <row r="1278" customFormat="1" s="163">
      <c r="A1278" s="282" t="n"/>
      <c r="B1278" s="268" t="n"/>
      <c r="C1278" s="269" t="n"/>
      <c r="D1278" s="269" t="n"/>
      <c r="E1278" s="269" t="n"/>
      <c r="F1278" s="269" t="n"/>
      <c r="G1278" s="269" t="n"/>
      <c r="H1278" s="269" t="n"/>
      <c r="I1278" s="269" t="n"/>
      <c r="J1278" s="269" t="n"/>
      <c r="K1278" s="269" t="n"/>
      <c r="L1278" s="269" t="n"/>
      <c r="M1278" s="269" t="n"/>
      <c r="N1278" s="269" t="n"/>
      <c r="O1278" s="269" t="n"/>
      <c r="P1278" s="269" t="n"/>
      <c r="Q1278" s="269" t="n"/>
      <c r="R1278" s="269" t="n"/>
      <c r="S1278" s="269" t="n"/>
      <c r="T1278" s="269" t="n"/>
      <c r="U1278" s="269" t="n"/>
      <c r="V1278" s="269" t="n"/>
      <c r="W1278" s="270" t="n"/>
    </row>
    <row r="1279" customFormat="1" s="163">
      <c r="A1279" s="282" t="n"/>
      <c r="B1279" s="268" t="n"/>
      <c r="C1279" s="269" t="n"/>
      <c r="D1279" s="269" t="n"/>
      <c r="E1279" s="269" t="n"/>
      <c r="F1279" s="269" t="n"/>
      <c r="G1279" s="269" t="n"/>
      <c r="H1279" s="269" t="n"/>
      <c r="I1279" s="269" t="n"/>
      <c r="J1279" s="269" t="n"/>
      <c r="K1279" s="269" t="n"/>
      <c r="L1279" s="269" t="n"/>
      <c r="M1279" s="269" t="n"/>
      <c r="N1279" s="269" t="n"/>
      <c r="O1279" s="269" t="n"/>
      <c r="P1279" s="269" t="n"/>
      <c r="Q1279" s="269" t="n"/>
      <c r="R1279" s="269" t="n"/>
      <c r="S1279" s="269" t="n"/>
      <c r="T1279" s="269" t="n"/>
      <c r="U1279" s="269" t="n"/>
      <c r="V1279" s="269" t="n"/>
      <c r="W1279" s="270" t="n"/>
    </row>
    <row r="1280" customFormat="1" s="163">
      <c r="A1280" s="282" t="n"/>
      <c r="B1280" s="268" t="n"/>
      <c r="C1280" s="269" t="n"/>
      <c r="D1280" s="269" t="n"/>
      <c r="E1280" s="269" t="n"/>
      <c r="F1280" s="269" t="n"/>
      <c r="G1280" s="269" t="n"/>
      <c r="H1280" s="269" t="n"/>
      <c r="I1280" s="269" t="n"/>
      <c r="J1280" s="269" t="n"/>
      <c r="K1280" s="269" t="n"/>
      <c r="L1280" s="269" t="n"/>
      <c r="M1280" s="269" t="n"/>
      <c r="N1280" s="269" t="n"/>
      <c r="O1280" s="269" t="n"/>
      <c r="P1280" s="269" t="n"/>
      <c r="Q1280" s="269" t="n"/>
      <c r="R1280" s="269" t="n"/>
      <c r="S1280" s="269" t="n"/>
      <c r="T1280" s="269" t="n"/>
      <c r="U1280" s="269" t="n"/>
      <c r="V1280" s="269" t="n"/>
      <c r="W1280" s="270" t="n"/>
    </row>
    <row r="1281" customFormat="1" s="163">
      <c r="A1281" s="282" t="n"/>
      <c r="B1281" s="268" t="n"/>
      <c r="C1281" s="269" t="n"/>
      <c r="D1281" s="269" t="n"/>
      <c r="E1281" s="269" t="n"/>
      <c r="F1281" s="269" t="n"/>
      <c r="G1281" s="269" t="n"/>
      <c r="H1281" s="269" t="n"/>
      <c r="I1281" s="269" t="n"/>
      <c r="J1281" s="269" t="n"/>
      <c r="K1281" s="269" t="n"/>
      <c r="L1281" s="269" t="n"/>
      <c r="M1281" s="269" t="n"/>
      <c r="N1281" s="269" t="n"/>
      <c r="O1281" s="269" t="n"/>
      <c r="P1281" s="269" t="n"/>
      <c r="Q1281" s="269" t="n"/>
      <c r="R1281" s="269" t="n"/>
      <c r="S1281" s="269" t="n"/>
      <c r="T1281" s="269" t="n"/>
      <c r="U1281" s="269" t="n"/>
      <c r="V1281" s="269" t="n"/>
      <c r="W1281" s="270" t="n"/>
    </row>
    <row r="1282" customFormat="1" s="163">
      <c r="A1282" s="282" t="n"/>
      <c r="B1282" s="268" t="n"/>
      <c r="C1282" s="269" t="n"/>
      <c r="D1282" s="269" t="n"/>
      <c r="E1282" s="269" t="n"/>
      <c r="F1282" s="269" t="n"/>
      <c r="G1282" s="269" t="n"/>
      <c r="H1282" s="269" t="n"/>
      <c r="I1282" s="269" t="n"/>
      <c r="J1282" s="269" t="n"/>
      <c r="K1282" s="269" t="n"/>
      <c r="L1282" s="269" t="n"/>
      <c r="M1282" s="269" t="n"/>
      <c r="N1282" s="269" t="n"/>
      <c r="O1282" s="269" t="n"/>
      <c r="P1282" s="269" t="n"/>
      <c r="Q1282" s="269" t="n"/>
      <c r="R1282" s="269" t="n"/>
      <c r="S1282" s="269" t="n"/>
      <c r="T1282" s="269" t="n"/>
      <c r="U1282" s="269" t="n"/>
      <c r="V1282" s="269" t="n"/>
      <c r="W1282" s="270" t="n"/>
    </row>
    <row r="1283" customFormat="1" s="163">
      <c r="A1283" s="282" t="n"/>
      <c r="B1283" s="268" t="n"/>
      <c r="C1283" s="269" t="n"/>
      <c r="D1283" s="269" t="n"/>
      <c r="E1283" s="269" t="n"/>
      <c r="F1283" s="269" t="n"/>
      <c r="G1283" s="269" t="n"/>
      <c r="H1283" s="269" t="n"/>
      <c r="I1283" s="269" t="n"/>
      <c r="J1283" s="269" t="n"/>
      <c r="K1283" s="269" t="n"/>
      <c r="L1283" s="269" t="n"/>
      <c r="M1283" s="269" t="n"/>
      <c r="N1283" s="269" t="n"/>
      <c r="O1283" s="269" t="n"/>
      <c r="P1283" s="269" t="n"/>
      <c r="Q1283" s="269" t="n"/>
      <c r="R1283" s="269" t="n"/>
      <c r="S1283" s="269" t="n"/>
      <c r="T1283" s="269" t="n"/>
      <c r="U1283" s="269" t="n"/>
      <c r="V1283" s="269" t="n"/>
      <c r="W1283" s="270" t="n"/>
    </row>
    <row r="1284" customFormat="1" s="163">
      <c r="A1284" s="282" t="n"/>
      <c r="B1284" s="268" t="n"/>
      <c r="C1284" s="269" t="n"/>
      <c r="D1284" s="269" t="n"/>
      <c r="E1284" s="269" t="n"/>
      <c r="F1284" s="269" t="n"/>
      <c r="G1284" s="269" t="n"/>
      <c r="H1284" s="269" t="n"/>
      <c r="I1284" s="269" t="n"/>
      <c r="J1284" s="269" t="n"/>
      <c r="K1284" s="269" t="n"/>
      <c r="L1284" s="269" t="n"/>
      <c r="M1284" s="269" t="n"/>
      <c r="N1284" s="269" t="n"/>
      <c r="O1284" s="269" t="n"/>
      <c r="P1284" s="269" t="n"/>
      <c r="Q1284" s="269" t="n"/>
      <c r="R1284" s="269" t="n"/>
      <c r="S1284" s="269" t="n"/>
      <c r="T1284" s="269" t="n"/>
      <c r="U1284" s="269" t="n"/>
      <c r="V1284" s="269" t="n"/>
      <c r="W1284" s="270" t="n"/>
    </row>
    <row r="1285" customFormat="1" s="163">
      <c r="A1285" s="282" t="n"/>
      <c r="B1285" s="268" t="n"/>
      <c r="C1285" s="269" t="n"/>
      <c r="D1285" s="269" t="n"/>
      <c r="E1285" s="269" t="n"/>
      <c r="F1285" s="269" t="n"/>
      <c r="G1285" s="269" t="n"/>
      <c r="H1285" s="269" t="n"/>
      <c r="I1285" s="269" t="n"/>
      <c r="J1285" s="269" t="n"/>
      <c r="K1285" s="269" t="n"/>
      <c r="L1285" s="269" t="n"/>
      <c r="M1285" s="269" t="n"/>
      <c r="N1285" s="269" t="n"/>
      <c r="O1285" s="269" t="n"/>
      <c r="P1285" s="269" t="n"/>
      <c r="Q1285" s="269" t="n"/>
      <c r="R1285" s="269" t="n"/>
      <c r="S1285" s="269" t="n"/>
      <c r="T1285" s="269" t="n"/>
      <c r="U1285" s="269" t="n"/>
      <c r="V1285" s="269" t="n"/>
      <c r="W1285" s="270" t="n"/>
    </row>
    <row r="1286" customFormat="1" s="163">
      <c r="A1286" s="282" t="n"/>
      <c r="B1286" s="268" t="n"/>
      <c r="C1286" s="269" t="n"/>
      <c r="D1286" s="269" t="n"/>
      <c r="E1286" s="269" t="n"/>
      <c r="F1286" s="269" t="n"/>
      <c r="G1286" s="269" t="n"/>
      <c r="H1286" s="269" t="n"/>
      <c r="I1286" s="269" t="n"/>
      <c r="J1286" s="269" t="n"/>
      <c r="K1286" s="269" t="n"/>
      <c r="L1286" s="269" t="n"/>
      <c r="M1286" s="269" t="n"/>
      <c r="N1286" s="269" t="n"/>
      <c r="O1286" s="269" t="n"/>
      <c r="P1286" s="269" t="n"/>
      <c r="Q1286" s="269" t="n"/>
      <c r="R1286" s="269" t="n"/>
      <c r="S1286" s="269" t="n"/>
      <c r="T1286" s="269" t="n"/>
      <c r="U1286" s="269" t="n"/>
      <c r="V1286" s="269" t="n"/>
      <c r="W1286" s="270" t="n"/>
    </row>
    <row r="1287" customFormat="1" s="163">
      <c r="A1287" s="282" t="n"/>
      <c r="B1287" s="268" t="n"/>
      <c r="C1287" s="269" t="n"/>
      <c r="D1287" s="269" t="n"/>
      <c r="E1287" s="269" t="n"/>
      <c r="F1287" s="269" t="n"/>
      <c r="G1287" s="269" t="n"/>
      <c r="H1287" s="269" t="n"/>
      <c r="I1287" s="269" t="n"/>
      <c r="J1287" s="269" t="n"/>
      <c r="K1287" s="269" t="n"/>
      <c r="L1287" s="269" t="n"/>
      <c r="M1287" s="269" t="n"/>
      <c r="N1287" s="269" t="n"/>
      <c r="O1287" s="269" t="n"/>
      <c r="P1287" s="269" t="n"/>
      <c r="Q1287" s="269" t="n"/>
      <c r="R1287" s="269" t="n"/>
      <c r="S1287" s="269" t="n"/>
      <c r="T1287" s="269" t="n"/>
      <c r="U1287" s="269" t="n"/>
      <c r="V1287" s="269" t="n"/>
      <c r="W1287" s="270" t="n"/>
    </row>
    <row r="1288" customFormat="1" s="163">
      <c r="A1288" s="282" t="n"/>
      <c r="B1288" s="268" t="n"/>
      <c r="C1288" s="269" t="n"/>
      <c r="D1288" s="269" t="n"/>
      <c r="E1288" s="269" t="n"/>
      <c r="F1288" s="269" t="n"/>
      <c r="G1288" s="269" t="n"/>
      <c r="H1288" s="269" t="n"/>
      <c r="I1288" s="269" t="n"/>
      <c r="J1288" s="269" t="n"/>
      <c r="K1288" s="269" t="n"/>
      <c r="L1288" s="269" t="n"/>
      <c r="M1288" s="269" t="n"/>
      <c r="N1288" s="269" t="n"/>
      <c r="O1288" s="269" t="n"/>
      <c r="P1288" s="269" t="n"/>
      <c r="Q1288" s="269" t="n"/>
      <c r="R1288" s="269" t="n"/>
      <c r="S1288" s="269" t="n"/>
      <c r="T1288" s="269" t="n"/>
      <c r="U1288" s="269" t="n"/>
      <c r="V1288" s="269" t="n"/>
      <c r="W1288" s="270" t="n"/>
    </row>
    <row r="1289" customFormat="1" s="163">
      <c r="A1289" s="282" t="n"/>
      <c r="B1289" s="268" t="n"/>
      <c r="C1289" s="269" t="n"/>
      <c r="D1289" s="269" t="n"/>
      <c r="E1289" s="269" t="n"/>
      <c r="F1289" s="269" t="n"/>
      <c r="G1289" s="269" t="n"/>
      <c r="H1289" s="269" t="n"/>
      <c r="I1289" s="269" t="n"/>
      <c r="J1289" s="269" t="n"/>
      <c r="K1289" s="269" t="n"/>
      <c r="L1289" s="269" t="n"/>
      <c r="M1289" s="269" t="n"/>
      <c r="N1289" s="269" t="n"/>
      <c r="O1289" s="269" t="n"/>
      <c r="P1289" s="269" t="n"/>
      <c r="Q1289" s="269" t="n"/>
      <c r="R1289" s="269" t="n"/>
      <c r="S1289" s="269" t="n"/>
      <c r="T1289" s="269" t="n"/>
      <c r="U1289" s="269" t="n"/>
      <c r="V1289" s="269" t="n"/>
      <c r="W1289" s="270" t="n"/>
    </row>
    <row r="1290" customFormat="1" s="163">
      <c r="A1290" s="282" t="n"/>
      <c r="B1290" s="268" t="n"/>
      <c r="C1290" s="269" t="n"/>
      <c r="D1290" s="269" t="n"/>
      <c r="E1290" s="269" t="n"/>
      <c r="F1290" s="269" t="n"/>
      <c r="G1290" s="269" t="n"/>
      <c r="H1290" s="269" t="n"/>
      <c r="I1290" s="269" t="n"/>
      <c r="J1290" s="269" t="n"/>
      <c r="K1290" s="269" t="n"/>
      <c r="L1290" s="269" t="n"/>
      <c r="M1290" s="269" t="n"/>
      <c r="N1290" s="269" t="n"/>
      <c r="O1290" s="269" t="n"/>
      <c r="P1290" s="269" t="n"/>
      <c r="Q1290" s="269" t="n"/>
      <c r="R1290" s="269" t="n"/>
      <c r="S1290" s="269" t="n"/>
      <c r="T1290" s="269" t="n"/>
      <c r="U1290" s="269" t="n"/>
      <c r="V1290" s="269" t="n"/>
      <c r="W1290" s="270" t="n"/>
    </row>
    <row r="1291" customFormat="1" s="163">
      <c r="A1291" s="282" t="n"/>
      <c r="B1291" s="268" t="n"/>
      <c r="C1291" s="269" t="n"/>
      <c r="D1291" s="269" t="n"/>
      <c r="E1291" s="269" t="n"/>
      <c r="F1291" s="269" t="n"/>
      <c r="G1291" s="269" t="n"/>
      <c r="H1291" s="269" t="n"/>
      <c r="I1291" s="269" t="n"/>
      <c r="J1291" s="269" t="n"/>
      <c r="K1291" s="269" t="n"/>
      <c r="L1291" s="269" t="n"/>
      <c r="M1291" s="269" t="n"/>
      <c r="N1291" s="269" t="n"/>
      <c r="O1291" s="269" t="n"/>
      <c r="P1291" s="269" t="n"/>
      <c r="Q1291" s="269" t="n"/>
      <c r="R1291" s="269" t="n"/>
      <c r="S1291" s="269" t="n"/>
      <c r="T1291" s="269" t="n"/>
      <c r="U1291" s="269" t="n"/>
      <c r="V1291" s="269" t="n"/>
      <c r="W1291" s="270" t="n"/>
    </row>
    <row r="1292" customFormat="1" s="163">
      <c r="A1292" s="282" t="n"/>
      <c r="B1292" s="268" t="n"/>
      <c r="C1292" s="269" t="n"/>
      <c r="D1292" s="269" t="n"/>
      <c r="E1292" s="269" t="n"/>
      <c r="F1292" s="269" t="n"/>
      <c r="G1292" s="269" t="n"/>
      <c r="H1292" s="269" t="n"/>
      <c r="I1292" s="269" t="n"/>
      <c r="J1292" s="269" t="n"/>
      <c r="K1292" s="269" t="n"/>
      <c r="L1292" s="269" t="n"/>
      <c r="M1292" s="269" t="n"/>
      <c r="N1292" s="269" t="n"/>
      <c r="O1292" s="269" t="n"/>
      <c r="P1292" s="269" t="n"/>
      <c r="Q1292" s="269" t="n"/>
      <c r="R1292" s="269" t="n"/>
      <c r="S1292" s="269" t="n"/>
      <c r="T1292" s="269" t="n"/>
      <c r="U1292" s="269" t="n"/>
      <c r="V1292" s="269" t="n"/>
      <c r="W1292" s="270" t="n"/>
    </row>
    <row r="1293" customFormat="1" s="163">
      <c r="A1293" s="282" t="n"/>
      <c r="B1293" s="268" t="n"/>
      <c r="C1293" s="269" t="n"/>
      <c r="D1293" s="269" t="n"/>
      <c r="E1293" s="269" t="n"/>
      <c r="F1293" s="269" t="n"/>
      <c r="G1293" s="269" t="n"/>
      <c r="H1293" s="269" t="n"/>
      <c r="I1293" s="269" t="n"/>
      <c r="J1293" s="269" t="n"/>
      <c r="K1293" s="269" t="n"/>
      <c r="L1293" s="269" t="n"/>
      <c r="M1293" s="269" t="n"/>
      <c r="N1293" s="269" t="n"/>
      <c r="O1293" s="269" t="n"/>
      <c r="P1293" s="269" t="n"/>
      <c r="Q1293" s="269" t="n"/>
      <c r="R1293" s="269" t="n"/>
      <c r="S1293" s="269" t="n"/>
      <c r="T1293" s="269" t="n"/>
      <c r="U1293" s="269" t="n"/>
      <c r="V1293" s="269" t="n"/>
      <c r="W1293" s="270" t="n"/>
    </row>
    <row r="1294" customFormat="1" s="163">
      <c r="A1294" s="282" t="n"/>
      <c r="B1294" s="268" t="n"/>
      <c r="C1294" s="269" t="n"/>
      <c r="D1294" s="269" t="n"/>
      <c r="E1294" s="269" t="n"/>
      <c r="F1294" s="269" t="n"/>
      <c r="G1294" s="269" t="n"/>
      <c r="H1294" s="269" t="n"/>
      <c r="I1294" s="269" t="n"/>
      <c r="J1294" s="269" t="n"/>
      <c r="K1294" s="269" t="n"/>
      <c r="L1294" s="269" t="n"/>
      <c r="M1294" s="269" t="n"/>
      <c r="N1294" s="269" t="n"/>
      <c r="O1294" s="269" t="n"/>
      <c r="P1294" s="269" t="n"/>
      <c r="Q1294" s="269" t="n"/>
      <c r="R1294" s="269" t="n"/>
      <c r="S1294" s="269" t="n"/>
      <c r="T1294" s="269" t="n"/>
      <c r="U1294" s="269" t="n"/>
      <c r="V1294" s="269" t="n"/>
      <c r="W1294" s="270" t="n"/>
    </row>
    <row r="1295" customFormat="1" s="163">
      <c r="A1295" s="282" t="n"/>
      <c r="B1295" s="268" t="n"/>
      <c r="C1295" s="269" t="n"/>
      <c r="D1295" s="269" t="n"/>
      <c r="E1295" s="269" t="n"/>
      <c r="F1295" s="269" t="n"/>
      <c r="G1295" s="269" t="n"/>
      <c r="H1295" s="269" t="n"/>
      <c r="I1295" s="269" t="n"/>
      <c r="J1295" s="269" t="n"/>
      <c r="K1295" s="269" t="n"/>
      <c r="L1295" s="269" t="n"/>
      <c r="M1295" s="269" t="n"/>
      <c r="N1295" s="269" t="n"/>
      <c r="O1295" s="269" t="n"/>
      <c r="P1295" s="269" t="n"/>
      <c r="Q1295" s="269" t="n"/>
      <c r="R1295" s="269" t="n"/>
      <c r="S1295" s="269" t="n"/>
      <c r="T1295" s="269" t="n"/>
      <c r="U1295" s="269" t="n"/>
      <c r="V1295" s="269" t="n"/>
      <c r="W1295" s="270" t="n"/>
    </row>
    <row r="1296" customFormat="1" s="163">
      <c r="A1296" s="282" t="n"/>
      <c r="B1296" s="268" t="n"/>
      <c r="C1296" s="269" t="n"/>
      <c r="D1296" s="269" t="n"/>
      <c r="E1296" s="269" t="n"/>
      <c r="F1296" s="269" t="n"/>
      <c r="G1296" s="269" t="n"/>
      <c r="H1296" s="269" t="n"/>
      <c r="I1296" s="269" t="n"/>
      <c r="J1296" s="269" t="n"/>
      <c r="K1296" s="269" t="n"/>
      <c r="L1296" s="269" t="n"/>
      <c r="M1296" s="269" t="n"/>
      <c r="N1296" s="269" t="n"/>
      <c r="O1296" s="269" t="n"/>
      <c r="P1296" s="269" t="n"/>
      <c r="Q1296" s="269" t="n"/>
      <c r="R1296" s="269" t="n"/>
      <c r="S1296" s="269" t="n"/>
      <c r="T1296" s="269" t="n"/>
      <c r="U1296" s="269" t="n"/>
      <c r="V1296" s="269" t="n"/>
      <c r="W1296" s="270" t="n"/>
    </row>
    <row r="1297" customFormat="1" s="163">
      <c r="A1297" s="282" t="n"/>
      <c r="B1297" s="268" t="n"/>
      <c r="C1297" s="269" t="n"/>
      <c r="D1297" s="269" t="n"/>
      <c r="E1297" s="269" t="n"/>
      <c r="F1297" s="269" t="n"/>
      <c r="G1297" s="269" t="n"/>
      <c r="H1297" s="269" t="n"/>
      <c r="I1297" s="269" t="n"/>
      <c r="J1297" s="269" t="n"/>
      <c r="K1297" s="269" t="n"/>
      <c r="L1297" s="269" t="n"/>
      <c r="M1297" s="269" t="n"/>
      <c r="N1297" s="269" t="n"/>
      <c r="O1297" s="269" t="n"/>
      <c r="P1297" s="269" t="n"/>
      <c r="Q1297" s="269" t="n"/>
      <c r="R1297" s="269" t="n"/>
      <c r="S1297" s="269" t="n"/>
      <c r="T1297" s="269" t="n"/>
      <c r="U1297" s="269" t="n"/>
      <c r="V1297" s="269" t="n"/>
      <c r="W1297" s="270" t="n"/>
    </row>
    <row r="1298" customFormat="1" s="163">
      <c r="A1298" s="282" t="n"/>
      <c r="B1298" s="268" t="n"/>
      <c r="C1298" s="269" t="n"/>
      <c r="D1298" s="269" t="n"/>
      <c r="E1298" s="269" t="n"/>
      <c r="F1298" s="269" t="n"/>
      <c r="G1298" s="269" t="n"/>
      <c r="H1298" s="269" t="n"/>
      <c r="I1298" s="269" t="n"/>
      <c r="J1298" s="269" t="n"/>
      <c r="K1298" s="269" t="n"/>
      <c r="L1298" s="269" t="n"/>
      <c r="M1298" s="269" t="n"/>
      <c r="N1298" s="269" t="n"/>
      <c r="O1298" s="269" t="n"/>
      <c r="P1298" s="269" t="n"/>
      <c r="Q1298" s="269" t="n"/>
      <c r="R1298" s="269" t="n"/>
      <c r="S1298" s="269" t="n"/>
      <c r="T1298" s="269" t="n"/>
      <c r="U1298" s="269" t="n"/>
      <c r="V1298" s="269" t="n"/>
      <c r="W1298" s="270" t="n"/>
    </row>
    <row r="1299" customFormat="1" s="163">
      <c r="A1299" s="282" t="n"/>
      <c r="B1299" s="268" t="n"/>
      <c r="C1299" s="269" t="n"/>
      <c r="D1299" s="269" t="n"/>
      <c r="E1299" s="269" t="n"/>
      <c r="F1299" s="269" t="n"/>
      <c r="G1299" s="269" t="n"/>
      <c r="H1299" s="269" t="n"/>
      <c r="I1299" s="269" t="n"/>
      <c r="J1299" s="269" t="n"/>
      <c r="K1299" s="269" t="n"/>
      <c r="L1299" s="269" t="n"/>
      <c r="M1299" s="269" t="n"/>
      <c r="N1299" s="269" t="n"/>
      <c r="O1299" s="269" t="n"/>
      <c r="P1299" s="269" t="n"/>
      <c r="Q1299" s="269" t="n"/>
      <c r="R1299" s="269" t="n"/>
      <c r="S1299" s="269" t="n"/>
      <c r="T1299" s="269" t="n"/>
      <c r="U1299" s="269" t="n"/>
      <c r="V1299" s="269" t="n"/>
      <c r="W1299" s="270" t="n"/>
    </row>
    <row r="1300" customFormat="1" s="163">
      <c r="A1300" s="282" t="n"/>
      <c r="B1300" s="268" t="n"/>
      <c r="C1300" s="269" t="n"/>
      <c r="D1300" s="269" t="n"/>
      <c r="E1300" s="269" t="n"/>
      <c r="F1300" s="269" t="n"/>
      <c r="G1300" s="269" t="n"/>
      <c r="H1300" s="269" t="n"/>
      <c r="I1300" s="269" t="n"/>
      <c r="J1300" s="269" t="n"/>
      <c r="K1300" s="269" t="n"/>
      <c r="L1300" s="269" t="n"/>
      <c r="M1300" s="269" t="n"/>
      <c r="N1300" s="269" t="n"/>
      <c r="O1300" s="269" t="n"/>
      <c r="P1300" s="269" t="n"/>
      <c r="Q1300" s="269" t="n"/>
      <c r="R1300" s="269" t="n"/>
      <c r="S1300" s="269" t="n"/>
      <c r="T1300" s="269" t="n"/>
      <c r="U1300" s="269" t="n"/>
      <c r="V1300" s="269" t="n"/>
      <c r="W1300" s="270" t="n"/>
    </row>
    <row r="1301" customFormat="1" s="163">
      <c r="A1301" s="282" t="n"/>
      <c r="B1301" s="268" t="n"/>
      <c r="C1301" s="269" t="n"/>
      <c r="D1301" s="269" t="n"/>
      <c r="E1301" s="269" t="n"/>
      <c r="F1301" s="269" t="n"/>
      <c r="G1301" s="269" t="n"/>
      <c r="H1301" s="269" t="n"/>
      <c r="I1301" s="269" t="n"/>
      <c r="J1301" s="269" t="n"/>
      <c r="K1301" s="269" t="n"/>
      <c r="L1301" s="269" t="n"/>
      <c r="M1301" s="269" t="n"/>
      <c r="N1301" s="269" t="n"/>
      <c r="O1301" s="269" t="n"/>
      <c r="P1301" s="269" t="n"/>
      <c r="Q1301" s="269" t="n"/>
      <c r="R1301" s="269" t="n"/>
      <c r="S1301" s="269" t="n"/>
      <c r="T1301" s="269" t="n"/>
      <c r="U1301" s="269" t="n"/>
      <c r="V1301" s="269" t="n"/>
      <c r="W1301" s="270" t="n"/>
    </row>
    <row r="1302" customFormat="1" s="163">
      <c r="A1302" s="282" t="n"/>
      <c r="B1302" s="268" t="n"/>
      <c r="C1302" s="269" t="n"/>
      <c r="D1302" s="269" t="n"/>
      <c r="E1302" s="269" t="n"/>
      <c r="F1302" s="269" t="n"/>
      <c r="G1302" s="269" t="n"/>
      <c r="H1302" s="269" t="n"/>
      <c r="I1302" s="269" t="n"/>
      <c r="J1302" s="269" t="n"/>
      <c r="K1302" s="269" t="n"/>
      <c r="L1302" s="269" t="n"/>
      <c r="M1302" s="269" t="n"/>
      <c r="N1302" s="269" t="n"/>
      <c r="O1302" s="269" t="n"/>
      <c r="P1302" s="269" t="n"/>
      <c r="Q1302" s="269" t="n"/>
      <c r="R1302" s="269" t="n"/>
      <c r="S1302" s="269" t="n"/>
      <c r="T1302" s="269" t="n"/>
      <c r="U1302" s="269" t="n"/>
      <c r="V1302" s="269" t="n"/>
      <c r="W1302" s="270" t="n"/>
    </row>
    <row r="1303" customFormat="1" s="163">
      <c r="A1303" s="282" t="n"/>
      <c r="B1303" s="268" t="n"/>
      <c r="C1303" s="269" t="n"/>
      <c r="D1303" s="269" t="n"/>
      <c r="E1303" s="269" t="n"/>
      <c r="F1303" s="269" t="n"/>
      <c r="G1303" s="269" t="n"/>
      <c r="H1303" s="269" t="n"/>
      <c r="I1303" s="269" t="n"/>
      <c r="J1303" s="269" t="n"/>
      <c r="K1303" s="269" t="n"/>
      <c r="L1303" s="269" t="n"/>
      <c r="M1303" s="269" t="n"/>
      <c r="N1303" s="269" t="n"/>
      <c r="O1303" s="269" t="n"/>
      <c r="P1303" s="269" t="n"/>
      <c r="Q1303" s="269" t="n"/>
      <c r="R1303" s="269" t="n"/>
      <c r="S1303" s="269" t="n"/>
      <c r="T1303" s="269" t="n"/>
      <c r="U1303" s="269" t="n"/>
      <c r="V1303" s="269" t="n"/>
      <c r="W1303" s="270" t="n"/>
    </row>
    <row r="1304" customFormat="1" s="163">
      <c r="A1304" s="282" t="n"/>
      <c r="B1304" s="268" t="n"/>
      <c r="C1304" s="269" t="n"/>
      <c r="D1304" s="269" t="n"/>
      <c r="E1304" s="269" t="n"/>
      <c r="F1304" s="269" t="n"/>
      <c r="G1304" s="269" t="n"/>
      <c r="H1304" s="269" t="n"/>
      <c r="I1304" s="269" t="n"/>
      <c r="J1304" s="269" t="n"/>
      <c r="K1304" s="269" t="n"/>
      <c r="L1304" s="269" t="n"/>
      <c r="M1304" s="269" t="n"/>
      <c r="N1304" s="269" t="n"/>
      <c r="O1304" s="269" t="n"/>
      <c r="P1304" s="269" t="n"/>
      <c r="Q1304" s="269" t="n"/>
      <c r="R1304" s="269" t="n"/>
      <c r="S1304" s="269" t="n"/>
      <c r="T1304" s="269" t="n"/>
      <c r="U1304" s="269" t="n"/>
      <c r="V1304" s="269" t="n"/>
      <c r="W1304" s="270" t="n"/>
    </row>
    <row r="1305" customFormat="1" s="163">
      <c r="A1305" s="282" t="n"/>
      <c r="B1305" s="268" t="n"/>
      <c r="C1305" s="269" t="n"/>
      <c r="D1305" s="269" t="n"/>
      <c r="E1305" s="269" t="n"/>
      <c r="F1305" s="269" t="n"/>
      <c r="G1305" s="269" t="n"/>
      <c r="H1305" s="269" t="n"/>
      <c r="I1305" s="269" t="n"/>
      <c r="J1305" s="269" t="n"/>
      <c r="K1305" s="269" t="n"/>
      <c r="L1305" s="269" t="n"/>
      <c r="M1305" s="269" t="n"/>
      <c r="N1305" s="269" t="n"/>
      <c r="O1305" s="269" t="n"/>
      <c r="P1305" s="269" t="n"/>
      <c r="Q1305" s="269" t="n"/>
      <c r="R1305" s="269" t="n"/>
      <c r="S1305" s="269" t="n"/>
      <c r="T1305" s="269" t="n"/>
      <c r="U1305" s="269" t="n"/>
      <c r="V1305" s="269" t="n"/>
      <c r="W1305" s="270" t="n"/>
    </row>
    <row r="1306" customFormat="1" s="163">
      <c r="A1306" s="282" t="n"/>
      <c r="B1306" s="268" t="n"/>
      <c r="C1306" s="269" t="n"/>
      <c r="D1306" s="269" t="n"/>
      <c r="E1306" s="269" t="n"/>
      <c r="F1306" s="269" t="n"/>
      <c r="G1306" s="269" t="n"/>
      <c r="H1306" s="269" t="n"/>
      <c r="I1306" s="269" t="n"/>
      <c r="J1306" s="269" t="n"/>
      <c r="K1306" s="269" t="n"/>
      <c r="L1306" s="269" t="n"/>
      <c r="M1306" s="269" t="n"/>
      <c r="N1306" s="269" t="n"/>
      <c r="O1306" s="269" t="n"/>
      <c r="P1306" s="269" t="n"/>
      <c r="Q1306" s="269" t="n"/>
      <c r="R1306" s="269" t="n"/>
      <c r="S1306" s="269" t="n"/>
      <c r="T1306" s="269" t="n"/>
      <c r="U1306" s="269" t="n"/>
      <c r="V1306" s="269" t="n"/>
      <c r="W1306" s="270" t="n"/>
    </row>
    <row r="1307" customFormat="1" s="163">
      <c r="A1307" s="282" t="n"/>
      <c r="B1307" s="268" t="n"/>
      <c r="C1307" s="269" t="n"/>
      <c r="D1307" s="269" t="n"/>
      <c r="E1307" s="269" t="n"/>
      <c r="F1307" s="269" t="n"/>
      <c r="G1307" s="269" t="n"/>
      <c r="H1307" s="269" t="n"/>
      <c r="I1307" s="269" t="n"/>
      <c r="J1307" s="269" t="n"/>
      <c r="K1307" s="269" t="n"/>
      <c r="L1307" s="269" t="n"/>
      <c r="M1307" s="269" t="n"/>
      <c r="N1307" s="269" t="n"/>
      <c r="O1307" s="269" t="n"/>
      <c r="P1307" s="269" t="n"/>
      <c r="Q1307" s="269" t="n"/>
      <c r="R1307" s="269" t="n"/>
      <c r="S1307" s="269" t="n"/>
      <c r="T1307" s="269" t="n"/>
      <c r="U1307" s="269" t="n"/>
      <c r="V1307" s="269" t="n"/>
      <c r="W1307" s="270" t="n"/>
    </row>
    <row r="1308" customFormat="1" s="163">
      <c r="A1308" s="282" t="n"/>
      <c r="B1308" s="268" t="n"/>
      <c r="C1308" s="269" t="n"/>
      <c r="D1308" s="269" t="n"/>
      <c r="E1308" s="269" t="n"/>
      <c r="F1308" s="269" t="n"/>
      <c r="G1308" s="269" t="n"/>
      <c r="H1308" s="269" t="n"/>
      <c r="I1308" s="269" t="n"/>
      <c r="J1308" s="269" t="n"/>
      <c r="K1308" s="269" t="n"/>
      <c r="L1308" s="269" t="n"/>
      <c r="M1308" s="269" t="n"/>
      <c r="N1308" s="269" t="n"/>
      <c r="O1308" s="269" t="n"/>
      <c r="P1308" s="269" t="n"/>
      <c r="Q1308" s="269" t="n"/>
      <c r="R1308" s="269" t="n"/>
      <c r="S1308" s="269" t="n"/>
      <c r="T1308" s="269" t="n"/>
      <c r="U1308" s="269" t="n"/>
      <c r="V1308" s="269" t="n"/>
      <c r="W1308" s="270" t="n"/>
    </row>
    <row r="1309" customFormat="1" s="163">
      <c r="A1309" s="282" t="n"/>
      <c r="B1309" s="268" t="n"/>
      <c r="C1309" s="269" t="n"/>
      <c r="D1309" s="269" t="n"/>
      <c r="E1309" s="269" t="n"/>
      <c r="F1309" s="269" t="n"/>
      <c r="G1309" s="269" t="n"/>
      <c r="H1309" s="269" t="n"/>
      <c r="I1309" s="269" t="n"/>
      <c r="J1309" s="269" t="n"/>
      <c r="K1309" s="269" t="n"/>
      <c r="L1309" s="269" t="n"/>
      <c r="M1309" s="269" t="n"/>
      <c r="N1309" s="269" t="n"/>
      <c r="O1309" s="269" t="n"/>
      <c r="P1309" s="269" t="n"/>
      <c r="Q1309" s="269" t="n"/>
      <c r="R1309" s="269" t="n"/>
      <c r="S1309" s="269" t="n"/>
      <c r="T1309" s="269" t="n"/>
      <c r="U1309" s="269" t="n"/>
      <c r="V1309" s="269" t="n"/>
      <c r="W1309" s="270" t="n"/>
    </row>
    <row r="1310" customFormat="1" s="163">
      <c r="A1310" s="282" t="n"/>
      <c r="B1310" s="268" t="n"/>
      <c r="C1310" s="269" t="n"/>
      <c r="D1310" s="269" t="n"/>
      <c r="E1310" s="269" t="n"/>
      <c r="F1310" s="269" t="n"/>
      <c r="G1310" s="269" t="n"/>
      <c r="H1310" s="269" t="n"/>
      <c r="I1310" s="269" t="n"/>
      <c r="J1310" s="269" t="n"/>
      <c r="K1310" s="269" t="n"/>
      <c r="L1310" s="269" t="n"/>
      <c r="M1310" s="269" t="n"/>
      <c r="N1310" s="269" t="n"/>
      <c r="O1310" s="269" t="n"/>
      <c r="P1310" s="269" t="n"/>
      <c r="Q1310" s="269" t="n"/>
      <c r="R1310" s="269" t="n"/>
      <c r="S1310" s="269" t="n"/>
      <c r="T1310" s="269" t="n"/>
      <c r="U1310" s="269" t="n"/>
      <c r="V1310" s="269" t="n"/>
      <c r="W1310" s="270" t="n"/>
    </row>
    <row r="1311" customFormat="1" s="163">
      <c r="A1311" s="282" t="n"/>
      <c r="B1311" s="268" t="n"/>
      <c r="C1311" s="269" t="n"/>
      <c r="D1311" s="269" t="n"/>
      <c r="E1311" s="269" t="n"/>
      <c r="F1311" s="269" t="n"/>
      <c r="G1311" s="269" t="n"/>
      <c r="H1311" s="269" t="n"/>
      <c r="I1311" s="269" t="n"/>
      <c r="J1311" s="269" t="n"/>
      <c r="K1311" s="269" t="n"/>
      <c r="L1311" s="269" t="n"/>
      <c r="M1311" s="269" t="n"/>
      <c r="N1311" s="269" t="n"/>
      <c r="O1311" s="269" t="n"/>
      <c r="P1311" s="269" t="n"/>
      <c r="Q1311" s="269" t="n"/>
      <c r="R1311" s="269" t="n"/>
      <c r="S1311" s="269" t="n"/>
      <c r="T1311" s="269" t="n"/>
      <c r="U1311" s="269" t="n"/>
      <c r="V1311" s="269" t="n"/>
      <c r="W1311" s="270" t="n"/>
    </row>
    <row r="1312" customFormat="1" s="163">
      <c r="A1312" s="282" t="n"/>
      <c r="B1312" s="268" t="n"/>
      <c r="C1312" s="269" t="n"/>
      <c r="D1312" s="269" t="n"/>
      <c r="E1312" s="269" t="n"/>
      <c r="F1312" s="269" t="n"/>
      <c r="G1312" s="269" t="n"/>
      <c r="H1312" s="269" t="n"/>
      <c r="I1312" s="269" t="n"/>
      <c r="J1312" s="269" t="n"/>
      <c r="K1312" s="269" t="n"/>
      <c r="L1312" s="269" t="n"/>
      <c r="M1312" s="269" t="n"/>
      <c r="N1312" s="269" t="n"/>
      <c r="O1312" s="269" t="n"/>
      <c r="P1312" s="269" t="n"/>
      <c r="Q1312" s="269" t="n"/>
      <c r="R1312" s="269" t="n"/>
      <c r="S1312" s="269" t="n"/>
      <c r="T1312" s="269" t="n"/>
      <c r="U1312" s="269" t="n"/>
      <c r="V1312" s="269" t="n"/>
      <c r="W1312" s="270" t="n"/>
    </row>
    <row r="1313" customFormat="1" s="163">
      <c r="A1313" s="282" t="n"/>
      <c r="B1313" s="268" t="n"/>
      <c r="C1313" s="269" t="n"/>
      <c r="D1313" s="269" t="n"/>
      <c r="E1313" s="269" t="n"/>
      <c r="F1313" s="269" t="n"/>
      <c r="G1313" s="269" t="n"/>
      <c r="H1313" s="269" t="n"/>
      <c r="I1313" s="269" t="n"/>
      <c r="J1313" s="269" t="n"/>
      <c r="K1313" s="269" t="n"/>
      <c r="L1313" s="269" t="n"/>
      <c r="M1313" s="269" t="n"/>
      <c r="N1313" s="269" t="n"/>
      <c r="O1313" s="269" t="n"/>
      <c r="P1313" s="269" t="n"/>
      <c r="Q1313" s="269" t="n"/>
      <c r="R1313" s="269" t="n"/>
      <c r="S1313" s="269" t="n"/>
      <c r="T1313" s="269" t="n"/>
      <c r="U1313" s="269" t="n"/>
      <c r="V1313" s="269" t="n"/>
      <c r="W1313" s="270" t="n"/>
    </row>
    <row r="1314" customFormat="1" s="163">
      <c r="A1314" s="282" t="n"/>
      <c r="B1314" s="268" t="n"/>
      <c r="C1314" s="269" t="n"/>
      <c r="D1314" s="269" t="n"/>
      <c r="E1314" s="269" t="n"/>
      <c r="F1314" s="269" t="n"/>
      <c r="G1314" s="269" t="n"/>
      <c r="H1314" s="269" t="n"/>
      <c r="I1314" s="269" t="n"/>
      <c r="J1314" s="269" t="n"/>
      <c r="K1314" s="269" t="n"/>
      <c r="L1314" s="269" t="n"/>
      <c r="M1314" s="269" t="n"/>
      <c r="N1314" s="269" t="n"/>
      <c r="O1314" s="269" t="n"/>
      <c r="P1314" s="269" t="n"/>
      <c r="Q1314" s="269" t="n"/>
      <c r="R1314" s="269" t="n"/>
      <c r="S1314" s="269" t="n"/>
      <c r="T1314" s="269" t="n"/>
      <c r="U1314" s="269" t="n"/>
      <c r="V1314" s="269" t="n"/>
      <c r="W1314" s="270" t="n"/>
    </row>
    <row r="1315" customFormat="1" s="163">
      <c r="A1315" s="282" t="n"/>
      <c r="B1315" s="268" t="n"/>
      <c r="C1315" s="269" t="n"/>
      <c r="D1315" s="269" t="n"/>
      <c r="E1315" s="269" t="n"/>
      <c r="F1315" s="269" t="n"/>
      <c r="G1315" s="269" t="n"/>
      <c r="H1315" s="269" t="n"/>
      <c r="I1315" s="269" t="n"/>
      <c r="J1315" s="269" t="n"/>
      <c r="K1315" s="269" t="n"/>
      <c r="L1315" s="269" t="n"/>
      <c r="M1315" s="269" t="n"/>
      <c r="N1315" s="269" t="n"/>
      <c r="O1315" s="269" t="n"/>
      <c r="P1315" s="269" t="n"/>
      <c r="Q1315" s="269" t="n"/>
      <c r="R1315" s="269" t="n"/>
      <c r="S1315" s="269" t="n"/>
      <c r="T1315" s="269" t="n"/>
      <c r="U1315" s="269" t="n"/>
      <c r="V1315" s="269" t="n"/>
      <c r="W1315" s="270" t="n"/>
    </row>
    <row r="1316" customFormat="1" s="163">
      <c r="A1316" s="282" t="n"/>
      <c r="B1316" s="268" t="n"/>
      <c r="C1316" s="269" t="n"/>
      <c r="D1316" s="269" t="n"/>
      <c r="E1316" s="269" t="n"/>
      <c r="F1316" s="269" t="n"/>
      <c r="G1316" s="269" t="n"/>
      <c r="H1316" s="269" t="n"/>
      <c r="I1316" s="269" t="n"/>
      <c r="J1316" s="269" t="n"/>
      <c r="K1316" s="269" t="n"/>
      <c r="L1316" s="269" t="n"/>
      <c r="M1316" s="269" t="n"/>
      <c r="N1316" s="269" t="n"/>
      <c r="O1316" s="269" t="n"/>
      <c r="P1316" s="269" t="n"/>
      <c r="Q1316" s="269" t="n"/>
      <c r="R1316" s="269" t="n"/>
      <c r="S1316" s="269" t="n"/>
      <c r="T1316" s="269" t="n"/>
      <c r="U1316" s="269" t="n"/>
      <c r="V1316" s="269" t="n"/>
      <c r="W1316" s="270" t="n"/>
    </row>
    <row r="1317" customFormat="1" s="163">
      <c r="A1317" s="282" t="n"/>
      <c r="B1317" s="268" t="n"/>
      <c r="C1317" s="269" t="n"/>
      <c r="D1317" s="269" t="n"/>
      <c r="E1317" s="269" t="n"/>
      <c r="F1317" s="269" t="n"/>
      <c r="G1317" s="269" t="n"/>
      <c r="H1317" s="269" t="n"/>
      <c r="I1317" s="269" t="n"/>
      <c r="J1317" s="269" t="n"/>
      <c r="K1317" s="269" t="n"/>
      <c r="L1317" s="269" t="n"/>
      <c r="M1317" s="269" t="n"/>
      <c r="N1317" s="269" t="n"/>
      <c r="O1317" s="269" t="n"/>
      <c r="P1317" s="269" t="n"/>
      <c r="Q1317" s="269" t="n"/>
      <c r="R1317" s="269" t="n"/>
      <c r="S1317" s="269" t="n"/>
      <c r="T1317" s="269" t="n"/>
      <c r="U1317" s="269" t="n"/>
      <c r="V1317" s="269" t="n"/>
      <c r="W1317" s="270" t="n"/>
    </row>
    <row r="1318" customFormat="1" s="163">
      <c r="A1318" s="282" t="n"/>
      <c r="B1318" s="268" t="n"/>
      <c r="C1318" s="269" t="n"/>
      <c r="D1318" s="269" t="n"/>
      <c r="E1318" s="269" t="n"/>
      <c r="F1318" s="269" t="n"/>
      <c r="G1318" s="269" t="n"/>
      <c r="H1318" s="269" t="n"/>
      <c r="I1318" s="269" t="n"/>
      <c r="J1318" s="269" t="n"/>
      <c r="K1318" s="269" t="n"/>
      <c r="L1318" s="269" t="n"/>
      <c r="M1318" s="269" t="n"/>
      <c r="N1318" s="269" t="n"/>
      <c r="O1318" s="269" t="n"/>
      <c r="P1318" s="269" t="n"/>
      <c r="Q1318" s="269" t="n"/>
      <c r="R1318" s="269" t="n"/>
      <c r="S1318" s="269" t="n"/>
      <c r="T1318" s="269" t="n"/>
      <c r="U1318" s="269" t="n"/>
      <c r="V1318" s="269" t="n"/>
      <c r="W1318" s="270" t="n"/>
    </row>
    <row r="1319" customFormat="1" s="163">
      <c r="A1319" s="282" t="n"/>
      <c r="B1319" s="268" t="n"/>
      <c r="C1319" s="269" t="n"/>
      <c r="D1319" s="269" t="n"/>
      <c r="E1319" s="269" t="n"/>
      <c r="F1319" s="269" t="n"/>
      <c r="G1319" s="269" t="n"/>
      <c r="H1319" s="269" t="n"/>
      <c r="I1319" s="269" t="n"/>
      <c r="J1319" s="269" t="n"/>
      <c r="K1319" s="269" t="n"/>
      <c r="L1319" s="269" t="n"/>
      <c r="M1319" s="269" t="n"/>
      <c r="N1319" s="269" t="n"/>
      <c r="O1319" s="269" t="n"/>
      <c r="P1319" s="269" t="n"/>
      <c r="Q1319" s="269" t="n"/>
      <c r="R1319" s="269" t="n"/>
      <c r="S1319" s="269" t="n"/>
      <c r="T1319" s="269" t="n"/>
      <c r="U1319" s="269" t="n"/>
      <c r="V1319" s="269" t="n"/>
      <c r="W1319" s="270" t="n"/>
    </row>
    <row r="1320" customFormat="1" s="163">
      <c r="A1320" s="282" t="n"/>
      <c r="B1320" s="268" t="n"/>
      <c r="C1320" s="269" t="n"/>
      <c r="D1320" s="269" t="n"/>
      <c r="E1320" s="269" t="n"/>
      <c r="F1320" s="269" t="n"/>
      <c r="G1320" s="269" t="n"/>
      <c r="H1320" s="269" t="n"/>
      <c r="I1320" s="269" t="n"/>
      <c r="J1320" s="269" t="n"/>
      <c r="K1320" s="269" t="n"/>
      <c r="L1320" s="269" t="n"/>
      <c r="M1320" s="269" t="n"/>
      <c r="N1320" s="269" t="n"/>
      <c r="O1320" s="269" t="n"/>
      <c r="P1320" s="269" t="n"/>
      <c r="Q1320" s="269" t="n"/>
      <c r="R1320" s="269" t="n"/>
      <c r="S1320" s="269" t="n"/>
      <c r="T1320" s="269" t="n"/>
      <c r="U1320" s="269" t="n"/>
      <c r="V1320" s="269" t="n"/>
      <c r="W1320" s="270" t="n"/>
    </row>
    <row r="1321" customFormat="1" s="163">
      <c r="A1321" s="282" t="n"/>
      <c r="B1321" s="268" t="n"/>
      <c r="C1321" s="269" t="n"/>
      <c r="D1321" s="269" t="n"/>
      <c r="E1321" s="269" t="n"/>
      <c r="F1321" s="269" t="n"/>
      <c r="G1321" s="269" t="n"/>
      <c r="H1321" s="269" t="n"/>
      <c r="I1321" s="269" t="n"/>
      <c r="J1321" s="269" t="n"/>
      <c r="K1321" s="269" t="n"/>
      <c r="L1321" s="269" t="n"/>
      <c r="M1321" s="269" t="n"/>
      <c r="N1321" s="269" t="n"/>
      <c r="O1321" s="269" t="n"/>
      <c r="P1321" s="269" t="n"/>
      <c r="Q1321" s="269" t="n"/>
      <c r="R1321" s="269" t="n"/>
      <c r="S1321" s="269" t="n"/>
      <c r="T1321" s="269" t="n"/>
      <c r="U1321" s="269" t="n"/>
      <c r="V1321" s="269" t="n"/>
      <c r="W1321" s="270" t="n"/>
    </row>
    <row r="1322" customFormat="1" s="163">
      <c r="A1322" s="282" t="n"/>
      <c r="B1322" s="268" t="n"/>
      <c r="C1322" s="269" t="n"/>
      <c r="D1322" s="269" t="n"/>
      <c r="E1322" s="269" t="n"/>
      <c r="F1322" s="269" t="n"/>
      <c r="G1322" s="269" t="n"/>
      <c r="H1322" s="269" t="n"/>
      <c r="I1322" s="269" t="n"/>
      <c r="J1322" s="269" t="n"/>
      <c r="K1322" s="269" t="n"/>
      <c r="L1322" s="269" t="n"/>
      <c r="M1322" s="269" t="n"/>
      <c r="N1322" s="269" t="n"/>
      <c r="O1322" s="269" t="n"/>
      <c r="P1322" s="269" t="n"/>
      <c r="Q1322" s="269" t="n"/>
      <c r="R1322" s="269" t="n"/>
      <c r="S1322" s="269" t="n"/>
      <c r="T1322" s="269" t="n"/>
      <c r="U1322" s="269" t="n"/>
      <c r="V1322" s="269" t="n"/>
      <c r="W1322" s="270" t="n"/>
    </row>
    <row r="1323" customFormat="1" s="163">
      <c r="A1323" s="282" t="n"/>
      <c r="B1323" s="268" t="n"/>
      <c r="C1323" s="269" t="n"/>
      <c r="D1323" s="269" t="n"/>
      <c r="E1323" s="269" t="n"/>
      <c r="F1323" s="269" t="n"/>
      <c r="G1323" s="269" t="n"/>
      <c r="H1323" s="269" t="n"/>
      <c r="I1323" s="269" t="n"/>
      <c r="J1323" s="269" t="n"/>
      <c r="K1323" s="269" t="n"/>
      <c r="L1323" s="269" t="n"/>
      <c r="M1323" s="269" t="n"/>
      <c r="N1323" s="269" t="n"/>
      <c r="O1323" s="269" t="n"/>
      <c r="P1323" s="269" t="n"/>
      <c r="Q1323" s="269" t="n"/>
      <c r="R1323" s="269" t="n"/>
      <c r="S1323" s="269" t="n"/>
      <c r="T1323" s="269" t="n"/>
      <c r="U1323" s="269" t="n"/>
      <c r="V1323" s="269" t="n"/>
      <c r="W1323" s="270" t="n"/>
    </row>
    <row r="1324" customFormat="1" s="163">
      <c r="A1324" s="282" t="n"/>
      <c r="B1324" s="268" t="n"/>
      <c r="C1324" s="269" t="n"/>
      <c r="D1324" s="269" t="n"/>
      <c r="E1324" s="269" t="n"/>
      <c r="F1324" s="269" t="n"/>
      <c r="G1324" s="269" t="n"/>
      <c r="H1324" s="269" t="n"/>
      <c r="I1324" s="269" t="n"/>
      <c r="J1324" s="269" t="n"/>
      <c r="K1324" s="269" t="n"/>
      <c r="L1324" s="269" t="n"/>
      <c r="M1324" s="269" t="n"/>
      <c r="N1324" s="269" t="n"/>
      <c r="O1324" s="269" t="n"/>
      <c r="P1324" s="269" t="n"/>
      <c r="Q1324" s="269" t="n"/>
      <c r="R1324" s="269" t="n"/>
      <c r="S1324" s="269" t="n"/>
      <c r="T1324" s="269" t="n"/>
      <c r="U1324" s="269" t="n"/>
      <c r="V1324" s="269" t="n"/>
      <c r="W1324" s="270" t="n"/>
    </row>
    <row r="1325" customFormat="1" s="163">
      <c r="A1325" s="282" t="n"/>
      <c r="B1325" s="268" t="n"/>
      <c r="C1325" s="269" t="n"/>
      <c r="D1325" s="269" t="n"/>
      <c r="E1325" s="269" t="n"/>
      <c r="F1325" s="269" t="n"/>
      <c r="G1325" s="269" t="n"/>
      <c r="H1325" s="269" t="n"/>
      <c r="I1325" s="269" t="n"/>
      <c r="J1325" s="269" t="n"/>
      <c r="K1325" s="269" t="n"/>
      <c r="L1325" s="269" t="n"/>
      <c r="M1325" s="269" t="n"/>
      <c r="N1325" s="269" t="n"/>
      <c r="O1325" s="269" t="n"/>
      <c r="P1325" s="269" t="n"/>
      <c r="Q1325" s="269" t="n"/>
      <c r="R1325" s="269" t="n"/>
      <c r="S1325" s="269" t="n"/>
      <c r="T1325" s="269" t="n"/>
      <c r="U1325" s="269" t="n"/>
      <c r="V1325" s="269" t="n"/>
      <c r="W1325" s="270" t="n"/>
    </row>
    <row r="1326" customFormat="1" s="163">
      <c r="A1326" s="282" t="n"/>
      <c r="B1326" s="268" t="n"/>
      <c r="C1326" s="269" t="n"/>
      <c r="D1326" s="269" t="n"/>
      <c r="E1326" s="269" t="n"/>
      <c r="F1326" s="269" t="n"/>
      <c r="G1326" s="269" t="n"/>
      <c r="H1326" s="269" t="n"/>
      <c r="I1326" s="269" t="n"/>
      <c r="J1326" s="269" t="n"/>
      <c r="K1326" s="269" t="n"/>
      <c r="L1326" s="269" t="n"/>
      <c r="M1326" s="269" t="n"/>
      <c r="N1326" s="269" t="n"/>
      <c r="O1326" s="269" t="n"/>
      <c r="P1326" s="269" t="n"/>
      <c r="Q1326" s="269" t="n"/>
      <c r="R1326" s="269" t="n"/>
      <c r="S1326" s="269" t="n"/>
      <c r="T1326" s="269" t="n"/>
      <c r="U1326" s="269" t="n"/>
      <c r="V1326" s="269" t="n"/>
      <c r="W1326" s="270" t="n"/>
    </row>
    <row r="1327" customFormat="1" s="163">
      <c r="A1327" s="282" t="n"/>
      <c r="B1327" s="268" t="n"/>
      <c r="C1327" s="269" t="n"/>
      <c r="D1327" s="269" t="n"/>
      <c r="E1327" s="269" t="n"/>
      <c r="F1327" s="269" t="n"/>
      <c r="G1327" s="269" t="n"/>
      <c r="H1327" s="269" t="n"/>
      <c r="I1327" s="269" t="n"/>
      <c r="J1327" s="269" t="n"/>
      <c r="K1327" s="269" t="n"/>
      <c r="L1327" s="269" t="n"/>
      <c r="M1327" s="269" t="n"/>
      <c r="N1327" s="269" t="n"/>
      <c r="O1327" s="269" t="n"/>
      <c r="P1327" s="269" t="n"/>
      <c r="Q1327" s="269" t="n"/>
      <c r="R1327" s="269" t="n"/>
      <c r="S1327" s="269" t="n"/>
      <c r="T1327" s="269" t="n"/>
      <c r="U1327" s="269" t="n"/>
      <c r="V1327" s="269" t="n"/>
      <c r="W1327" s="270" t="n"/>
    </row>
    <row r="1328" customFormat="1" s="163">
      <c r="A1328" s="282" t="n"/>
      <c r="B1328" s="268" t="n"/>
      <c r="C1328" s="269" t="n"/>
      <c r="D1328" s="269" t="n"/>
      <c r="E1328" s="269" t="n"/>
      <c r="F1328" s="269" t="n"/>
      <c r="G1328" s="269" t="n"/>
      <c r="H1328" s="269" t="n"/>
      <c r="I1328" s="269" t="n"/>
      <c r="J1328" s="269" t="n"/>
      <c r="K1328" s="269" t="n"/>
      <c r="L1328" s="269" t="n"/>
      <c r="M1328" s="269" t="n"/>
      <c r="N1328" s="269" t="n"/>
      <c r="O1328" s="269" t="n"/>
      <c r="P1328" s="269" t="n"/>
      <c r="Q1328" s="269" t="n"/>
      <c r="R1328" s="269" t="n"/>
      <c r="S1328" s="269" t="n"/>
      <c r="T1328" s="269" t="n"/>
      <c r="U1328" s="269" t="n"/>
      <c r="V1328" s="269" t="n"/>
      <c r="W1328" s="270" t="n"/>
    </row>
    <row r="1329" customFormat="1" s="163">
      <c r="A1329" s="282" t="n"/>
      <c r="B1329" s="268" t="n"/>
      <c r="C1329" s="269" t="n"/>
      <c r="D1329" s="269" t="n"/>
      <c r="E1329" s="269" t="n"/>
      <c r="F1329" s="269" t="n"/>
      <c r="G1329" s="269" t="n"/>
      <c r="H1329" s="269" t="n"/>
      <c r="I1329" s="269" t="n"/>
      <c r="J1329" s="269" t="n"/>
      <c r="K1329" s="269" t="n"/>
      <c r="L1329" s="269" t="n"/>
      <c r="M1329" s="269" t="n"/>
      <c r="N1329" s="269" t="n"/>
      <c r="O1329" s="269" t="n"/>
      <c r="P1329" s="269" t="n"/>
      <c r="Q1329" s="269" t="n"/>
      <c r="R1329" s="269" t="n"/>
      <c r="S1329" s="269" t="n"/>
      <c r="T1329" s="269" t="n"/>
      <c r="U1329" s="269" t="n"/>
      <c r="V1329" s="269" t="n"/>
      <c r="W1329" s="270" t="n"/>
    </row>
    <row r="1330" customFormat="1" s="163">
      <c r="A1330" s="282" t="n"/>
      <c r="B1330" s="268" t="n"/>
      <c r="C1330" s="269" t="n"/>
      <c r="D1330" s="269" t="n"/>
      <c r="E1330" s="269" t="n"/>
      <c r="F1330" s="269" t="n"/>
      <c r="G1330" s="269" t="n"/>
      <c r="H1330" s="269" t="n"/>
      <c r="I1330" s="269" t="n"/>
      <c r="J1330" s="269" t="n"/>
      <c r="K1330" s="269" t="n"/>
      <c r="L1330" s="269" t="n"/>
      <c r="M1330" s="269" t="n"/>
      <c r="N1330" s="269" t="n"/>
      <c r="O1330" s="269" t="n"/>
      <c r="P1330" s="269" t="n"/>
      <c r="Q1330" s="269" t="n"/>
      <c r="R1330" s="269" t="n"/>
      <c r="S1330" s="269" t="n"/>
      <c r="T1330" s="269" t="n"/>
      <c r="U1330" s="269" t="n"/>
      <c r="V1330" s="269" t="n"/>
      <c r="W1330" s="270" t="n"/>
    </row>
    <row r="1331" customFormat="1" s="163">
      <c r="A1331" s="282" t="n"/>
      <c r="B1331" s="268" t="n"/>
      <c r="C1331" s="269" t="n"/>
      <c r="D1331" s="269" t="n"/>
      <c r="E1331" s="269" t="n"/>
      <c r="F1331" s="269" t="n"/>
      <c r="G1331" s="269" t="n"/>
      <c r="H1331" s="269" t="n"/>
      <c r="I1331" s="269" t="n"/>
      <c r="J1331" s="269" t="n"/>
      <c r="K1331" s="269" t="n"/>
      <c r="L1331" s="269" t="n"/>
      <c r="M1331" s="269" t="n"/>
      <c r="N1331" s="269" t="n"/>
      <c r="O1331" s="269" t="n"/>
      <c r="P1331" s="269" t="n"/>
      <c r="Q1331" s="269" t="n"/>
      <c r="R1331" s="269" t="n"/>
      <c r="S1331" s="269" t="n"/>
      <c r="T1331" s="269" t="n"/>
      <c r="U1331" s="269" t="n"/>
      <c r="V1331" s="269" t="n"/>
      <c r="W1331" s="270" t="n"/>
    </row>
    <row r="1332" customFormat="1" s="163">
      <c r="A1332" s="282" t="n"/>
      <c r="B1332" s="268" t="n"/>
      <c r="C1332" s="269" t="n"/>
      <c r="D1332" s="269" t="n"/>
      <c r="E1332" s="269" t="n"/>
      <c r="F1332" s="269" t="n"/>
      <c r="G1332" s="269" t="n"/>
      <c r="H1332" s="269" t="n"/>
      <c r="I1332" s="269" t="n"/>
      <c r="J1332" s="269" t="n"/>
      <c r="K1332" s="269" t="n"/>
      <c r="L1332" s="269" t="n"/>
      <c r="M1332" s="269" t="n"/>
      <c r="N1332" s="269" t="n"/>
      <c r="O1332" s="269" t="n"/>
      <c r="P1332" s="269" t="n"/>
      <c r="Q1332" s="269" t="n"/>
      <c r="R1332" s="269" t="n"/>
      <c r="S1332" s="269" t="n"/>
      <c r="T1332" s="269" t="n"/>
      <c r="U1332" s="269" t="n"/>
      <c r="V1332" s="269" t="n"/>
      <c r="W1332" s="270" t="n"/>
    </row>
    <row r="1333" customFormat="1" s="163">
      <c r="A1333" s="282" t="n"/>
      <c r="B1333" s="268" t="n"/>
      <c r="C1333" s="269" t="n"/>
      <c r="D1333" s="269" t="n"/>
      <c r="E1333" s="269" t="n"/>
      <c r="F1333" s="269" t="n"/>
      <c r="G1333" s="269" t="n"/>
      <c r="H1333" s="269" t="n"/>
      <c r="I1333" s="269" t="n"/>
      <c r="J1333" s="269" t="n"/>
      <c r="K1333" s="269" t="n"/>
      <c r="L1333" s="269" t="n"/>
      <c r="M1333" s="269" t="n"/>
      <c r="N1333" s="269" t="n"/>
      <c r="O1333" s="269" t="n"/>
      <c r="P1333" s="269" t="n"/>
      <c r="Q1333" s="269" t="n"/>
      <c r="R1333" s="269" t="n"/>
      <c r="S1333" s="269" t="n"/>
      <c r="T1333" s="269" t="n"/>
      <c r="U1333" s="269" t="n"/>
      <c r="V1333" s="269" t="n"/>
      <c r="W1333" s="270" t="n"/>
    </row>
    <row r="1334" customFormat="1" s="163">
      <c r="A1334" s="282" t="n"/>
      <c r="B1334" s="268" t="n"/>
      <c r="C1334" s="269" t="n"/>
      <c r="D1334" s="269" t="n"/>
      <c r="E1334" s="269" t="n"/>
      <c r="F1334" s="269" t="n"/>
      <c r="G1334" s="269" t="n"/>
      <c r="H1334" s="269" t="n"/>
      <c r="I1334" s="269" t="n"/>
      <c r="J1334" s="269" t="n"/>
      <c r="K1334" s="269" t="n"/>
      <c r="L1334" s="269" t="n"/>
      <c r="M1334" s="269" t="n"/>
      <c r="N1334" s="269" t="n"/>
      <c r="O1334" s="269" t="n"/>
      <c r="P1334" s="269" t="n"/>
      <c r="Q1334" s="269" t="n"/>
      <c r="R1334" s="269" t="n"/>
      <c r="S1334" s="269" t="n"/>
      <c r="T1334" s="269" t="n"/>
      <c r="U1334" s="269" t="n"/>
      <c r="V1334" s="269" t="n"/>
      <c r="W1334" s="270" t="n"/>
    </row>
    <row r="1335" customFormat="1" s="163">
      <c r="A1335" s="282" t="n"/>
      <c r="B1335" s="268" t="n"/>
      <c r="C1335" s="269" t="n"/>
      <c r="D1335" s="269" t="n"/>
      <c r="E1335" s="269" t="n"/>
      <c r="F1335" s="269" t="n"/>
      <c r="G1335" s="269" t="n"/>
      <c r="H1335" s="269" t="n"/>
      <c r="I1335" s="269" t="n"/>
      <c r="J1335" s="269" t="n"/>
      <c r="K1335" s="269" t="n"/>
      <c r="L1335" s="269" t="n"/>
      <c r="M1335" s="269" t="n"/>
      <c r="N1335" s="269" t="n"/>
      <c r="O1335" s="269" t="n"/>
      <c r="P1335" s="269" t="n"/>
      <c r="Q1335" s="269" t="n"/>
      <c r="R1335" s="269" t="n"/>
      <c r="S1335" s="269" t="n"/>
      <c r="T1335" s="269" t="n"/>
      <c r="U1335" s="269" t="n"/>
      <c r="V1335" s="269" t="n"/>
      <c r="W1335" s="270" t="n"/>
    </row>
    <row r="1336" customFormat="1" s="163">
      <c r="A1336" s="282" t="n"/>
      <c r="B1336" s="268" t="n"/>
      <c r="C1336" s="269" t="n"/>
      <c r="D1336" s="269" t="n"/>
      <c r="E1336" s="269" t="n"/>
      <c r="F1336" s="269" t="n"/>
      <c r="G1336" s="269" t="n"/>
      <c r="H1336" s="269" t="n"/>
      <c r="I1336" s="269" t="n"/>
      <c r="J1336" s="269" t="n"/>
      <c r="K1336" s="269" t="n"/>
      <c r="L1336" s="269" t="n"/>
      <c r="M1336" s="269" t="n"/>
      <c r="N1336" s="269" t="n"/>
      <c r="O1336" s="269" t="n"/>
      <c r="P1336" s="269" t="n"/>
      <c r="Q1336" s="269" t="n"/>
      <c r="R1336" s="269" t="n"/>
      <c r="S1336" s="269" t="n"/>
      <c r="T1336" s="269" t="n"/>
      <c r="U1336" s="269" t="n"/>
      <c r="V1336" s="269" t="n"/>
      <c r="W1336" s="270" t="n"/>
    </row>
    <row r="1337" customFormat="1" s="163">
      <c r="A1337" s="282" t="n"/>
      <c r="B1337" s="268" t="n"/>
      <c r="C1337" s="269" t="n"/>
      <c r="D1337" s="269" t="n"/>
      <c r="E1337" s="269" t="n"/>
      <c r="F1337" s="269" t="n"/>
      <c r="G1337" s="269" t="n"/>
      <c r="H1337" s="269" t="n"/>
      <c r="I1337" s="269" t="n"/>
      <c r="J1337" s="269" t="n"/>
      <c r="K1337" s="269" t="n"/>
      <c r="L1337" s="269" t="n"/>
      <c r="M1337" s="269" t="n"/>
      <c r="N1337" s="269" t="n"/>
      <c r="O1337" s="269" t="n"/>
      <c r="P1337" s="269" t="n"/>
      <c r="Q1337" s="269" t="n"/>
      <c r="R1337" s="269" t="n"/>
      <c r="S1337" s="269" t="n"/>
      <c r="T1337" s="269" t="n"/>
      <c r="U1337" s="269" t="n"/>
      <c r="V1337" s="269" t="n"/>
      <c r="W1337" s="270" t="n"/>
    </row>
    <row r="1338" customFormat="1" s="163">
      <c r="A1338" s="282" t="n"/>
      <c r="B1338" s="268" t="n"/>
      <c r="C1338" s="269" t="n"/>
      <c r="D1338" s="269" t="n"/>
      <c r="E1338" s="269" t="n"/>
      <c r="F1338" s="269" t="n"/>
      <c r="G1338" s="269" t="n"/>
      <c r="H1338" s="269" t="n"/>
      <c r="I1338" s="269" t="n"/>
      <c r="J1338" s="269" t="n"/>
      <c r="K1338" s="269" t="n"/>
      <c r="L1338" s="269" t="n"/>
      <c r="M1338" s="269" t="n"/>
      <c r="N1338" s="269" t="n"/>
      <c r="O1338" s="269" t="n"/>
      <c r="P1338" s="269" t="n"/>
      <c r="Q1338" s="269" t="n"/>
      <c r="R1338" s="269" t="n"/>
      <c r="S1338" s="269" t="n"/>
      <c r="T1338" s="269" t="n"/>
      <c r="U1338" s="269" t="n"/>
      <c r="V1338" s="269" t="n"/>
      <c r="W1338" s="270" t="n"/>
    </row>
    <row r="1339" customFormat="1" s="163">
      <c r="A1339" s="282" t="n"/>
      <c r="B1339" s="268" t="n"/>
      <c r="C1339" s="269" t="n"/>
      <c r="D1339" s="269" t="n"/>
      <c r="E1339" s="269" t="n"/>
      <c r="F1339" s="269" t="n"/>
      <c r="G1339" s="269" t="n"/>
      <c r="H1339" s="269" t="n"/>
      <c r="I1339" s="269" t="n"/>
      <c r="J1339" s="269" t="n"/>
      <c r="K1339" s="269" t="n"/>
      <c r="L1339" s="269" t="n"/>
      <c r="M1339" s="269" t="n"/>
      <c r="N1339" s="269" t="n"/>
      <c r="O1339" s="269" t="n"/>
      <c r="P1339" s="269" t="n"/>
      <c r="Q1339" s="269" t="n"/>
      <c r="R1339" s="269" t="n"/>
      <c r="S1339" s="269" t="n"/>
      <c r="T1339" s="269" t="n"/>
      <c r="U1339" s="269" t="n"/>
      <c r="V1339" s="269" t="n"/>
      <c r="W1339" s="270" t="n"/>
    </row>
    <row r="1340" customFormat="1" s="163">
      <c r="A1340" s="282" t="n"/>
      <c r="B1340" s="268" t="n"/>
      <c r="C1340" s="269" t="n"/>
      <c r="D1340" s="269" t="n"/>
      <c r="E1340" s="269" t="n"/>
      <c r="F1340" s="269" t="n"/>
      <c r="G1340" s="269" t="n"/>
      <c r="H1340" s="269" t="n"/>
      <c r="I1340" s="269" t="n"/>
      <c r="J1340" s="269" t="n"/>
      <c r="K1340" s="269" t="n"/>
      <c r="L1340" s="269" t="n"/>
      <c r="M1340" s="269" t="n"/>
      <c r="N1340" s="269" t="n"/>
      <c r="O1340" s="269" t="n"/>
      <c r="P1340" s="269" t="n"/>
      <c r="Q1340" s="269" t="n"/>
      <c r="R1340" s="269" t="n"/>
      <c r="S1340" s="269" t="n"/>
      <c r="T1340" s="269" t="n"/>
      <c r="U1340" s="269" t="n"/>
      <c r="V1340" s="269" t="n"/>
      <c r="W1340" s="270" t="n"/>
    </row>
    <row r="1341" customFormat="1" s="163">
      <c r="A1341" s="282" t="n"/>
      <c r="B1341" s="268" t="n"/>
      <c r="C1341" s="269" t="n"/>
      <c r="D1341" s="269" t="n"/>
      <c r="E1341" s="269" t="n"/>
      <c r="F1341" s="269" t="n"/>
      <c r="G1341" s="269" t="n"/>
      <c r="H1341" s="269" t="n"/>
      <c r="I1341" s="269" t="n"/>
      <c r="J1341" s="269" t="n"/>
      <c r="K1341" s="269" t="n"/>
      <c r="L1341" s="269" t="n"/>
      <c r="M1341" s="269" t="n"/>
      <c r="N1341" s="269" t="n"/>
      <c r="O1341" s="269" t="n"/>
      <c r="P1341" s="269" t="n"/>
      <c r="Q1341" s="269" t="n"/>
      <c r="R1341" s="269" t="n"/>
      <c r="S1341" s="269" t="n"/>
      <c r="T1341" s="269" t="n"/>
      <c r="U1341" s="269" t="n"/>
      <c r="V1341" s="269" t="n"/>
      <c r="W1341" s="270" t="n"/>
    </row>
    <row r="1342" customFormat="1" s="163">
      <c r="A1342" s="282" t="n"/>
      <c r="B1342" s="268" t="n"/>
      <c r="C1342" s="269" t="n"/>
      <c r="D1342" s="269" t="n"/>
      <c r="E1342" s="269" t="n"/>
      <c r="F1342" s="269" t="n"/>
      <c r="G1342" s="269" t="n"/>
      <c r="H1342" s="269" t="n"/>
      <c r="I1342" s="269" t="n"/>
      <c r="J1342" s="269" t="n"/>
      <c r="K1342" s="269" t="n"/>
      <c r="L1342" s="269" t="n"/>
      <c r="M1342" s="269" t="n"/>
      <c r="N1342" s="269" t="n"/>
      <c r="O1342" s="269" t="n"/>
      <c r="P1342" s="269" t="n"/>
      <c r="Q1342" s="269" t="n"/>
      <c r="R1342" s="269" t="n"/>
      <c r="S1342" s="269" t="n"/>
      <c r="T1342" s="269" t="n"/>
      <c r="U1342" s="269" t="n"/>
      <c r="V1342" s="269" t="n"/>
      <c r="W1342" s="270" t="n"/>
    </row>
    <row r="1343" customFormat="1" s="163">
      <c r="A1343" s="282" t="n"/>
      <c r="B1343" s="268" t="n"/>
      <c r="C1343" s="269" t="n"/>
      <c r="D1343" s="269" t="n"/>
      <c r="E1343" s="269" t="n"/>
      <c r="F1343" s="269" t="n"/>
      <c r="G1343" s="269" t="n"/>
      <c r="H1343" s="269" t="n"/>
      <c r="I1343" s="269" t="n"/>
      <c r="J1343" s="269" t="n"/>
      <c r="K1343" s="269" t="n"/>
      <c r="L1343" s="269" t="n"/>
      <c r="M1343" s="269" t="n"/>
      <c r="N1343" s="269" t="n"/>
      <c r="O1343" s="269" t="n"/>
      <c r="P1343" s="269" t="n"/>
      <c r="Q1343" s="269" t="n"/>
      <c r="R1343" s="269" t="n"/>
      <c r="S1343" s="269" t="n"/>
      <c r="T1343" s="269" t="n"/>
      <c r="U1343" s="269" t="n"/>
      <c r="V1343" s="269" t="n"/>
      <c r="W1343" s="270" t="n"/>
    </row>
    <row r="1344" customFormat="1" s="163">
      <c r="A1344" s="282" t="n"/>
      <c r="B1344" s="268" t="n"/>
      <c r="C1344" s="269" t="n"/>
      <c r="D1344" s="269" t="n"/>
      <c r="E1344" s="269" t="n"/>
      <c r="F1344" s="269" t="n"/>
      <c r="G1344" s="269" t="n"/>
      <c r="H1344" s="269" t="n"/>
      <c r="I1344" s="269" t="n"/>
      <c r="J1344" s="269" t="n"/>
      <c r="K1344" s="269" t="n"/>
      <c r="L1344" s="269" t="n"/>
      <c r="M1344" s="269" t="n"/>
      <c r="N1344" s="269" t="n"/>
      <c r="O1344" s="269" t="n"/>
      <c r="P1344" s="269" t="n"/>
      <c r="Q1344" s="269" t="n"/>
      <c r="R1344" s="269" t="n"/>
      <c r="S1344" s="269" t="n"/>
      <c r="T1344" s="269" t="n"/>
      <c r="U1344" s="269" t="n"/>
      <c r="V1344" s="269" t="n"/>
      <c r="W1344" s="270" t="n"/>
    </row>
    <row r="1345" customFormat="1" s="163">
      <c r="A1345" s="282" t="n"/>
      <c r="B1345" s="268" t="n"/>
      <c r="C1345" s="269" t="n"/>
      <c r="D1345" s="269" t="n"/>
      <c r="E1345" s="269" t="n"/>
      <c r="F1345" s="269" t="n"/>
      <c r="G1345" s="269" t="n"/>
      <c r="H1345" s="269" t="n"/>
      <c r="I1345" s="269" t="n"/>
      <c r="J1345" s="269" t="n"/>
      <c r="K1345" s="269" t="n"/>
      <c r="L1345" s="269" t="n"/>
      <c r="M1345" s="269" t="n"/>
      <c r="N1345" s="269" t="n"/>
      <c r="O1345" s="269" t="n"/>
      <c r="P1345" s="269" t="n"/>
      <c r="Q1345" s="269" t="n"/>
      <c r="R1345" s="269" t="n"/>
      <c r="S1345" s="269" t="n"/>
      <c r="T1345" s="269" t="n"/>
      <c r="U1345" s="269" t="n"/>
      <c r="V1345" s="269" t="n"/>
      <c r="W1345" s="270" t="n"/>
    </row>
    <row r="1346" customFormat="1" s="163">
      <c r="A1346" s="282" t="n"/>
      <c r="B1346" s="268" t="n"/>
      <c r="C1346" s="269" t="n"/>
      <c r="D1346" s="269" t="n"/>
      <c r="E1346" s="269" t="n"/>
      <c r="F1346" s="269" t="n"/>
      <c r="G1346" s="269" t="n"/>
      <c r="H1346" s="269" t="n"/>
      <c r="I1346" s="269" t="n"/>
      <c r="J1346" s="269" t="n"/>
      <c r="K1346" s="269" t="n"/>
      <c r="L1346" s="269" t="n"/>
      <c r="M1346" s="269" t="n"/>
      <c r="N1346" s="269" t="n"/>
      <c r="O1346" s="269" t="n"/>
      <c r="P1346" s="269" t="n"/>
      <c r="Q1346" s="269" t="n"/>
      <c r="R1346" s="269" t="n"/>
      <c r="S1346" s="269" t="n"/>
      <c r="T1346" s="269" t="n"/>
      <c r="U1346" s="269" t="n"/>
      <c r="V1346" s="269" t="n"/>
      <c r="W1346" s="270" t="n"/>
    </row>
    <row r="1347" customFormat="1" s="163">
      <c r="A1347" s="282" t="n"/>
      <c r="B1347" s="268" t="n"/>
      <c r="C1347" s="269" t="n"/>
      <c r="D1347" s="269" t="n"/>
      <c r="E1347" s="269" t="n"/>
      <c r="F1347" s="269" t="n"/>
      <c r="G1347" s="269" t="n"/>
      <c r="H1347" s="269" t="n"/>
      <c r="I1347" s="269" t="n"/>
      <c r="J1347" s="269" t="n"/>
      <c r="K1347" s="269" t="n"/>
      <c r="L1347" s="269" t="n"/>
      <c r="M1347" s="269" t="n"/>
      <c r="N1347" s="269" t="n"/>
      <c r="O1347" s="269" t="n"/>
      <c r="P1347" s="269" t="n"/>
      <c r="Q1347" s="269" t="n"/>
      <c r="R1347" s="269" t="n"/>
      <c r="S1347" s="269" t="n"/>
      <c r="T1347" s="269" t="n"/>
      <c r="U1347" s="269" t="n"/>
      <c r="V1347" s="269" t="n"/>
      <c r="W1347" s="270" t="n"/>
    </row>
    <row r="1348" customFormat="1" s="163">
      <c r="A1348" s="282" t="n"/>
      <c r="B1348" s="268" t="n"/>
      <c r="C1348" s="269" t="n"/>
      <c r="D1348" s="269" t="n"/>
      <c r="E1348" s="269" t="n"/>
      <c r="F1348" s="269" t="n"/>
      <c r="G1348" s="269" t="n"/>
      <c r="H1348" s="269" t="n"/>
      <c r="I1348" s="269" t="n"/>
      <c r="J1348" s="269" t="n"/>
      <c r="K1348" s="269" t="n"/>
      <c r="L1348" s="269" t="n"/>
      <c r="M1348" s="269" t="n"/>
      <c r="N1348" s="269" t="n"/>
      <c r="O1348" s="269" t="n"/>
      <c r="P1348" s="269" t="n"/>
      <c r="Q1348" s="269" t="n"/>
      <c r="R1348" s="269" t="n"/>
      <c r="S1348" s="269" t="n"/>
      <c r="T1348" s="269" t="n"/>
      <c r="U1348" s="269" t="n"/>
      <c r="V1348" s="269" t="n"/>
      <c r="W1348" s="270" t="n"/>
    </row>
    <row r="1349" customFormat="1" s="163">
      <c r="A1349" s="282" t="n"/>
      <c r="B1349" s="268" t="n"/>
      <c r="C1349" s="269" t="n"/>
      <c r="D1349" s="269" t="n"/>
      <c r="E1349" s="269" t="n"/>
      <c r="F1349" s="269" t="n"/>
      <c r="G1349" s="269" t="n"/>
      <c r="H1349" s="269" t="n"/>
      <c r="I1349" s="269" t="n"/>
      <c r="J1349" s="269" t="n"/>
      <c r="K1349" s="269" t="n"/>
      <c r="L1349" s="269" t="n"/>
      <c r="M1349" s="269" t="n"/>
      <c r="N1349" s="269" t="n"/>
      <c r="O1349" s="269" t="n"/>
      <c r="P1349" s="269" t="n"/>
      <c r="Q1349" s="269" t="n"/>
      <c r="R1349" s="269" t="n"/>
      <c r="S1349" s="269" t="n"/>
      <c r="T1349" s="269" t="n"/>
      <c r="U1349" s="269" t="n"/>
      <c r="V1349" s="269" t="n"/>
      <c r="W1349" s="270" t="n"/>
    </row>
    <row r="1350" ht="12.6" customFormat="1" customHeight="1" s="163" thickBot="1">
      <c r="A1350" s="282" t="n"/>
      <c r="B1350" s="274" t="n"/>
      <c r="C1350" s="275" t="n"/>
      <c r="D1350" s="275" t="n"/>
      <c r="E1350" s="275" t="n"/>
      <c r="F1350" s="275" t="n"/>
      <c r="G1350" s="275" t="n"/>
      <c r="H1350" s="275" t="n"/>
      <c r="I1350" s="275" t="n"/>
      <c r="J1350" s="275" t="n"/>
      <c r="K1350" s="275" t="n"/>
      <c r="L1350" s="275" t="n"/>
      <c r="M1350" s="275" t="n"/>
      <c r="N1350" s="275" t="n"/>
      <c r="O1350" s="275" t="n"/>
      <c r="P1350" s="275" t="n"/>
      <c r="Q1350" s="275" t="n"/>
      <c r="R1350" s="275" t="n"/>
      <c r="S1350" s="275" t="n"/>
      <c r="T1350" s="275" t="n"/>
      <c r="U1350" s="275" t="n"/>
      <c r="V1350" s="275" t="n"/>
      <c r="W1350" s="276" t="n"/>
    </row>
    <row r="1351">
      <c r="B1351" s="279" t="n"/>
      <c r="C1351" s="280" t="n"/>
      <c r="D1351" s="280" t="n"/>
      <c r="E1351" s="280" t="n"/>
      <c r="F1351" s="280" t="n"/>
      <c r="G1351" s="280" t="n"/>
      <c r="H1351" s="280" t="n"/>
      <c r="I1351" s="280" t="n"/>
      <c r="J1351" s="280" t="n"/>
      <c r="K1351" s="280" t="n"/>
      <c r="L1351" s="280" t="n"/>
      <c r="M1351" s="280" t="n"/>
      <c r="N1351" s="280" t="n"/>
      <c r="O1351" s="280" t="n"/>
      <c r="P1351" s="280" t="n"/>
      <c r="Q1351" s="280" t="n"/>
      <c r="R1351" s="280" t="n"/>
      <c r="S1351" s="280" t="n"/>
      <c r="T1351" s="280" t="n"/>
      <c r="U1351" s="280" t="n"/>
      <c r="V1351" s="280" t="n"/>
      <c r="W1351" s="281" t="n"/>
    </row>
    <row r="1352">
      <c r="B1352" s="268" t="n"/>
      <c r="C1352" s="269" t="n"/>
      <c r="D1352" s="269" t="n"/>
      <c r="E1352" s="269" t="n"/>
      <c r="F1352" s="269" t="n"/>
      <c r="G1352" s="269" t="n"/>
      <c r="H1352" s="269" t="n"/>
      <c r="I1352" s="269" t="n"/>
      <c r="J1352" s="269" t="n"/>
      <c r="K1352" s="269" t="n"/>
      <c r="L1352" s="269" t="n"/>
      <c r="M1352" s="269" t="n"/>
      <c r="N1352" s="269" t="n"/>
      <c r="O1352" s="269" t="n"/>
      <c r="P1352" s="269" t="n"/>
      <c r="Q1352" s="269" t="n"/>
      <c r="R1352" s="269" t="n"/>
      <c r="S1352" s="269" t="n"/>
      <c r="T1352" s="269" t="n"/>
      <c r="U1352" s="269" t="n"/>
      <c r="V1352" s="269" t="n"/>
      <c r="W1352" s="270" t="n"/>
    </row>
    <row r="1353">
      <c r="B1353" s="268" t="n"/>
      <c r="C1353" s="269" t="n"/>
      <c r="D1353" s="269" t="n"/>
      <c r="E1353" s="269" t="n"/>
      <c r="F1353" s="269" t="n"/>
      <c r="G1353" s="269" t="n"/>
      <c r="H1353" s="269" t="n"/>
      <c r="I1353" s="269" t="n"/>
      <c r="J1353" s="269" t="n"/>
      <c r="K1353" s="269" t="n"/>
      <c r="L1353" s="269" t="n"/>
      <c r="M1353" s="269" t="n"/>
      <c r="N1353" s="269" t="n"/>
      <c r="O1353" s="269" t="n"/>
      <c r="P1353" s="269" t="n"/>
      <c r="Q1353" s="269" t="n"/>
      <c r="R1353" s="269" t="n"/>
      <c r="S1353" s="269" t="n"/>
      <c r="T1353" s="269" t="n"/>
      <c r="U1353" s="269" t="n"/>
      <c r="V1353" s="269" t="n"/>
      <c r="W1353" s="270" t="n"/>
    </row>
    <row r="1354">
      <c r="B1354" s="268" t="n"/>
      <c r="C1354" s="269" t="n"/>
      <c r="D1354" s="269" t="n"/>
      <c r="E1354" s="269" t="n"/>
      <c r="F1354" s="269" t="n"/>
      <c r="G1354" s="269" t="n"/>
      <c r="H1354" s="269" t="n"/>
      <c r="I1354" s="269" t="n"/>
      <c r="J1354" s="269" t="n"/>
      <c r="K1354" s="269" t="n"/>
      <c r="L1354" s="269" t="n"/>
      <c r="M1354" s="269" t="n"/>
      <c r="N1354" s="269" t="n"/>
      <c r="O1354" s="269" t="n"/>
      <c r="P1354" s="269" t="n"/>
      <c r="Q1354" s="269" t="n"/>
      <c r="R1354" s="269" t="n"/>
      <c r="S1354" s="269" t="n"/>
      <c r="T1354" s="269" t="n"/>
      <c r="U1354" s="269" t="n"/>
      <c r="V1354" s="269" t="n"/>
      <c r="W1354" s="270" t="n"/>
    </row>
    <row r="1355">
      <c r="B1355" s="268" t="n"/>
      <c r="C1355" s="269" t="n"/>
      <c r="D1355" s="269" t="n"/>
      <c r="E1355" s="269" t="n"/>
      <c r="F1355" s="269" t="n"/>
      <c r="G1355" s="269" t="n"/>
      <c r="H1355" s="269" t="n"/>
      <c r="I1355" s="269" t="n"/>
      <c r="J1355" s="269" t="n"/>
      <c r="K1355" s="269" t="n"/>
      <c r="L1355" s="269" t="n"/>
      <c r="M1355" s="269" t="n"/>
      <c r="N1355" s="269" t="n"/>
      <c r="O1355" s="269" t="n"/>
      <c r="P1355" s="269" t="n"/>
      <c r="Q1355" s="269" t="n"/>
      <c r="R1355" s="269" t="n"/>
      <c r="S1355" s="269" t="n"/>
      <c r="T1355" s="269" t="n"/>
      <c r="U1355" s="269" t="n"/>
      <c r="V1355" s="269" t="n"/>
      <c r="W1355" s="270" t="n"/>
    </row>
    <row r="1356">
      <c r="B1356" s="268" t="n"/>
      <c r="C1356" s="269" t="n"/>
      <c r="D1356" s="269" t="n"/>
      <c r="E1356" s="269" t="n"/>
      <c r="F1356" s="269" t="n"/>
      <c r="G1356" s="269" t="n"/>
      <c r="H1356" s="269" t="n"/>
      <c r="I1356" s="269" t="n"/>
      <c r="J1356" s="269" t="n"/>
      <c r="K1356" s="269" t="n"/>
      <c r="L1356" s="269" t="n"/>
      <c r="M1356" s="269" t="n"/>
      <c r="N1356" s="269" t="n"/>
      <c r="O1356" s="269" t="n"/>
      <c r="P1356" s="269" t="n"/>
      <c r="Q1356" s="269" t="n"/>
      <c r="R1356" s="269" t="n"/>
      <c r="S1356" s="269" t="n"/>
      <c r="T1356" s="269" t="n"/>
      <c r="U1356" s="269" t="n"/>
      <c r="V1356" s="269" t="n"/>
      <c r="W1356" s="270" t="n"/>
    </row>
    <row r="1357">
      <c r="B1357" s="268" t="n"/>
      <c r="C1357" s="269" t="n"/>
      <c r="D1357" s="269" t="n"/>
      <c r="E1357" s="269" t="n"/>
      <c r="F1357" s="269" t="n"/>
      <c r="G1357" s="269" t="n"/>
      <c r="H1357" s="269" t="n"/>
      <c r="I1357" s="269" t="n"/>
      <c r="J1357" s="269" t="n"/>
      <c r="K1357" s="269" t="n"/>
      <c r="L1357" s="269" t="n"/>
      <c r="M1357" s="269" t="n"/>
      <c r="N1357" s="269" t="n"/>
      <c r="O1357" s="269" t="n"/>
      <c r="P1357" s="269" t="n"/>
      <c r="Q1357" s="269" t="n"/>
      <c r="R1357" s="269" t="n"/>
      <c r="S1357" s="269" t="n"/>
      <c r="T1357" s="269" t="n"/>
      <c r="U1357" s="269" t="n"/>
      <c r="V1357" s="269" t="n"/>
      <c r="W1357" s="270" t="n"/>
    </row>
    <row r="1358">
      <c r="B1358" s="268" t="n"/>
      <c r="C1358" s="269" t="n"/>
      <c r="D1358" s="269" t="n"/>
      <c r="E1358" s="269" t="n"/>
      <c r="F1358" s="269" t="n"/>
      <c r="G1358" s="269" t="n"/>
      <c r="H1358" s="269" t="n"/>
      <c r="I1358" s="269" t="n"/>
      <c r="J1358" s="269" t="n"/>
      <c r="K1358" s="269" t="n"/>
      <c r="L1358" s="269" t="n"/>
      <c r="M1358" s="269" t="n"/>
      <c r="N1358" s="269" t="n"/>
      <c r="O1358" s="269" t="n"/>
      <c r="P1358" s="269" t="n"/>
      <c r="Q1358" s="269" t="n"/>
      <c r="R1358" s="269" t="n"/>
      <c r="S1358" s="269" t="n"/>
      <c r="T1358" s="269" t="n"/>
      <c r="U1358" s="269" t="n"/>
      <c r="V1358" s="269" t="n"/>
      <c r="W1358" s="270" t="n"/>
    </row>
    <row r="1359">
      <c r="B1359" s="268" t="n"/>
      <c r="C1359" s="269" t="n"/>
      <c r="D1359" s="269" t="n"/>
      <c r="E1359" s="269" t="n"/>
      <c r="F1359" s="269" t="n"/>
      <c r="G1359" s="269" t="n"/>
      <c r="H1359" s="269" t="n"/>
      <c r="I1359" s="269" t="n"/>
      <c r="J1359" s="269" t="n"/>
      <c r="K1359" s="269" t="n"/>
      <c r="L1359" s="269" t="n"/>
      <c r="M1359" s="269" t="n"/>
      <c r="N1359" s="269" t="n"/>
      <c r="O1359" s="269" t="n"/>
      <c r="P1359" s="269" t="n"/>
      <c r="Q1359" s="269" t="n"/>
      <c r="R1359" s="269" t="n"/>
      <c r="S1359" s="269" t="n"/>
      <c r="T1359" s="269" t="n"/>
      <c r="U1359" s="269" t="n"/>
      <c r="V1359" s="269" t="n"/>
      <c r="W1359" s="270" t="n"/>
    </row>
    <row r="1360">
      <c r="B1360" s="268" t="n"/>
      <c r="C1360" s="269" t="n"/>
      <c r="D1360" s="269" t="n"/>
      <c r="E1360" s="269" t="n"/>
      <c r="F1360" s="269" t="n"/>
      <c r="G1360" s="269" t="n"/>
      <c r="H1360" s="269" t="n"/>
      <c r="I1360" s="269" t="n"/>
      <c r="J1360" s="269" t="n"/>
      <c r="K1360" s="269" t="n"/>
      <c r="L1360" s="269" t="n"/>
      <c r="M1360" s="269" t="n"/>
      <c r="N1360" s="269" t="n"/>
      <c r="O1360" s="269" t="n"/>
      <c r="P1360" s="269" t="n"/>
      <c r="Q1360" s="269" t="n"/>
      <c r="R1360" s="269" t="n"/>
      <c r="S1360" s="269" t="n"/>
      <c r="T1360" s="269" t="n"/>
      <c r="U1360" s="269" t="n"/>
      <c r="V1360" s="269" t="n"/>
      <c r="W1360" s="270" t="n"/>
    </row>
    <row r="1361">
      <c r="B1361" s="268" t="n"/>
      <c r="C1361" s="269" t="n"/>
      <c r="D1361" s="269" t="n"/>
      <c r="E1361" s="269" t="n"/>
      <c r="F1361" s="269" t="n"/>
      <c r="G1361" s="269" t="n"/>
      <c r="H1361" s="269" t="n"/>
      <c r="I1361" s="269" t="n"/>
      <c r="J1361" s="269" t="n"/>
      <c r="K1361" s="269" t="n"/>
      <c r="L1361" s="269" t="n"/>
      <c r="M1361" s="269" t="n"/>
      <c r="N1361" s="269" t="n"/>
      <c r="O1361" s="269" t="n"/>
      <c r="P1361" s="269" t="n"/>
      <c r="Q1361" s="269" t="n"/>
      <c r="R1361" s="269" t="n"/>
      <c r="S1361" s="269" t="n"/>
      <c r="T1361" s="269" t="n"/>
      <c r="U1361" s="269" t="n"/>
      <c r="V1361" s="269" t="n"/>
      <c r="W1361" s="270" t="n"/>
    </row>
    <row r="1362">
      <c r="B1362" s="268" t="n"/>
      <c r="C1362" s="269" t="n"/>
      <c r="D1362" s="269" t="n"/>
      <c r="E1362" s="269" t="n"/>
      <c r="F1362" s="269" t="n"/>
      <c r="G1362" s="269" t="n"/>
      <c r="H1362" s="269" t="n"/>
      <c r="I1362" s="269" t="n"/>
      <c r="J1362" s="269" t="n"/>
      <c r="K1362" s="269" t="n"/>
      <c r="L1362" s="269" t="n"/>
      <c r="M1362" s="269" t="n"/>
      <c r="N1362" s="269" t="n"/>
      <c r="O1362" s="269" t="n"/>
      <c r="P1362" s="269" t="n"/>
      <c r="Q1362" s="269" t="n"/>
      <c r="R1362" s="269" t="n"/>
      <c r="S1362" s="269" t="n"/>
      <c r="T1362" s="269" t="n"/>
      <c r="U1362" s="269" t="n"/>
      <c r="V1362" s="269" t="n"/>
      <c r="W1362" s="270" t="n"/>
    </row>
    <row r="1363">
      <c r="B1363" s="268" t="n"/>
      <c r="C1363" s="269" t="n"/>
      <c r="D1363" s="269" t="n"/>
      <c r="E1363" s="269" t="n"/>
      <c r="F1363" s="269" t="n"/>
      <c r="G1363" s="269" t="n"/>
      <c r="H1363" s="269" t="n"/>
      <c r="I1363" s="269" t="n"/>
      <c r="J1363" s="269" t="n"/>
      <c r="K1363" s="269" t="n"/>
      <c r="L1363" s="269" t="n"/>
      <c r="M1363" s="269" t="n"/>
      <c r="N1363" s="269" t="n"/>
      <c r="O1363" s="269" t="n"/>
      <c r="P1363" s="269" t="n"/>
      <c r="Q1363" s="269" t="n"/>
      <c r="R1363" s="269" t="n"/>
      <c r="S1363" s="269" t="n"/>
      <c r="T1363" s="269" t="n"/>
      <c r="U1363" s="269" t="n"/>
      <c r="V1363" s="269" t="n"/>
      <c r="W1363" s="270" t="n"/>
    </row>
    <row r="1364">
      <c r="B1364" s="268" t="n"/>
      <c r="C1364" s="269" t="n"/>
      <c r="D1364" s="269" t="n"/>
      <c r="E1364" s="269" t="n"/>
      <c r="F1364" s="269" t="n"/>
      <c r="G1364" s="269" t="n"/>
      <c r="H1364" s="269" t="n"/>
      <c r="I1364" s="269" t="n"/>
      <c r="J1364" s="269" t="n"/>
      <c r="K1364" s="269" t="n"/>
      <c r="L1364" s="269" t="n"/>
      <c r="M1364" s="269" t="n"/>
      <c r="N1364" s="269" t="n"/>
      <c r="O1364" s="269" t="n"/>
      <c r="P1364" s="269" t="n"/>
      <c r="Q1364" s="269" t="n"/>
      <c r="R1364" s="269" t="n"/>
      <c r="S1364" s="269" t="n"/>
      <c r="T1364" s="269" t="n"/>
      <c r="U1364" s="269" t="n"/>
      <c r="V1364" s="269" t="n"/>
      <c r="W1364" s="270" t="n"/>
    </row>
    <row r="1365">
      <c r="B1365" s="268" t="n"/>
      <c r="C1365" s="269" t="n"/>
      <c r="D1365" s="269" t="n"/>
      <c r="E1365" s="269" t="n"/>
      <c r="F1365" s="269" t="n"/>
      <c r="G1365" s="269" t="n"/>
      <c r="H1365" s="269" t="n"/>
      <c r="I1365" s="269" t="n"/>
      <c r="J1365" s="269" t="n"/>
      <c r="K1365" s="269" t="n"/>
      <c r="L1365" s="269" t="n"/>
      <c r="M1365" s="269" t="n"/>
      <c r="N1365" s="269" t="n"/>
      <c r="O1365" s="269" t="n"/>
      <c r="P1365" s="269" t="n"/>
      <c r="Q1365" s="269" t="n"/>
      <c r="R1365" s="269" t="n"/>
      <c r="S1365" s="269" t="n"/>
      <c r="T1365" s="269" t="n"/>
      <c r="U1365" s="269" t="n"/>
      <c r="V1365" s="269" t="n"/>
      <c r="W1365" s="270" t="n"/>
    </row>
    <row r="1366">
      <c r="B1366" s="268" t="n"/>
      <c r="C1366" s="269" t="n"/>
      <c r="D1366" s="269" t="n"/>
      <c r="E1366" s="269" t="n"/>
      <c r="F1366" s="269" t="n"/>
      <c r="G1366" s="269" t="n"/>
      <c r="H1366" s="269" t="n"/>
      <c r="I1366" s="269" t="n"/>
      <c r="J1366" s="269" t="n"/>
      <c r="K1366" s="269" t="n"/>
      <c r="L1366" s="269" t="n"/>
      <c r="M1366" s="269" t="n"/>
      <c r="N1366" s="269" t="n"/>
      <c r="O1366" s="269" t="n"/>
      <c r="P1366" s="269" t="n"/>
      <c r="Q1366" s="269" t="n"/>
      <c r="R1366" s="269" t="n"/>
      <c r="S1366" s="269" t="n"/>
      <c r="T1366" s="269" t="n"/>
      <c r="U1366" s="269" t="n"/>
      <c r="V1366" s="269" t="n"/>
      <c r="W1366" s="270" t="n"/>
    </row>
    <row r="1367">
      <c r="B1367" s="268" t="n"/>
      <c r="C1367" s="269" t="n"/>
      <c r="D1367" s="269" t="n"/>
      <c r="E1367" s="269" t="n"/>
      <c r="F1367" s="269" t="n"/>
      <c r="G1367" s="269" t="n"/>
      <c r="H1367" s="269" t="n"/>
      <c r="I1367" s="269" t="n"/>
      <c r="J1367" s="269" t="n"/>
      <c r="K1367" s="269" t="n"/>
      <c r="L1367" s="269" t="n"/>
      <c r="M1367" s="269" t="n"/>
      <c r="N1367" s="269" t="n"/>
      <c r="O1367" s="269" t="n"/>
      <c r="P1367" s="269" t="n"/>
      <c r="Q1367" s="269" t="n"/>
      <c r="R1367" s="269" t="n"/>
      <c r="S1367" s="269" t="n"/>
      <c r="T1367" s="269" t="n"/>
      <c r="U1367" s="269" t="n"/>
      <c r="V1367" s="269" t="n"/>
      <c r="W1367" s="270" t="n"/>
    </row>
    <row r="1368">
      <c r="B1368" s="268" t="n"/>
      <c r="C1368" s="269" t="n"/>
      <c r="D1368" s="269" t="n"/>
      <c r="E1368" s="269" t="n"/>
      <c r="F1368" s="269" t="n"/>
      <c r="G1368" s="269" t="n"/>
      <c r="H1368" s="269" t="n"/>
      <c r="I1368" s="269" t="n"/>
      <c r="J1368" s="269" t="n"/>
      <c r="K1368" s="269" t="n"/>
      <c r="L1368" s="269" t="n"/>
      <c r="M1368" s="269" t="n"/>
      <c r="N1368" s="269" t="n"/>
      <c r="O1368" s="269" t="n"/>
      <c r="P1368" s="269" t="n"/>
      <c r="Q1368" s="269" t="n"/>
      <c r="R1368" s="269" t="n"/>
      <c r="S1368" s="269" t="n"/>
      <c r="T1368" s="269" t="n"/>
      <c r="U1368" s="269" t="n"/>
      <c r="V1368" s="269" t="n"/>
      <c r="W1368" s="270" t="n"/>
    </row>
    <row r="1369">
      <c r="B1369" s="268" t="n"/>
      <c r="C1369" s="269" t="n"/>
      <c r="D1369" s="269" t="n"/>
      <c r="E1369" s="269" t="n"/>
      <c r="F1369" s="269" t="n"/>
      <c r="G1369" s="269" t="n"/>
      <c r="H1369" s="269" t="n"/>
      <c r="I1369" s="269" t="n"/>
      <c r="J1369" s="269" t="n"/>
      <c r="K1369" s="269" t="n"/>
      <c r="L1369" s="269" t="n"/>
      <c r="M1369" s="269" t="n"/>
      <c r="N1369" s="269" t="n"/>
      <c r="O1369" s="269" t="n"/>
      <c r="P1369" s="269" t="n"/>
      <c r="Q1369" s="269" t="n"/>
      <c r="R1369" s="269" t="n"/>
      <c r="S1369" s="269" t="n"/>
      <c r="T1369" s="269" t="n"/>
      <c r="U1369" s="269" t="n"/>
      <c r="V1369" s="269" t="n"/>
      <c r="W1369" s="270" t="n"/>
    </row>
    <row r="1370">
      <c r="B1370" s="268" t="n"/>
      <c r="C1370" s="269" t="n"/>
      <c r="D1370" s="269" t="n"/>
      <c r="E1370" s="269" t="n"/>
      <c r="F1370" s="269" t="n"/>
      <c r="G1370" s="269" t="n"/>
      <c r="H1370" s="269" t="n"/>
      <c r="I1370" s="269" t="n"/>
      <c r="J1370" s="269" t="n"/>
      <c r="K1370" s="269" t="n"/>
      <c r="L1370" s="269" t="n"/>
      <c r="M1370" s="269" t="n"/>
      <c r="N1370" s="269" t="n"/>
      <c r="O1370" s="269" t="n"/>
      <c r="P1370" s="269" t="n"/>
      <c r="Q1370" s="269" t="n"/>
      <c r="R1370" s="269" t="n"/>
      <c r="S1370" s="269" t="n"/>
      <c r="T1370" s="269" t="n"/>
      <c r="U1370" s="269" t="n"/>
      <c r="V1370" s="269" t="n"/>
      <c r="W1370" s="270" t="n"/>
    </row>
    <row r="1371">
      <c r="B1371" s="268" t="n"/>
      <c r="C1371" s="269" t="n"/>
      <c r="D1371" s="269" t="n"/>
      <c r="E1371" s="269" t="n"/>
      <c r="F1371" s="269" t="n"/>
      <c r="G1371" s="269" t="n"/>
      <c r="H1371" s="269" t="n"/>
      <c r="I1371" s="269" t="n"/>
      <c r="J1371" s="269" t="n"/>
      <c r="K1371" s="269" t="n"/>
      <c r="L1371" s="269" t="n"/>
      <c r="M1371" s="269" t="n"/>
      <c r="N1371" s="269" t="n"/>
      <c r="O1371" s="269" t="n"/>
      <c r="P1371" s="269" t="n"/>
      <c r="Q1371" s="269" t="n"/>
      <c r="R1371" s="269" t="n"/>
      <c r="S1371" s="269" t="n"/>
      <c r="T1371" s="269" t="n"/>
      <c r="U1371" s="269" t="n"/>
      <c r="V1371" s="269" t="n"/>
      <c r="W1371" s="270" t="n"/>
    </row>
    <row r="1372">
      <c r="B1372" s="268" t="n"/>
      <c r="C1372" s="269" t="n"/>
      <c r="D1372" s="269" t="n"/>
      <c r="E1372" s="269" t="n"/>
      <c r="F1372" s="269" t="n"/>
      <c r="G1372" s="269" t="n"/>
      <c r="H1372" s="269" t="n"/>
      <c r="I1372" s="269" t="n"/>
      <c r="J1372" s="269" t="n"/>
      <c r="K1372" s="269" t="n"/>
      <c r="L1372" s="269" t="n"/>
      <c r="M1372" s="269" t="n"/>
      <c r="N1372" s="269" t="n"/>
      <c r="O1372" s="269" t="n"/>
      <c r="P1372" s="269" t="n"/>
      <c r="Q1372" s="269" t="n"/>
      <c r="R1372" s="269" t="n"/>
      <c r="S1372" s="269" t="n"/>
      <c r="T1372" s="269" t="n"/>
      <c r="U1372" s="269" t="n"/>
      <c r="V1372" s="269" t="n"/>
      <c r="W1372" s="270" t="n"/>
    </row>
    <row r="1373">
      <c r="B1373" s="268" t="n"/>
      <c r="C1373" s="269" t="n"/>
      <c r="D1373" s="269" t="n"/>
      <c r="E1373" s="269" t="n"/>
      <c r="F1373" s="269" t="n"/>
      <c r="G1373" s="269" t="n"/>
      <c r="H1373" s="269" t="n"/>
      <c r="I1373" s="269" t="n"/>
      <c r="J1373" s="269" t="n"/>
      <c r="K1373" s="269" t="n"/>
      <c r="L1373" s="269" t="n"/>
      <c r="M1373" s="269" t="n"/>
      <c r="N1373" s="269" t="n"/>
      <c r="O1373" s="269" t="n"/>
      <c r="P1373" s="269" t="n"/>
      <c r="Q1373" s="269" t="n"/>
      <c r="R1373" s="269" t="n"/>
      <c r="S1373" s="269" t="n"/>
      <c r="T1373" s="269" t="n"/>
      <c r="U1373" s="269" t="n"/>
      <c r="V1373" s="269" t="n"/>
      <c r="W1373" s="270" t="n"/>
    </row>
    <row r="1374">
      <c r="B1374" s="268" t="n"/>
      <c r="C1374" s="269" t="n"/>
      <c r="D1374" s="269" t="n"/>
      <c r="E1374" s="269" t="n"/>
      <c r="F1374" s="269" t="n"/>
      <c r="G1374" s="269" t="n"/>
      <c r="H1374" s="269" t="n"/>
      <c r="I1374" s="269" t="n"/>
      <c r="J1374" s="269" t="n"/>
      <c r="K1374" s="269" t="n"/>
      <c r="L1374" s="269" t="n"/>
      <c r="M1374" s="269" t="n"/>
      <c r="N1374" s="269" t="n"/>
      <c r="O1374" s="269" t="n"/>
      <c r="P1374" s="269" t="n"/>
      <c r="Q1374" s="269" t="n"/>
      <c r="R1374" s="269" t="n"/>
      <c r="S1374" s="269" t="n"/>
      <c r="T1374" s="269" t="n"/>
      <c r="U1374" s="269" t="n"/>
      <c r="V1374" s="269" t="n"/>
      <c r="W1374" s="270" t="n"/>
    </row>
    <row r="1375">
      <c r="B1375" s="268" t="n"/>
      <c r="C1375" s="269" t="n"/>
      <c r="D1375" s="269" t="n"/>
      <c r="E1375" s="269" t="n"/>
      <c r="F1375" s="269" t="n"/>
      <c r="G1375" s="269" t="n"/>
      <c r="H1375" s="269" t="n"/>
      <c r="I1375" s="269" t="n"/>
      <c r="J1375" s="269" t="n"/>
      <c r="K1375" s="269" t="n"/>
      <c r="L1375" s="269" t="n"/>
      <c r="M1375" s="269" t="n"/>
      <c r="N1375" s="269" t="n"/>
      <c r="O1375" s="269" t="n"/>
      <c r="P1375" s="269" t="n"/>
      <c r="Q1375" s="269" t="n"/>
      <c r="R1375" s="269" t="n"/>
      <c r="S1375" s="269" t="n"/>
      <c r="T1375" s="269" t="n"/>
      <c r="U1375" s="269" t="n"/>
      <c r="V1375" s="269" t="n"/>
      <c r="W1375" s="270" t="n"/>
    </row>
    <row r="1376">
      <c r="B1376" s="268" t="n"/>
      <c r="C1376" s="269" t="n"/>
      <c r="D1376" s="269" t="n"/>
      <c r="E1376" s="269" t="n"/>
      <c r="F1376" s="269" t="n"/>
      <c r="G1376" s="269" t="n"/>
      <c r="H1376" s="269" t="n"/>
      <c r="I1376" s="269" t="n"/>
      <c r="J1376" s="269" t="n"/>
      <c r="K1376" s="269" t="n"/>
      <c r="L1376" s="269" t="n"/>
      <c r="M1376" s="269" t="n"/>
      <c r="N1376" s="269" t="n"/>
      <c r="O1376" s="269" t="n"/>
      <c r="P1376" s="269" t="n"/>
      <c r="Q1376" s="269" t="n"/>
      <c r="R1376" s="269" t="n"/>
      <c r="S1376" s="269" t="n"/>
      <c r="T1376" s="269" t="n"/>
      <c r="U1376" s="269" t="n"/>
      <c r="V1376" s="269" t="n"/>
      <c r="W1376" s="270" t="n"/>
    </row>
    <row r="1377">
      <c r="B1377" s="268" t="n"/>
      <c r="C1377" s="269" t="n"/>
      <c r="D1377" s="269" t="n"/>
      <c r="E1377" s="269" t="n"/>
      <c r="F1377" s="269" t="n"/>
      <c r="G1377" s="269" t="n"/>
      <c r="H1377" s="269" t="n"/>
      <c r="I1377" s="269" t="n"/>
      <c r="J1377" s="269" t="n"/>
      <c r="K1377" s="269" t="n"/>
      <c r="L1377" s="269" t="n"/>
      <c r="M1377" s="269" t="n"/>
      <c r="N1377" s="269" t="n"/>
      <c r="O1377" s="269" t="n"/>
      <c r="P1377" s="269" t="n"/>
      <c r="Q1377" s="269" t="n"/>
      <c r="R1377" s="269" t="n"/>
      <c r="S1377" s="269" t="n"/>
      <c r="T1377" s="269" t="n"/>
      <c r="U1377" s="269" t="n"/>
      <c r="V1377" s="269" t="n"/>
      <c r="W1377" s="270" t="n"/>
    </row>
    <row r="1378">
      <c r="B1378" s="268" t="n"/>
      <c r="C1378" s="269" t="n"/>
      <c r="D1378" s="269" t="n"/>
      <c r="E1378" s="269" t="n"/>
      <c r="F1378" s="269" t="n"/>
      <c r="G1378" s="269" t="n"/>
      <c r="H1378" s="269" t="n"/>
      <c r="I1378" s="269" t="n"/>
      <c r="J1378" s="269" t="n"/>
      <c r="K1378" s="269" t="n"/>
      <c r="L1378" s="269" t="n"/>
      <c r="M1378" s="269" t="n"/>
      <c r="N1378" s="269" t="n"/>
      <c r="O1378" s="269" t="n"/>
      <c r="P1378" s="269" t="n"/>
      <c r="Q1378" s="269" t="n"/>
      <c r="R1378" s="269" t="n"/>
      <c r="S1378" s="269" t="n"/>
      <c r="T1378" s="269" t="n"/>
      <c r="U1378" s="269" t="n"/>
      <c r="V1378" s="269" t="n"/>
      <c r="W1378" s="270" t="n"/>
    </row>
    <row r="1379">
      <c r="B1379" s="268" t="n"/>
      <c r="C1379" s="269" t="n"/>
      <c r="D1379" s="269" t="n"/>
      <c r="E1379" s="269" t="n"/>
      <c r="F1379" s="269" t="n"/>
      <c r="G1379" s="269" t="n"/>
      <c r="H1379" s="269" t="n"/>
      <c r="I1379" s="269" t="n"/>
      <c r="J1379" s="269" t="n"/>
      <c r="K1379" s="269" t="n"/>
      <c r="L1379" s="269" t="n"/>
      <c r="M1379" s="269" t="n"/>
      <c r="N1379" s="269" t="n"/>
      <c r="O1379" s="269" t="n"/>
      <c r="P1379" s="269" t="n"/>
      <c r="Q1379" s="269" t="n"/>
      <c r="R1379" s="269" t="n"/>
      <c r="S1379" s="269" t="n"/>
      <c r="T1379" s="269" t="n"/>
      <c r="U1379" s="269" t="n"/>
      <c r="V1379" s="269" t="n"/>
      <c r="W1379" s="270" t="n"/>
    </row>
    <row r="1380">
      <c r="B1380" s="268" t="n"/>
      <c r="C1380" s="269" t="n"/>
      <c r="D1380" s="269" t="n"/>
      <c r="E1380" s="269" t="n"/>
      <c r="F1380" s="269" t="n"/>
      <c r="G1380" s="269" t="n"/>
      <c r="H1380" s="269" t="n"/>
      <c r="I1380" s="269" t="n"/>
      <c r="J1380" s="269" t="n"/>
      <c r="K1380" s="269" t="n"/>
      <c r="L1380" s="269" t="n"/>
      <c r="M1380" s="269" t="n"/>
      <c r="N1380" s="269" t="n"/>
      <c r="O1380" s="269" t="n"/>
      <c r="P1380" s="269" t="n"/>
      <c r="Q1380" s="269" t="n"/>
      <c r="R1380" s="269" t="n"/>
      <c r="S1380" s="269" t="n"/>
      <c r="T1380" s="269" t="n"/>
      <c r="U1380" s="269" t="n"/>
      <c r="V1380" s="269" t="n"/>
      <c r="W1380" s="270" t="n"/>
    </row>
    <row r="1381">
      <c r="B1381" s="268" t="n"/>
      <c r="C1381" s="269" t="n"/>
      <c r="D1381" s="269" t="n"/>
      <c r="E1381" s="269" t="n"/>
      <c r="F1381" s="269" t="n"/>
      <c r="G1381" s="269" t="n"/>
      <c r="H1381" s="269" t="n"/>
      <c r="I1381" s="269" t="n"/>
      <c r="J1381" s="269" t="n"/>
      <c r="K1381" s="269" t="n"/>
      <c r="L1381" s="269" t="n"/>
      <c r="M1381" s="269" t="n"/>
      <c r="N1381" s="269" t="n"/>
      <c r="O1381" s="269" t="n"/>
      <c r="P1381" s="269" t="n"/>
      <c r="Q1381" s="269" t="n"/>
      <c r="R1381" s="269" t="n"/>
      <c r="S1381" s="269" t="n"/>
      <c r="T1381" s="269" t="n"/>
      <c r="U1381" s="269" t="n"/>
      <c r="V1381" s="269" t="n"/>
      <c r="W1381" s="270" t="n"/>
    </row>
    <row r="1382">
      <c r="B1382" s="268" t="n"/>
      <c r="C1382" s="269" t="n"/>
      <c r="D1382" s="269" t="n"/>
      <c r="E1382" s="269" t="n"/>
      <c r="F1382" s="269" t="n"/>
      <c r="G1382" s="269" t="n"/>
      <c r="H1382" s="269" t="n"/>
      <c r="I1382" s="269" t="n"/>
      <c r="J1382" s="269" t="n"/>
      <c r="K1382" s="269" t="n"/>
      <c r="L1382" s="269" t="n"/>
      <c r="M1382" s="269" t="n"/>
      <c r="N1382" s="269" t="n"/>
      <c r="O1382" s="269" t="n"/>
      <c r="P1382" s="269" t="n"/>
      <c r="Q1382" s="269" t="n"/>
      <c r="R1382" s="269" t="n"/>
      <c r="S1382" s="269" t="n"/>
      <c r="T1382" s="269" t="n"/>
      <c r="U1382" s="269" t="n"/>
      <c r="V1382" s="269" t="n"/>
      <c r="W1382" s="270" t="n"/>
    </row>
    <row r="1383">
      <c r="B1383" s="268" t="n"/>
      <c r="C1383" s="269" t="n"/>
      <c r="D1383" s="269" t="n"/>
      <c r="E1383" s="269" t="n"/>
      <c r="F1383" s="269" t="n"/>
      <c r="G1383" s="269" t="n"/>
      <c r="H1383" s="269" t="n"/>
      <c r="I1383" s="269" t="n"/>
      <c r="J1383" s="269" t="n"/>
      <c r="K1383" s="269" t="n"/>
      <c r="L1383" s="269" t="n"/>
      <c r="M1383" s="269" t="n"/>
      <c r="N1383" s="269" t="n"/>
      <c r="O1383" s="269" t="n"/>
      <c r="P1383" s="269" t="n"/>
      <c r="Q1383" s="269" t="n"/>
      <c r="R1383" s="269" t="n"/>
      <c r="S1383" s="269" t="n"/>
      <c r="T1383" s="269" t="n"/>
      <c r="U1383" s="269" t="n"/>
      <c r="V1383" s="269" t="n"/>
      <c r="W1383" s="270" t="n"/>
    </row>
    <row r="1384">
      <c r="B1384" s="268" t="n"/>
      <c r="C1384" s="269" t="n"/>
      <c r="D1384" s="269" t="n"/>
      <c r="E1384" s="269" t="n"/>
      <c r="F1384" s="269" t="n"/>
      <c r="G1384" s="269" t="n"/>
      <c r="H1384" s="269" t="n"/>
      <c r="I1384" s="269" t="n"/>
      <c r="J1384" s="269" t="n"/>
      <c r="K1384" s="269" t="n"/>
      <c r="L1384" s="269" t="n"/>
      <c r="M1384" s="269" t="n"/>
      <c r="N1384" s="269" t="n"/>
      <c r="O1384" s="269" t="n"/>
      <c r="P1384" s="269" t="n"/>
      <c r="Q1384" s="269" t="n"/>
      <c r="R1384" s="269" t="n"/>
      <c r="S1384" s="269" t="n"/>
      <c r="T1384" s="269" t="n"/>
      <c r="U1384" s="269" t="n"/>
      <c r="V1384" s="269" t="n"/>
      <c r="W1384" s="270" t="n"/>
    </row>
    <row r="1385">
      <c r="B1385" s="268" t="n"/>
      <c r="C1385" s="269" t="n"/>
      <c r="D1385" s="269" t="n"/>
      <c r="E1385" s="269" t="n"/>
      <c r="F1385" s="269" t="n"/>
      <c r="G1385" s="269" t="n"/>
      <c r="H1385" s="269" t="n"/>
      <c r="I1385" s="269" t="n"/>
      <c r="J1385" s="269" t="n"/>
      <c r="K1385" s="269" t="n"/>
      <c r="L1385" s="269" t="n"/>
      <c r="M1385" s="269" t="n"/>
      <c r="N1385" s="269" t="n"/>
      <c r="O1385" s="269" t="n"/>
      <c r="P1385" s="269" t="n"/>
      <c r="Q1385" s="269" t="n"/>
      <c r="R1385" s="269" t="n"/>
      <c r="S1385" s="269" t="n"/>
      <c r="T1385" s="269" t="n"/>
      <c r="U1385" s="269" t="n"/>
      <c r="V1385" s="269" t="n"/>
      <c r="W1385" s="270" t="n"/>
    </row>
    <row r="1386">
      <c r="B1386" s="268" t="n"/>
      <c r="C1386" s="269" t="n"/>
      <c r="D1386" s="269" t="n"/>
      <c r="E1386" s="269" t="n"/>
      <c r="F1386" s="269" t="n"/>
      <c r="G1386" s="269" t="n"/>
      <c r="H1386" s="269" t="n"/>
      <c r="I1386" s="269" t="n"/>
      <c r="J1386" s="269" t="n"/>
      <c r="K1386" s="269" t="n"/>
      <c r="L1386" s="269" t="n"/>
      <c r="M1386" s="269" t="n"/>
      <c r="N1386" s="269" t="n"/>
      <c r="O1386" s="269" t="n"/>
      <c r="P1386" s="269" t="n"/>
      <c r="Q1386" s="269" t="n"/>
      <c r="R1386" s="269" t="n"/>
      <c r="S1386" s="269" t="n"/>
      <c r="T1386" s="269" t="n"/>
      <c r="U1386" s="269" t="n"/>
      <c r="V1386" s="269" t="n"/>
      <c r="W1386" s="270" t="n"/>
    </row>
    <row r="1387">
      <c r="B1387" s="268" t="n"/>
      <c r="C1387" s="269" t="n"/>
      <c r="D1387" s="269" t="n"/>
      <c r="E1387" s="269" t="n"/>
      <c r="F1387" s="269" t="n"/>
      <c r="G1387" s="269" t="n"/>
      <c r="H1387" s="269" t="n"/>
      <c r="I1387" s="269" t="n"/>
      <c r="J1387" s="269" t="n"/>
      <c r="K1387" s="269" t="n"/>
      <c r="L1387" s="269" t="n"/>
      <c r="M1387" s="269" t="n"/>
      <c r="N1387" s="269" t="n"/>
      <c r="O1387" s="269" t="n"/>
      <c r="P1387" s="269" t="n"/>
      <c r="Q1387" s="269" t="n"/>
      <c r="R1387" s="269" t="n"/>
      <c r="S1387" s="269" t="n"/>
      <c r="T1387" s="269" t="n"/>
      <c r="U1387" s="269" t="n"/>
      <c r="V1387" s="269" t="n"/>
      <c r="W1387" s="270" t="n"/>
    </row>
    <row r="1388">
      <c r="B1388" s="268" t="n"/>
      <c r="C1388" s="269" t="n"/>
      <c r="D1388" s="269" t="n"/>
      <c r="E1388" s="269" t="n"/>
      <c r="F1388" s="269" t="n"/>
      <c r="G1388" s="269" t="n"/>
      <c r="H1388" s="269" t="n"/>
      <c r="I1388" s="269" t="n"/>
      <c r="J1388" s="269" t="n"/>
      <c r="K1388" s="269" t="n"/>
      <c r="L1388" s="269" t="n"/>
      <c r="M1388" s="269" t="n"/>
      <c r="N1388" s="269" t="n"/>
      <c r="O1388" s="269" t="n"/>
      <c r="P1388" s="269" t="n"/>
      <c r="Q1388" s="269" t="n"/>
      <c r="R1388" s="269" t="n"/>
      <c r="S1388" s="269" t="n"/>
      <c r="T1388" s="269" t="n"/>
      <c r="U1388" s="269" t="n"/>
      <c r="V1388" s="269" t="n"/>
      <c r="W1388" s="270" t="n"/>
    </row>
    <row r="1389">
      <c r="B1389" s="268" t="n"/>
      <c r="C1389" s="269" t="n"/>
      <c r="D1389" s="269" t="n"/>
      <c r="E1389" s="269" t="n"/>
      <c r="F1389" s="269" t="n"/>
      <c r="G1389" s="269" t="n"/>
      <c r="H1389" s="269" t="n"/>
      <c r="I1389" s="269" t="n"/>
      <c r="J1389" s="269" t="n"/>
      <c r="K1389" s="269" t="n"/>
      <c r="L1389" s="269" t="n"/>
      <c r="M1389" s="269" t="n"/>
      <c r="N1389" s="269" t="n"/>
      <c r="O1389" s="269" t="n"/>
      <c r="P1389" s="269" t="n"/>
      <c r="Q1389" s="269" t="n"/>
      <c r="R1389" s="269" t="n"/>
      <c r="S1389" s="269" t="n"/>
      <c r="T1389" s="269" t="n"/>
      <c r="U1389" s="269" t="n"/>
      <c r="V1389" s="269" t="n"/>
      <c r="W1389" s="270" t="n"/>
    </row>
    <row r="1390">
      <c r="B1390" s="268" t="n"/>
      <c r="C1390" s="269" t="n"/>
      <c r="D1390" s="269" t="n"/>
      <c r="E1390" s="269" t="n"/>
      <c r="F1390" s="269" t="n"/>
      <c r="G1390" s="269" t="n"/>
      <c r="H1390" s="269" t="n"/>
      <c r="I1390" s="269" t="n"/>
      <c r="J1390" s="269" t="n"/>
      <c r="K1390" s="269" t="n"/>
      <c r="L1390" s="269" t="n"/>
      <c r="M1390" s="269" t="n"/>
      <c r="N1390" s="269" t="n"/>
      <c r="O1390" s="269" t="n"/>
      <c r="P1390" s="269" t="n"/>
      <c r="Q1390" s="269" t="n"/>
      <c r="R1390" s="269" t="n"/>
      <c r="S1390" s="269" t="n"/>
      <c r="T1390" s="269" t="n"/>
      <c r="U1390" s="269" t="n"/>
      <c r="V1390" s="269" t="n"/>
      <c r="W1390" s="270" t="n"/>
    </row>
    <row r="1391">
      <c r="B1391" s="268" t="n"/>
      <c r="C1391" s="269" t="n"/>
      <c r="D1391" s="269" t="n"/>
      <c r="E1391" s="269" t="n"/>
      <c r="F1391" s="269" t="n"/>
      <c r="G1391" s="269" t="n"/>
      <c r="H1391" s="269" t="n"/>
      <c r="I1391" s="269" t="n"/>
      <c r="J1391" s="269" t="n"/>
      <c r="K1391" s="269" t="n"/>
      <c r="L1391" s="269" t="n"/>
      <c r="M1391" s="269" t="n"/>
      <c r="N1391" s="269" t="n"/>
      <c r="O1391" s="269" t="n"/>
      <c r="P1391" s="269" t="n"/>
      <c r="Q1391" s="269" t="n"/>
      <c r="R1391" s="269" t="n"/>
      <c r="S1391" s="269" t="n"/>
      <c r="T1391" s="269" t="n"/>
      <c r="U1391" s="269" t="n"/>
      <c r="V1391" s="269" t="n"/>
      <c r="W1391" s="270" t="n"/>
    </row>
    <row r="1392">
      <c r="B1392" s="268" t="n"/>
      <c r="C1392" s="269" t="n"/>
      <c r="D1392" s="269" t="n"/>
      <c r="E1392" s="269" t="n"/>
      <c r="F1392" s="269" t="n"/>
      <c r="G1392" s="269" t="n"/>
      <c r="H1392" s="269" t="n"/>
      <c r="I1392" s="269" t="n"/>
      <c r="J1392" s="269" t="n"/>
      <c r="K1392" s="269" t="n"/>
      <c r="L1392" s="269" t="n"/>
      <c r="M1392" s="269" t="n"/>
      <c r="N1392" s="269" t="n"/>
      <c r="O1392" s="269" t="n"/>
      <c r="P1392" s="269" t="n"/>
      <c r="Q1392" s="269" t="n"/>
      <c r="R1392" s="269" t="n"/>
      <c r="S1392" s="269" t="n"/>
      <c r="T1392" s="269" t="n"/>
      <c r="U1392" s="269" t="n"/>
      <c r="V1392" s="269" t="n"/>
      <c r="W1392" s="270" t="n"/>
    </row>
    <row r="1393">
      <c r="B1393" s="268" t="n"/>
      <c r="C1393" s="269" t="n"/>
      <c r="D1393" s="269" t="n"/>
      <c r="E1393" s="269" t="n"/>
      <c r="F1393" s="269" t="n"/>
      <c r="G1393" s="269" t="n"/>
      <c r="H1393" s="269" t="n"/>
      <c r="I1393" s="269" t="n"/>
      <c r="J1393" s="269" t="n"/>
      <c r="K1393" s="269" t="n"/>
      <c r="L1393" s="269" t="n"/>
      <c r="M1393" s="269" t="n"/>
      <c r="N1393" s="269" t="n"/>
      <c r="O1393" s="269" t="n"/>
      <c r="P1393" s="269" t="n"/>
      <c r="Q1393" s="269" t="n"/>
      <c r="R1393" s="269" t="n"/>
      <c r="S1393" s="269" t="n"/>
      <c r="T1393" s="269" t="n"/>
      <c r="U1393" s="269" t="n"/>
      <c r="V1393" s="269" t="n"/>
      <c r="W1393" s="270" t="n"/>
    </row>
    <row r="1394">
      <c r="B1394" s="268" t="n"/>
      <c r="C1394" s="269" t="n"/>
      <c r="D1394" s="269" t="n"/>
      <c r="E1394" s="269" t="n"/>
      <c r="F1394" s="269" t="n"/>
      <c r="G1394" s="269" t="n"/>
      <c r="H1394" s="269" t="n"/>
      <c r="I1394" s="269" t="n"/>
      <c r="J1394" s="269" t="n"/>
      <c r="K1394" s="269" t="n"/>
      <c r="L1394" s="269" t="n"/>
      <c r="M1394" s="269" t="n"/>
      <c r="N1394" s="269" t="n"/>
      <c r="O1394" s="269" t="n"/>
      <c r="P1394" s="269" t="n"/>
      <c r="Q1394" s="269" t="n"/>
      <c r="R1394" s="269" t="n"/>
      <c r="S1394" s="269" t="n"/>
      <c r="T1394" s="269" t="n"/>
      <c r="U1394" s="269" t="n"/>
      <c r="V1394" s="269" t="n"/>
      <c r="W1394" s="270" t="n"/>
    </row>
    <row r="1395">
      <c r="B1395" s="268" t="n"/>
      <c r="C1395" s="269" t="n"/>
      <c r="D1395" s="269" t="n"/>
      <c r="E1395" s="269" t="n"/>
      <c r="F1395" s="269" t="n"/>
      <c r="G1395" s="269" t="n"/>
      <c r="H1395" s="269" t="n"/>
      <c r="I1395" s="269" t="n"/>
      <c r="J1395" s="269" t="n"/>
      <c r="K1395" s="269" t="n"/>
      <c r="L1395" s="269" t="n"/>
      <c r="M1395" s="269" t="n"/>
      <c r="N1395" s="269" t="n"/>
      <c r="O1395" s="269" t="n"/>
      <c r="P1395" s="269" t="n"/>
      <c r="Q1395" s="269" t="n"/>
      <c r="R1395" s="269" t="n"/>
      <c r="S1395" s="269" t="n"/>
      <c r="T1395" s="269" t="n"/>
      <c r="U1395" s="269" t="n"/>
      <c r="V1395" s="269" t="n"/>
      <c r="W1395" s="270" t="n"/>
    </row>
    <row r="1396">
      <c r="B1396" s="268" t="n"/>
      <c r="C1396" s="269" t="n"/>
      <c r="D1396" s="269" t="n"/>
      <c r="E1396" s="269" t="n"/>
      <c r="F1396" s="269" t="n"/>
      <c r="G1396" s="269" t="n"/>
      <c r="H1396" s="269" t="n"/>
      <c r="I1396" s="269" t="n"/>
      <c r="J1396" s="269" t="n"/>
      <c r="K1396" s="269" t="n"/>
      <c r="L1396" s="269" t="n"/>
      <c r="M1396" s="269" t="n"/>
      <c r="N1396" s="269" t="n"/>
      <c r="O1396" s="269" t="n"/>
      <c r="P1396" s="269" t="n"/>
      <c r="Q1396" s="269" t="n"/>
      <c r="R1396" s="269" t="n"/>
      <c r="S1396" s="269" t="n"/>
      <c r="T1396" s="269" t="n"/>
      <c r="U1396" s="269" t="n"/>
      <c r="V1396" s="269" t="n"/>
      <c r="W1396" s="270" t="n"/>
    </row>
    <row r="1397">
      <c r="B1397" s="268" t="n"/>
      <c r="C1397" s="269" t="n"/>
      <c r="D1397" s="269" t="n"/>
      <c r="E1397" s="269" t="n"/>
      <c r="F1397" s="269" t="n"/>
      <c r="G1397" s="269" t="n"/>
      <c r="H1397" s="269" t="n"/>
      <c r="I1397" s="269" t="n"/>
      <c r="J1397" s="269" t="n"/>
      <c r="K1397" s="269" t="n"/>
      <c r="L1397" s="269" t="n"/>
      <c r="M1397" s="269" t="n"/>
      <c r="N1397" s="269" t="n"/>
      <c r="O1397" s="269" t="n"/>
      <c r="P1397" s="269" t="n"/>
      <c r="Q1397" s="269" t="n"/>
      <c r="R1397" s="269" t="n"/>
      <c r="S1397" s="269" t="n"/>
      <c r="T1397" s="269" t="n"/>
      <c r="U1397" s="269" t="n"/>
      <c r="V1397" s="269" t="n"/>
      <c r="W1397" s="270" t="n"/>
    </row>
    <row r="1398">
      <c r="B1398" s="268" t="n"/>
      <c r="C1398" s="269" t="n"/>
      <c r="D1398" s="269" t="n"/>
      <c r="E1398" s="269" t="n"/>
      <c r="F1398" s="269" t="n"/>
      <c r="G1398" s="269" t="n"/>
      <c r="H1398" s="269" t="n"/>
      <c r="I1398" s="269" t="n"/>
      <c r="J1398" s="269" t="n"/>
      <c r="K1398" s="269" t="n"/>
      <c r="L1398" s="269" t="n"/>
      <c r="M1398" s="269" t="n"/>
      <c r="N1398" s="269" t="n"/>
      <c r="O1398" s="269" t="n"/>
      <c r="P1398" s="269" t="n"/>
      <c r="Q1398" s="269" t="n"/>
      <c r="R1398" s="269" t="n"/>
      <c r="S1398" s="269" t="n"/>
      <c r="T1398" s="269" t="n"/>
      <c r="U1398" s="269" t="n"/>
      <c r="V1398" s="269" t="n"/>
      <c r="W1398" s="270" t="n"/>
    </row>
    <row r="1399">
      <c r="B1399" s="268" t="n"/>
      <c r="C1399" s="269" t="n"/>
      <c r="D1399" s="269" t="n"/>
      <c r="E1399" s="269" t="n"/>
      <c r="F1399" s="269" t="n"/>
      <c r="G1399" s="269" t="n"/>
      <c r="H1399" s="269" t="n"/>
      <c r="I1399" s="269" t="n"/>
      <c r="J1399" s="269" t="n"/>
      <c r="K1399" s="269" t="n"/>
      <c r="L1399" s="269" t="n"/>
      <c r="M1399" s="269" t="n"/>
      <c r="N1399" s="269" t="n"/>
      <c r="O1399" s="269" t="n"/>
      <c r="P1399" s="269" t="n"/>
      <c r="Q1399" s="269" t="n"/>
      <c r="R1399" s="269" t="n"/>
      <c r="S1399" s="269" t="n"/>
      <c r="T1399" s="269" t="n"/>
      <c r="U1399" s="269" t="n"/>
      <c r="V1399" s="269" t="n"/>
      <c r="W1399" s="270" t="n"/>
    </row>
    <row r="1400">
      <c r="B1400" s="268" t="n"/>
      <c r="C1400" s="269" t="n"/>
      <c r="D1400" s="269" t="n"/>
      <c r="E1400" s="269" t="n"/>
      <c r="F1400" s="269" t="n"/>
      <c r="G1400" s="269" t="n"/>
      <c r="H1400" s="269" t="n"/>
      <c r="I1400" s="269" t="n"/>
      <c r="J1400" s="269" t="n"/>
      <c r="K1400" s="269" t="n"/>
      <c r="L1400" s="269" t="n"/>
      <c r="M1400" s="269" t="n"/>
      <c r="N1400" s="269" t="n"/>
      <c r="O1400" s="269" t="n"/>
      <c r="P1400" s="269" t="n"/>
      <c r="Q1400" s="269" t="n"/>
      <c r="R1400" s="269" t="n"/>
      <c r="S1400" s="269" t="n"/>
      <c r="T1400" s="269" t="n"/>
      <c r="U1400" s="269" t="n"/>
      <c r="V1400" s="269" t="n"/>
      <c r="W1400" s="270" t="n"/>
    </row>
    <row r="1401">
      <c r="B1401" s="268" t="n"/>
      <c r="C1401" s="269" t="n"/>
      <c r="D1401" s="269" t="n"/>
      <c r="E1401" s="269" t="n"/>
      <c r="F1401" s="269" t="n"/>
      <c r="G1401" s="269" t="n"/>
      <c r="H1401" s="269" t="n"/>
      <c r="I1401" s="269" t="n"/>
      <c r="J1401" s="269" t="n"/>
      <c r="K1401" s="269" t="n"/>
      <c r="L1401" s="269" t="n"/>
      <c r="M1401" s="269" t="n"/>
      <c r="N1401" s="269" t="n"/>
      <c r="O1401" s="269" t="n"/>
      <c r="P1401" s="269" t="n"/>
      <c r="Q1401" s="269" t="n"/>
      <c r="R1401" s="269" t="n"/>
      <c r="S1401" s="269" t="n"/>
      <c r="T1401" s="269" t="n"/>
      <c r="U1401" s="269" t="n"/>
      <c r="V1401" s="269" t="n"/>
      <c r="W1401" s="270" t="n"/>
    </row>
    <row r="1402">
      <c r="B1402" s="268" t="n"/>
      <c r="C1402" s="269" t="n"/>
      <c r="D1402" s="269" t="n"/>
      <c r="E1402" s="269" t="n"/>
      <c r="F1402" s="269" t="n"/>
      <c r="G1402" s="269" t="n"/>
      <c r="H1402" s="269" t="n"/>
      <c r="I1402" s="269" t="n"/>
      <c r="J1402" s="269" t="n"/>
      <c r="K1402" s="269" t="n"/>
      <c r="L1402" s="269" t="n"/>
      <c r="M1402" s="269" t="n"/>
      <c r="N1402" s="269" t="n"/>
      <c r="O1402" s="269" t="n"/>
      <c r="P1402" s="269" t="n"/>
      <c r="Q1402" s="269" t="n"/>
      <c r="R1402" s="269" t="n"/>
      <c r="S1402" s="269" t="n"/>
      <c r="T1402" s="269" t="n"/>
      <c r="U1402" s="269" t="n"/>
      <c r="V1402" s="269" t="n"/>
      <c r="W1402" s="270" t="n"/>
    </row>
    <row r="1403">
      <c r="B1403" s="268" t="n"/>
      <c r="C1403" s="269" t="n"/>
      <c r="D1403" s="269" t="n"/>
      <c r="E1403" s="269" t="n"/>
      <c r="F1403" s="269" t="n"/>
      <c r="G1403" s="269" t="n"/>
      <c r="H1403" s="269" t="n"/>
      <c r="I1403" s="269" t="n"/>
      <c r="J1403" s="269" t="n"/>
      <c r="K1403" s="269" t="n"/>
      <c r="L1403" s="269" t="n"/>
      <c r="M1403" s="269" t="n"/>
      <c r="N1403" s="269" t="n"/>
      <c r="O1403" s="269" t="n"/>
      <c r="P1403" s="269" t="n"/>
      <c r="Q1403" s="269" t="n"/>
      <c r="R1403" s="269" t="n"/>
      <c r="S1403" s="269" t="n"/>
      <c r="T1403" s="269" t="n"/>
      <c r="U1403" s="269" t="n"/>
      <c r="V1403" s="269" t="n"/>
      <c r="W1403" s="270" t="n"/>
    </row>
    <row r="1404">
      <c r="B1404" s="268" t="n"/>
      <c r="C1404" s="269" t="n"/>
      <c r="D1404" s="269" t="n"/>
      <c r="E1404" s="269" t="n"/>
      <c r="F1404" s="269" t="n"/>
      <c r="G1404" s="269" t="n"/>
      <c r="H1404" s="269" t="n"/>
      <c r="I1404" s="269" t="n"/>
      <c r="J1404" s="269" t="n"/>
      <c r="K1404" s="269" t="n"/>
      <c r="L1404" s="269" t="n"/>
      <c r="M1404" s="269" t="n"/>
      <c r="N1404" s="269" t="n"/>
      <c r="O1404" s="269" t="n"/>
      <c r="P1404" s="269" t="n"/>
      <c r="Q1404" s="269" t="n"/>
      <c r="R1404" s="269" t="n"/>
      <c r="S1404" s="269" t="n"/>
      <c r="T1404" s="269" t="n"/>
      <c r="U1404" s="269" t="n"/>
      <c r="V1404" s="269" t="n"/>
      <c r="W1404" s="270" t="n"/>
    </row>
    <row r="1405">
      <c r="B1405" s="268" t="n"/>
      <c r="C1405" s="269" t="n"/>
      <c r="D1405" s="269" t="n"/>
      <c r="E1405" s="269" t="n"/>
      <c r="F1405" s="269" t="n"/>
      <c r="G1405" s="269" t="n"/>
      <c r="H1405" s="269" t="n"/>
      <c r="I1405" s="269" t="n"/>
      <c r="J1405" s="269" t="n"/>
      <c r="K1405" s="269" t="n"/>
      <c r="L1405" s="269" t="n"/>
      <c r="M1405" s="269" t="n"/>
      <c r="N1405" s="269" t="n"/>
      <c r="O1405" s="269" t="n"/>
      <c r="P1405" s="269" t="n"/>
      <c r="Q1405" s="269" t="n"/>
      <c r="R1405" s="269" t="n"/>
      <c r="S1405" s="269" t="n"/>
      <c r="T1405" s="269" t="n"/>
      <c r="U1405" s="269" t="n"/>
      <c r="V1405" s="269" t="n"/>
      <c r="W1405" s="270" t="n"/>
    </row>
    <row r="1406">
      <c r="B1406" s="268" t="n"/>
      <c r="C1406" s="269" t="n"/>
      <c r="D1406" s="269" t="n"/>
      <c r="E1406" s="269" t="n"/>
      <c r="F1406" s="269" t="n"/>
      <c r="G1406" s="269" t="n"/>
      <c r="H1406" s="269" t="n"/>
      <c r="I1406" s="269" t="n"/>
      <c r="J1406" s="269" t="n"/>
      <c r="K1406" s="269" t="n"/>
      <c r="L1406" s="269" t="n"/>
      <c r="M1406" s="269" t="n"/>
      <c r="N1406" s="269" t="n"/>
      <c r="O1406" s="269" t="n"/>
      <c r="P1406" s="269" t="n"/>
      <c r="Q1406" s="269" t="n"/>
      <c r="R1406" s="269" t="n"/>
      <c r="S1406" s="269" t="n"/>
      <c r="T1406" s="269" t="n"/>
      <c r="U1406" s="269" t="n"/>
      <c r="V1406" s="269" t="n"/>
      <c r="W1406" s="270" t="n"/>
    </row>
    <row r="1407">
      <c r="B1407" s="268" t="n"/>
      <c r="C1407" s="269" t="n"/>
      <c r="D1407" s="269" t="n"/>
      <c r="E1407" s="269" t="n"/>
      <c r="F1407" s="269" t="n"/>
      <c r="G1407" s="269" t="n"/>
      <c r="H1407" s="269" t="n"/>
      <c r="I1407" s="269" t="n"/>
      <c r="J1407" s="269" t="n"/>
      <c r="K1407" s="269" t="n"/>
      <c r="L1407" s="269" t="n"/>
      <c r="M1407" s="269" t="n"/>
      <c r="N1407" s="269" t="n"/>
      <c r="O1407" s="269" t="n"/>
      <c r="P1407" s="269" t="n"/>
      <c r="Q1407" s="269" t="n"/>
      <c r="R1407" s="269" t="n"/>
      <c r="S1407" s="269" t="n"/>
      <c r="T1407" s="269" t="n"/>
      <c r="U1407" s="269" t="n"/>
      <c r="V1407" s="269" t="n"/>
      <c r="W1407" s="270" t="n"/>
    </row>
    <row r="1408">
      <c r="B1408" s="268" t="n"/>
      <c r="C1408" s="269" t="n"/>
      <c r="D1408" s="269" t="n"/>
      <c r="E1408" s="269" t="n"/>
      <c r="F1408" s="269" t="n"/>
      <c r="G1408" s="269" t="n"/>
      <c r="H1408" s="269" t="n"/>
      <c r="I1408" s="269" t="n"/>
      <c r="J1408" s="269" t="n"/>
      <c r="K1408" s="269" t="n"/>
      <c r="L1408" s="269" t="n"/>
      <c r="M1408" s="269" t="n"/>
      <c r="N1408" s="269" t="n"/>
      <c r="O1408" s="269" t="n"/>
      <c r="P1408" s="269" t="n"/>
      <c r="Q1408" s="269" t="n"/>
      <c r="R1408" s="269" t="n"/>
      <c r="S1408" s="269" t="n"/>
      <c r="T1408" s="269" t="n"/>
      <c r="U1408" s="269" t="n"/>
      <c r="V1408" s="269" t="n"/>
      <c r="W1408" s="270" t="n"/>
    </row>
    <row r="1409">
      <c r="B1409" s="268" t="n"/>
      <c r="C1409" s="269" t="n"/>
      <c r="D1409" s="269" t="n"/>
      <c r="E1409" s="269" t="n"/>
      <c r="F1409" s="269" t="n"/>
      <c r="G1409" s="269" t="n"/>
      <c r="H1409" s="269" t="n"/>
      <c r="I1409" s="269" t="n"/>
      <c r="J1409" s="269" t="n"/>
      <c r="K1409" s="269" t="n"/>
      <c r="L1409" s="269" t="n"/>
      <c r="M1409" s="269" t="n"/>
      <c r="N1409" s="269" t="n"/>
      <c r="O1409" s="269" t="n"/>
      <c r="P1409" s="269" t="n"/>
      <c r="Q1409" s="269" t="n"/>
      <c r="R1409" s="269" t="n"/>
      <c r="S1409" s="269" t="n"/>
      <c r="T1409" s="269" t="n"/>
      <c r="U1409" s="269" t="n"/>
      <c r="V1409" s="269" t="n"/>
      <c r="W1409" s="270" t="n"/>
    </row>
    <row r="1410">
      <c r="B1410" s="268" t="n"/>
      <c r="C1410" s="269" t="n"/>
      <c r="D1410" s="269" t="n"/>
      <c r="E1410" s="269" t="n"/>
      <c r="F1410" s="269" t="n"/>
      <c r="G1410" s="269" t="n"/>
      <c r="H1410" s="269" t="n"/>
      <c r="I1410" s="269" t="n"/>
      <c r="J1410" s="269" t="n"/>
      <c r="K1410" s="269" t="n"/>
      <c r="L1410" s="269" t="n"/>
      <c r="M1410" s="269" t="n"/>
      <c r="N1410" s="269" t="n"/>
      <c r="O1410" s="269" t="n"/>
      <c r="P1410" s="269" t="n"/>
      <c r="Q1410" s="269" t="n"/>
      <c r="R1410" s="269" t="n"/>
      <c r="S1410" s="269" t="n"/>
      <c r="T1410" s="269" t="n"/>
      <c r="U1410" s="269" t="n"/>
      <c r="V1410" s="269" t="n"/>
      <c r="W1410" s="270" t="n"/>
    </row>
    <row r="1411">
      <c r="B1411" s="268" t="n"/>
      <c r="C1411" s="269" t="n"/>
      <c r="D1411" s="269" t="n"/>
      <c r="E1411" s="269" t="n"/>
      <c r="F1411" s="269" t="n"/>
      <c r="G1411" s="269" t="n"/>
      <c r="H1411" s="269" t="n"/>
      <c r="I1411" s="269" t="n"/>
      <c r="J1411" s="269" t="n"/>
      <c r="K1411" s="269" t="n"/>
      <c r="L1411" s="269" t="n"/>
      <c r="M1411" s="269" t="n"/>
      <c r="N1411" s="269" t="n"/>
      <c r="O1411" s="269" t="n"/>
      <c r="P1411" s="269" t="n"/>
      <c r="Q1411" s="269" t="n"/>
      <c r="R1411" s="269" t="n"/>
      <c r="S1411" s="269" t="n"/>
      <c r="T1411" s="269" t="n"/>
      <c r="U1411" s="269" t="n"/>
      <c r="V1411" s="269" t="n"/>
      <c r="W1411" s="270" t="n"/>
    </row>
    <row r="1412">
      <c r="B1412" s="268" t="n"/>
      <c r="C1412" s="269" t="n"/>
      <c r="D1412" s="269" t="n"/>
      <c r="E1412" s="269" t="n"/>
      <c r="F1412" s="269" t="n"/>
      <c r="G1412" s="269" t="n"/>
      <c r="H1412" s="269" t="n"/>
      <c r="I1412" s="269" t="n"/>
      <c r="J1412" s="269" t="n"/>
      <c r="K1412" s="269" t="n"/>
      <c r="L1412" s="269" t="n"/>
      <c r="M1412" s="269" t="n"/>
      <c r="N1412" s="269" t="n"/>
      <c r="O1412" s="269" t="n"/>
      <c r="P1412" s="269" t="n"/>
      <c r="Q1412" s="269" t="n"/>
      <c r="R1412" s="269" t="n"/>
      <c r="S1412" s="269" t="n"/>
      <c r="T1412" s="269" t="n"/>
      <c r="U1412" s="269" t="n"/>
      <c r="V1412" s="269" t="n"/>
      <c r="W1412" s="270" t="n"/>
    </row>
    <row r="1413">
      <c r="B1413" s="268" t="n"/>
      <c r="C1413" s="269" t="n"/>
      <c r="D1413" s="269" t="n"/>
      <c r="E1413" s="269" t="n"/>
      <c r="F1413" s="269" t="n"/>
      <c r="G1413" s="269" t="n"/>
      <c r="H1413" s="269" t="n"/>
      <c r="I1413" s="269" t="n"/>
      <c r="J1413" s="269" t="n"/>
      <c r="K1413" s="269" t="n"/>
      <c r="L1413" s="269" t="n"/>
      <c r="M1413" s="269" t="n"/>
      <c r="N1413" s="269" t="n"/>
      <c r="O1413" s="269" t="n"/>
      <c r="P1413" s="269" t="n"/>
      <c r="Q1413" s="269" t="n"/>
      <c r="R1413" s="269" t="n"/>
      <c r="S1413" s="269" t="n"/>
      <c r="T1413" s="269" t="n"/>
      <c r="U1413" s="269" t="n"/>
      <c r="V1413" s="269" t="n"/>
      <c r="W1413" s="270" t="n"/>
    </row>
    <row r="1414">
      <c r="B1414" s="268" t="n"/>
      <c r="C1414" s="269" t="n"/>
      <c r="D1414" s="269" t="n"/>
      <c r="E1414" s="269" t="n"/>
      <c r="F1414" s="269" t="n"/>
      <c r="G1414" s="269" t="n"/>
      <c r="H1414" s="269" t="n"/>
      <c r="I1414" s="269" t="n"/>
      <c r="J1414" s="269" t="n"/>
      <c r="K1414" s="269" t="n"/>
      <c r="L1414" s="269" t="n"/>
      <c r="M1414" s="269" t="n"/>
      <c r="N1414" s="269" t="n"/>
      <c r="O1414" s="269" t="n"/>
      <c r="P1414" s="269" t="n"/>
      <c r="Q1414" s="269" t="n"/>
      <c r="R1414" s="269" t="n"/>
      <c r="S1414" s="269" t="n"/>
      <c r="T1414" s="269" t="n"/>
      <c r="U1414" s="269" t="n"/>
      <c r="V1414" s="269" t="n"/>
      <c r="W1414" s="270" t="n"/>
    </row>
    <row r="1415">
      <c r="B1415" s="268" t="n"/>
      <c r="C1415" s="269" t="n"/>
      <c r="D1415" s="269" t="n"/>
      <c r="E1415" s="269" t="n"/>
      <c r="F1415" s="269" t="n"/>
      <c r="G1415" s="269" t="n"/>
      <c r="H1415" s="269" t="n"/>
      <c r="I1415" s="269" t="n"/>
      <c r="J1415" s="269" t="n"/>
      <c r="K1415" s="269" t="n"/>
      <c r="L1415" s="269" t="n"/>
      <c r="M1415" s="269" t="n"/>
      <c r="N1415" s="269" t="n"/>
      <c r="O1415" s="269" t="n"/>
      <c r="P1415" s="269" t="n"/>
      <c r="Q1415" s="269" t="n"/>
      <c r="R1415" s="269" t="n"/>
      <c r="S1415" s="269" t="n"/>
      <c r="T1415" s="269" t="n"/>
      <c r="U1415" s="269" t="n"/>
      <c r="V1415" s="269" t="n"/>
      <c r="W1415" s="270" t="n"/>
    </row>
    <row r="1416">
      <c r="B1416" s="268" t="n"/>
      <c r="C1416" s="269" t="n"/>
      <c r="D1416" s="269" t="n"/>
      <c r="E1416" s="269" t="n"/>
      <c r="F1416" s="269" t="n"/>
      <c r="G1416" s="269" t="n"/>
      <c r="H1416" s="269" t="n"/>
      <c r="I1416" s="269" t="n"/>
      <c r="J1416" s="269" t="n"/>
      <c r="K1416" s="269" t="n"/>
      <c r="L1416" s="269" t="n"/>
      <c r="M1416" s="269" t="n"/>
      <c r="N1416" s="269" t="n"/>
      <c r="O1416" s="269" t="n"/>
      <c r="P1416" s="269" t="n"/>
      <c r="Q1416" s="269" t="n"/>
      <c r="R1416" s="269" t="n"/>
      <c r="S1416" s="269" t="n"/>
      <c r="T1416" s="269" t="n"/>
      <c r="U1416" s="269" t="n"/>
      <c r="V1416" s="269" t="n"/>
      <c r="W1416" s="270" t="n"/>
    </row>
    <row r="1417">
      <c r="B1417" s="268" t="n"/>
      <c r="C1417" s="269" t="n"/>
      <c r="D1417" s="269" t="n"/>
      <c r="E1417" s="269" t="n"/>
      <c r="F1417" s="269" t="n"/>
      <c r="G1417" s="269" t="n"/>
      <c r="H1417" s="269" t="n"/>
      <c r="I1417" s="269" t="n"/>
      <c r="J1417" s="269" t="n"/>
      <c r="K1417" s="269" t="n"/>
      <c r="L1417" s="269" t="n"/>
      <c r="M1417" s="269" t="n"/>
      <c r="N1417" s="269" t="n"/>
      <c r="O1417" s="269" t="n"/>
      <c r="P1417" s="269" t="n"/>
      <c r="Q1417" s="269" t="n"/>
      <c r="R1417" s="269" t="n"/>
      <c r="S1417" s="269" t="n"/>
      <c r="T1417" s="269" t="n"/>
      <c r="U1417" s="269" t="n"/>
      <c r="V1417" s="269" t="n"/>
      <c r="W1417" s="270" t="n"/>
    </row>
    <row r="1418">
      <c r="B1418" s="268" t="n"/>
      <c r="C1418" s="269" t="n"/>
      <c r="D1418" s="269" t="n"/>
      <c r="E1418" s="269" t="n"/>
      <c r="F1418" s="269" t="n"/>
      <c r="G1418" s="269" t="n"/>
      <c r="H1418" s="269" t="n"/>
      <c r="I1418" s="269" t="n"/>
      <c r="J1418" s="269" t="n"/>
      <c r="K1418" s="269" t="n"/>
      <c r="L1418" s="269" t="n"/>
      <c r="M1418" s="269" t="n"/>
      <c r="N1418" s="269" t="n"/>
      <c r="O1418" s="269" t="n"/>
      <c r="P1418" s="269" t="n"/>
      <c r="Q1418" s="269" t="n"/>
      <c r="R1418" s="269" t="n"/>
      <c r="S1418" s="269" t="n"/>
      <c r="T1418" s="269" t="n"/>
      <c r="U1418" s="269" t="n"/>
      <c r="V1418" s="269" t="n"/>
      <c r="W1418" s="270" t="n"/>
    </row>
    <row r="1419">
      <c r="B1419" s="268" t="n"/>
      <c r="C1419" s="269" t="n"/>
      <c r="D1419" s="269" t="n"/>
      <c r="E1419" s="269" t="n"/>
      <c r="F1419" s="269" t="n"/>
      <c r="G1419" s="269" t="n"/>
      <c r="H1419" s="269" t="n"/>
      <c r="I1419" s="269" t="n"/>
      <c r="J1419" s="269" t="n"/>
      <c r="K1419" s="269" t="n"/>
      <c r="L1419" s="269" t="n"/>
      <c r="M1419" s="269" t="n"/>
      <c r="N1419" s="269" t="n"/>
      <c r="O1419" s="269" t="n"/>
      <c r="P1419" s="269" t="n"/>
      <c r="Q1419" s="269" t="n"/>
      <c r="R1419" s="269" t="n"/>
      <c r="S1419" s="269" t="n"/>
      <c r="T1419" s="269" t="n"/>
      <c r="U1419" s="269" t="n"/>
      <c r="V1419" s="269" t="n"/>
      <c r="W1419" s="270" t="n"/>
    </row>
    <row r="1420">
      <c r="B1420" s="268" t="n"/>
      <c r="C1420" s="269" t="n"/>
      <c r="D1420" s="269" t="n"/>
      <c r="E1420" s="269" t="n"/>
      <c r="F1420" s="269" t="n"/>
      <c r="G1420" s="269" t="n"/>
      <c r="H1420" s="269" t="n"/>
      <c r="I1420" s="269" t="n"/>
      <c r="J1420" s="269" t="n"/>
      <c r="K1420" s="269" t="n"/>
      <c r="L1420" s="269" t="n"/>
      <c r="M1420" s="269" t="n"/>
      <c r="N1420" s="269" t="n"/>
      <c r="O1420" s="269" t="n"/>
      <c r="P1420" s="269" t="n"/>
      <c r="Q1420" s="269" t="n"/>
      <c r="R1420" s="269" t="n"/>
      <c r="S1420" s="269" t="n"/>
      <c r="T1420" s="269" t="n"/>
      <c r="U1420" s="269" t="n"/>
      <c r="V1420" s="269" t="n"/>
      <c r="W1420" s="270" t="n"/>
    </row>
    <row r="1421">
      <c r="B1421" s="268" t="n"/>
      <c r="C1421" s="269" t="n"/>
      <c r="D1421" s="269" t="n"/>
      <c r="E1421" s="269" t="n"/>
      <c r="F1421" s="269" t="n"/>
      <c r="G1421" s="269" t="n"/>
      <c r="H1421" s="269" t="n"/>
      <c r="I1421" s="269" t="n"/>
      <c r="J1421" s="269" t="n"/>
      <c r="K1421" s="269" t="n"/>
      <c r="L1421" s="269" t="n"/>
      <c r="M1421" s="269" t="n"/>
      <c r="N1421" s="269" t="n"/>
      <c r="O1421" s="269" t="n"/>
      <c r="P1421" s="269" t="n"/>
      <c r="Q1421" s="269" t="n"/>
      <c r="R1421" s="269" t="n"/>
      <c r="S1421" s="269" t="n"/>
      <c r="T1421" s="269" t="n"/>
      <c r="U1421" s="269" t="n"/>
      <c r="V1421" s="269" t="n"/>
      <c r="W1421" s="270" t="n"/>
    </row>
    <row r="1422">
      <c r="B1422" s="268" t="n"/>
      <c r="C1422" s="269" t="n"/>
      <c r="D1422" s="269" t="n"/>
      <c r="E1422" s="269" t="n"/>
      <c r="F1422" s="269" t="n"/>
      <c r="G1422" s="269" t="n"/>
      <c r="H1422" s="269" t="n"/>
      <c r="I1422" s="269" t="n"/>
      <c r="J1422" s="269" t="n"/>
      <c r="K1422" s="269" t="n"/>
      <c r="L1422" s="269" t="n"/>
      <c r="M1422" s="269" t="n"/>
      <c r="N1422" s="269" t="n"/>
      <c r="O1422" s="269" t="n"/>
      <c r="P1422" s="269" t="n"/>
      <c r="Q1422" s="269" t="n"/>
      <c r="R1422" s="269" t="n"/>
      <c r="S1422" s="269" t="n"/>
      <c r="T1422" s="269" t="n"/>
      <c r="U1422" s="269" t="n"/>
      <c r="V1422" s="269" t="n"/>
      <c r="W1422" s="270" t="n"/>
    </row>
    <row r="1423">
      <c r="B1423" s="268" t="n"/>
      <c r="C1423" s="269" t="n"/>
      <c r="D1423" s="269" t="n"/>
      <c r="E1423" s="269" t="n"/>
      <c r="F1423" s="269" t="n"/>
      <c r="G1423" s="269" t="n"/>
      <c r="H1423" s="269" t="n"/>
      <c r="I1423" s="269" t="n"/>
      <c r="J1423" s="269" t="n"/>
      <c r="K1423" s="269" t="n"/>
      <c r="L1423" s="269" t="n"/>
      <c r="M1423" s="269" t="n"/>
      <c r="N1423" s="269" t="n"/>
      <c r="O1423" s="269" t="n"/>
      <c r="P1423" s="269" t="n"/>
      <c r="Q1423" s="269" t="n"/>
      <c r="R1423" s="269" t="n"/>
      <c r="S1423" s="269" t="n"/>
      <c r="T1423" s="269" t="n"/>
      <c r="U1423" s="269" t="n"/>
      <c r="V1423" s="269" t="n"/>
      <c r="W1423" s="270" t="n"/>
    </row>
    <row r="1424">
      <c r="B1424" s="268" t="n"/>
      <c r="C1424" s="269" t="n"/>
      <c r="D1424" s="269" t="n"/>
      <c r="E1424" s="269" t="n"/>
      <c r="F1424" s="269" t="n"/>
      <c r="G1424" s="269" t="n"/>
      <c r="H1424" s="269" t="n"/>
      <c r="I1424" s="269" t="n"/>
      <c r="J1424" s="269" t="n"/>
      <c r="K1424" s="269" t="n"/>
      <c r="L1424" s="269" t="n"/>
      <c r="M1424" s="269" t="n"/>
      <c r="N1424" s="269" t="n"/>
      <c r="O1424" s="269" t="n"/>
      <c r="P1424" s="269" t="n"/>
      <c r="Q1424" s="269" t="n"/>
      <c r="R1424" s="269" t="n"/>
      <c r="S1424" s="269" t="n"/>
      <c r="T1424" s="269" t="n"/>
      <c r="U1424" s="269" t="n"/>
      <c r="V1424" s="269" t="n"/>
      <c r="W1424" s="270" t="n"/>
    </row>
    <row r="1425">
      <c r="B1425" s="268" t="n"/>
      <c r="C1425" s="269" t="n"/>
      <c r="D1425" s="269" t="n"/>
      <c r="E1425" s="269" t="n"/>
      <c r="F1425" s="269" t="n"/>
      <c r="G1425" s="269" t="n"/>
      <c r="H1425" s="269" t="n"/>
      <c r="I1425" s="269" t="n"/>
      <c r="J1425" s="269" t="n"/>
      <c r="K1425" s="269" t="n"/>
      <c r="L1425" s="269" t="n"/>
      <c r="M1425" s="269" t="n"/>
      <c r="N1425" s="269" t="n"/>
      <c r="O1425" s="269" t="n"/>
      <c r="P1425" s="269" t="n"/>
      <c r="Q1425" s="269" t="n"/>
      <c r="R1425" s="269" t="n"/>
      <c r="S1425" s="269" t="n"/>
      <c r="T1425" s="269" t="n"/>
      <c r="U1425" s="269" t="n"/>
      <c r="V1425" s="269" t="n"/>
      <c r="W1425" s="270" t="n"/>
    </row>
    <row r="1426">
      <c r="B1426" s="268" t="n"/>
      <c r="C1426" s="269" t="n"/>
      <c r="D1426" s="269" t="n"/>
      <c r="E1426" s="269" t="n"/>
      <c r="F1426" s="269" t="n"/>
      <c r="G1426" s="269" t="n"/>
      <c r="H1426" s="269" t="n"/>
      <c r="I1426" s="269" t="n"/>
      <c r="J1426" s="269" t="n"/>
      <c r="K1426" s="269" t="n"/>
      <c r="L1426" s="269" t="n"/>
      <c r="M1426" s="269" t="n"/>
      <c r="N1426" s="269" t="n"/>
      <c r="O1426" s="269" t="n"/>
      <c r="P1426" s="269" t="n"/>
      <c r="Q1426" s="269" t="n"/>
      <c r="R1426" s="269" t="n"/>
      <c r="S1426" s="269" t="n"/>
      <c r="T1426" s="269" t="n"/>
      <c r="U1426" s="269" t="n"/>
      <c r="V1426" s="269" t="n"/>
      <c r="W1426" s="270" t="n"/>
    </row>
    <row r="1427">
      <c r="B1427" s="268" t="n"/>
      <c r="C1427" s="269" t="n"/>
      <c r="D1427" s="269" t="n"/>
      <c r="E1427" s="269" t="n"/>
      <c r="F1427" s="269" t="n"/>
      <c r="G1427" s="269" t="n"/>
      <c r="H1427" s="269" t="n"/>
      <c r="I1427" s="269" t="n"/>
      <c r="J1427" s="269" t="n"/>
      <c r="K1427" s="269" t="n"/>
      <c r="L1427" s="269" t="n"/>
      <c r="M1427" s="269" t="n"/>
      <c r="N1427" s="269" t="n"/>
      <c r="O1427" s="269" t="n"/>
      <c r="P1427" s="269" t="n"/>
      <c r="Q1427" s="269" t="n"/>
      <c r="R1427" s="269" t="n"/>
      <c r="S1427" s="269" t="n"/>
      <c r="T1427" s="269" t="n"/>
      <c r="U1427" s="269" t="n"/>
      <c r="V1427" s="269" t="n"/>
      <c r="W1427" s="270" t="n"/>
    </row>
    <row r="1428">
      <c r="B1428" s="268" t="n"/>
      <c r="C1428" s="269" t="n"/>
      <c r="D1428" s="269" t="n"/>
      <c r="E1428" s="269" t="n"/>
      <c r="F1428" s="269" t="n"/>
      <c r="G1428" s="269" t="n"/>
      <c r="H1428" s="269" t="n"/>
      <c r="I1428" s="269" t="n"/>
      <c r="J1428" s="269" t="n"/>
      <c r="K1428" s="269" t="n"/>
      <c r="L1428" s="269" t="n"/>
      <c r="M1428" s="269" t="n"/>
      <c r="N1428" s="269" t="n"/>
      <c r="O1428" s="269" t="n"/>
      <c r="P1428" s="269" t="n"/>
      <c r="Q1428" s="269" t="n"/>
      <c r="R1428" s="269" t="n"/>
      <c r="S1428" s="269" t="n"/>
      <c r="T1428" s="269" t="n"/>
      <c r="U1428" s="269" t="n"/>
      <c r="V1428" s="269" t="n"/>
      <c r="W1428" s="270" t="n"/>
    </row>
    <row r="1429">
      <c r="B1429" s="268" t="n"/>
      <c r="C1429" s="269" t="n"/>
      <c r="D1429" s="269" t="n"/>
      <c r="E1429" s="269" t="n"/>
      <c r="F1429" s="269" t="n"/>
      <c r="G1429" s="269" t="n"/>
      <c r="H1429" s="269" t="n"/>
      <c r="I1429" s="269" t="n"/>
      <c r="J1429" s="269" t="n"/>
      <c r="K1429" s="269" t="n"/>
      <c r="L1429" s="269" t="n"/>
      <c r="M1429" s="269" t="n"/>
      <c r="N1429" s="269" t="n"/>
      <c r="O1429" s="269" t="n"/>
      <c r="P1429" s="269" t="n"/>
      <c r="Q1429" s="269" t="n"/>
      <c r="R1429" s="269" t="n"/>
      <c r="S1429" s="269" t="n"/>
      <c r="T1429" s="269" t="n"/>
      <c r="U1429" s="269" t="n"/>
      <c r="V1429" s="269" t="n"/>
      <c r="W1429" s="270" t="n"/>
    </row>
    <row r="1430">
      <c r="B1430" s="268" t="n"/>
      <c r="C1430" s="269" t="n"/>
      <c r="D1430" s="269" t="n"/>
      <c r="E1430" s="269" t="n"/>
      <c r="F1430" s="269" t="n"/>
      <c r="G1430" s="269" t="n"/>
      <c r="H1430" s="269" t="n"/>
      <c r="I1430" s="269" t="n"/>
      <c r="J1430" s="269" t="n"/>
      <c r="K1430" s="269" t="n"/>
      <c r="L1430" s="269" t="n"/>
      <c r="M1430" s="269" t="n"/>
      <c r="N1430" s="269" t="n"/>
      <c r="O1430" s="269" t="n"/>
      <c r="P1430" s="269" t="n"/>
      <c r="Q1430" s="269" t="n"/>
      <c r="R1430" s="269" t="n"/>
      <c r="S1430" s="269" t="n"/>
      <c r="T1430" s="269" t="n"/>
      <c r="U1430" s="269" t="n"/>
      <c r="V1430" s="269" t="n"/>
      <c r="W1430" s="270" t="n"/>
    </row>
    <row r="1431">
      <c r="B1431" s="268" t="n"/>
      <c r="C1431" s="269" t="n"/>
      <c r="D1431" s="269" t="n"/>
      <c r="E1431" s="269" t="n"/>
      <c r="F1431" s="269" t="n"/>
      <c r="G1431" s="269" t="n"/>
      <c r="H1431" s="269" t="n"/>
      <c r="I1431" s="269" t="n"/>
      <c r="J1431" s="269" t="n"/>
      <c r="K1431" s="269" t="n"/>
      <c r="L1431" s="269" t="n"/>
      <c r="M1431" s="269" t="n"/>
      <c r="N1431" s="269" t="n"/>
      <c r="O1431" s="269" t="n"/>
      <c r="P1431" s="269" t="n"/>
      <c r="Q1431" s="269" t="n"/>
      <c r="R1431" s="269" t="n"/>
      <c r="S1431" s="269" t="n"/>
      <c r="T1431" s="269" t="n"/>
      <c r="U1431" s="269" t="n"/>
      <c r="V1431" s="269" t="n"/>
      <c r="W1431" s="270" t="n"/>
    </row>
    <row r="1432">
      <c r="B1432" s="268" t="n"/>
      <c r="C1432" s="269" t="n"/>
      <c r="D1432" s="269" t="n"/>
      <c r="E1432" s="269" t="n"/>
      <c r="F1432" s="269" t="n"/>
      <c r="G1432" s="269" t="n"/>
      <c r="H1432" s="269" t="n"/>
      <c r="I1432" s="269" t="n"/>
      <c r="J1432" s="269" t="n"/>
      <c r="K1432" s="269" t="n"/>
      <c r="L1432" s="269" t="n"/>
      <c r="M1432" s="269" t="n"/>
      <c r="N1432" s="269" t="n"/>
      <c r="O1432" s="269" t="n"/>
      <c r="P1432" s="269" t="n"/>
      <c r="Q1432" s="269" t="n"/>
      <c r="R1432" s="269" t="n"/>
      <c r="S1432" s="269" t="n"/>
      <c r="T1432" s="269" t="n"/>
      <c r="U1432" s="269" t="n"/>
      <c r="V1432" s="269" t="n"/>
      <c r="W1432" s="270" t="n"/>
    </row>
    <row r="1433">
      <c r="B1433" s="268" t="n"/>
      <c r="C1433" s="269" t="n"/>
      <c r="D1433" s="269" t="n"/>
      <c r="E1433" s="269" t="n"/>
      <c r="F1433" s="269" t="n"/>
      <c r="G1433" s="269" t="n"/>
      <c r="H1433" s="269" t="n"/>
      <c r="I1433" s="269" t="n"/>
      <c r="J1433" s="269" t="n"/>
      <c r="K1433" s="269" t="n"/>
      <c r="L1433" s="269" t="n"/>
      <c r="M1433" s="269" t="n"/>
      <c r="N1433" s="269" t="n"/>
      <c r="O1433" s="269" t="n"/>
      <c r="P1433" s="269" t="n"/>
      <c r="Q1433" s="269" t="n"/>
      <c r="R1433" s="269" t="n"/>
      <c r="S1433" s="269" t="n"/>
      <c r="T1433" s="269" t="n"/>
      <c r="U1433" s="269" t="n"/>
      <c r="V1433" s="269" t="n"/>
      <c r="W1433" s="270" t="n"/>
    </row>
    <row r="1434">
      <c r="B1434" s="268" t="n"/>
      <c r="C1434" s="269" t="n"/>
      <c r="D1434" s="269" t="n"/>
      <c r="E1434" s="269" t="n"/>
      <c r="F1434" s="269" t="n"/>
      <c r="G1434" s="269" t="n"/>
      <c r="H1434" s="269" t="n"/>
      <c r="I1434" s="269" t="n"/>
      <c r="J1434" s="269" t="n"/>
      <c r="K1434" s="269" t="n"/>
      <c r="L1434" s="269" t="n"/>
      <c r="M1434" s="269" t="n"/>
      <c r="N1434" s="269" t="n"/>
      <c r="O1434" s="269" t="n"/>
      <c r="P1434" s="269" t="n"/>
      <c r="Q1434" s="269" t="n"/>
      <c r="R1434" s="269" t="n"/>
      <c r="S1434" s="269" t="n"/>
      <c r="T1434" s="269" t="n"/>
      <c r="U1434" s="269" t="n"/>
      <c r="V1434" s="269" t="n"/>
      <c r="W1434" s="270" t="n"/>
    </row>
    <row r="1435">
      <c r="B1435" s="268" t="n"/>
      <c r="C1435" s="269" t="n"/>
      <c r="D1435" s="269" t="n"/>
      <c r="E1435" s="269" t="n"/>
      <c r="F1435" s="269" t="n"/>
      <c r="G1435" s="269" t="n"/>
      <c r="H1435" s="269" t="n"/>
      <c r="I1435" s="269" t="n"/>
      <c r="J1435" s="269" t="n"/>
      <c r="K1435" s="269" t="n"/>
      <c r="L1435" s="269" t="n"/>
      <c r="M1435" s="269" t="n"/>
      <c r="N1435" s="269" t="n"/>
      <c r="O1435" s="269" t="n"/>
      <c r="P1435" s="269" t="n"/>
      <c r="Q1435" s="269" t="n"/>
      <c r="R1435" s="269" t="n"/>
      <c r="S1435" s="269" t="n"/>
      <c r="T1435" s="269" t="n"/>
      <c r="U1435" s="269" t="n"/>
      <c r="V1435" s="269" t="n"/>
      <c r="W1435" s="270" t="n"/>
    </row>
    <row r="1436">
      <c r="B1436" s="268" t="n"/>
      <c r="C1436" s="269" t="n"/>
      <c r="D1436" s="269" t="n"/>
      <c r="E1436" s="269" t="n"/>
      <c r="F1436" s="269" t="n"/>
      <c r="G1436" s="269" t="n"/>
      <c r="H1436" s="269" t="n"/>
      <c r="I1436" s="269" t="n"/>
      <c r="J1436" s="269" t="n"/>
      <c r="K1436" s="269" t="n"/>
      <c r="L1436" s="269" t="n"/>
      <c r="M1436" s="269" t="n"/>
      <c r="N1436" s="269" t="n"/>
      <c r="O1436" s="269" t="n"/>
      <c r="P1436" s="269" t="n"/>
      <c r="Q1436" s="269" t="n"/>
      <c r="R1436" s="269" t="n"/>
      <c r="S1436" s="269" t="n"/>
      <c r="T1436" s="269" t="n"/>
      <c r="U1436" s="269" t="n"/>
      <c r="V1436" s="269" t="n"/>
      <c r="W1436" s="270" t="n"/>
    </row>
    <row r="1437">
      <c r="B1437" s="268" t="n"/>
      <c r="C1437" s="269" t="n"/>
      <c r="D1437" s="269" t="n"/>
      <c r="E1437" s="269" t="n"/>
      <c r="F1437" s="269" t="n"/>
      <c r="G1437" s="269" t="n"/>
      <c r="H1437" s="269" t="n"/>
      <c r="I1437" s="269" t="n"/>
      <c r="J1437" s="269" t="n"/>
      <c r="K1437" s="269" t="n"/>
      <c r="L1437" s="269" t="n"/>
      <c r="M1437" s="269" t="n"/>
      <c r="N1437" s="269" t="n"/>
      <c r="O1437" s="269" t="n"/>
      <c r="P1437" s="269" t="n"/>
      <c r="Q1437" s="269" t="n"/>
      <c r="R1437" s="269" t="n"/>
      <c r="S1437" s="269" t="n"/>
      <c r="T1437" s="269" t="n"/>
      <c r="U1437" s="269" t="n"/>
      <c r="V1437" s="269" t="n"/>
      <c r="W1437" s="270" t="n"/>
    </row>
    <row r="1438">
      <c r="B1438" s="268" t="n"/>
      <c r="C1438" s="269" t="n"/>
      <c r="D1438" s="269" t="n"/>
      <c r="E1438" s="269" t="n"/>
      <c r="F1438" s="269" t="n"/>
      <c r="G1438" s="269" t="n"/>
      <c r="H1438" s="269" t="n"/>
      <c r="I1438" s="269" t="n"/>
      <c r="J1438" s="269" t="n"/>
      <c r="K1438" s="269" t="n"/>
      <c r="L1438" s="269" t="n"/>
      <c r="M1438" s="269" t="n"/>
      <c r="N1438" s="269" t="n"/>
      <c r="O1438" s="269" t="n"/>
      <c r="P1438" s="269" t="n"/>
      <c r="Q1438" s="269" t="n"/>
      <c r="R1438" s="269" t="n"/>
      <c r="S1438" s="269" t="n"/>
      <c r="T1438" s="269" t="n"/>
      <c r="U1438" s="269" t="n"/>
      <c r="V1438" s="269" t="n"/>
      <c r="W1438" s="270" t="n"/>
    </row>
    <row r="1439">
      <c r="B1439" s="268" t="n"/>
      <c r="C1439" s="269" t="n"/>
      <c r="D1439" s="269" t="n"/>
      <c r="E1439" s="269" t="n"/>
      <c r="F1439" s="269" t="n"/>
      <c r="G1439" s="269" t="n"/>
      <c r="H1439" s="269" t="n"/>
      <c r="I1439" s="269" t="n"/>
      <c r="J1439" s="269" t="n"/>
      <c r="K1439" s="269" t="n"/>
      <c r="L1439" s="269" t="n"/>
      <c r="M1439" s="269" t="n"/>
      <c r="N1439" s="269" t="n"/>
      <c r="O1439" s="269" t="n"/>
      <c r="P1439" s="269" t="n"/>
      <c r="Q1439" s="269" t="n"/>
      <c r="R1439" s="269" t="n"/>
      <c r="S1439" s="269" t="n"/>
      <c r="T1439" s="269" t="n"/>
      <c r="U1439" s="269" t="n"/>
      <c r="V1439" s="269" t="n"/>
      <c r="W1439" s="270" t="n"/>
    </row>
    <row r="1440">
      <c r="B1440" s="268" t="n"/>
      <c r="C1440" s="269" t="n"/>
      <c r="D1440" s="269" t="n"/>
      <c r="E1440" s="269" t="n"/>
      <c r="F1440" s="269" t="n"/>
      <c r="G1440" s="269" t="n"/>
      <c r="H1440" s="269" t="n"/>
      <c r="I1440" s="269" t="n"/>
      <c r="J1440" s="269" t="n"/>
      <c r="K1440" s="269" t="n"/>
      <c r="L1440" s="269" t="n"/>
      <c r="M1440" s="269" t="n"/>
      <c r="N1440" s="269" t="n"/>
      <c r="O1440" s="269" t="n"/>
      <c r="P1440" s="269" t="n"/>
      <c r="Q1440" s="269" t="n"/>
      <c r="R1440" s="269" t="n"/>
      <c r="S1440" s="269" t="n"/>
      <c r="T1440" s="269" t="n"/>
      <c r="U1440" s="269" t="n"/>
      <c r="V1440" s="269" t="n"/>
      <c r="W1440" s="270" t="n"/>
    </row>
    <row r="1441">
      <c r="B1441" s="268" t="n"/>
      <c r="C1441" s="269" t="n"/>
      <c r="D1441" s="269" t="n"/>
      <c r="E1441" s="269" t="n"/>
      <c r="F1441" s="269" t="n"/>
      <c r="G1441" s="269" t="n"/>
      <c r="H1441" s="269" t="n"/>
      <c r="I1441" s="269" t="n"/>
      <c r="J1441" s="269" t="n"/>
      <c r="K1441" s="269" t="n"/>
      <c r="L1441" s="269" t="n"/>
      <c r="M1441" s="269" t="n"/>
      <c r="N1441" s="269" t="n"/>
      <c r="O1441" s="269" t="n"/>
      <c r="P1441" s="269" t="n"/>
      <c r="Q1441" s="269" t="n"/>
      <c r="R1441" s="269" t="n"/>
      <c r="S1441" s="269" t="n"/>
      <c r="T1441" s="269" t="n"/>
      <c r="U1441" s="269" t="n"/>
      <c r="V1441" s="269" t="n"/>
      <c r="W1441" s="270" t="n"/>
    </row>
    <row r="1442">
      <c r="B1442" s="268" t="n"/>
      <c r="C1442" s="269" t="n"/>
      <c r="D1442" s="269" t="n"/>
      <c r="E1442" s="269" t="n"/>
      <c r="F1442" s="269" t="n"/>
      <c r="G1442" s="269" t="n"/>
      <c r="H1442" s="269" t="n"/>
      <c r="I1442" s="269" t="n"/>
      <c r="J1442" s="269" t="n"/>
      <c r="K1442" s="269" t="n"/>
      <c r="L1442" s="269" t="n"/>
      <c r="M1442" s="269" t="n"/>
      <c r="N1442" s="269" t="n"/>
      <c r="O1442" s="269" t="n"/>
      <c r="P1442" s="269" t="n"/>
      <c r="Q1442" s="269" t="n"/>
      <c r="R1442" s="269" t="n"/>
      <c r="S1442" s="269" t="n"/>
      <c r="T1442" s="269" t="n"/>
      <c r="U1442" s="269" t="n"/>
      <c r="V1442" s="269" t="n"/>
      <c r="W1442" s="270" t="n"/>
    </row>
    <row r="1443">
      <c r="B1443" s="268" t="n"/>
      <c r="C1443" s="269" t="n"/>
      <c r="D1443" s="269" t="n"/>
      <c r="E1443" s="269" t="n"/>
      <c r="F1443" s="269" t="n"/>
      <c r="G1443" s="269" t="n"/>
      <c r="H1443" s="269" t="n"/>
      <c r="I1443" s="269" t="n"/>
      <c r="J1443" s="269" t="n"/>
      <c r="K1443" s="269" t="n"/>
      <c r="L1443" s="269" t="n"/>
      <c r="M1443" s="269" t="n"/>
      <c r="N1443" s="269" t="n"/>
      <c r="O1443" s="269" t="n"/>
      <c r="P1443" s="269" t="n"/>
      <c r="Q1443" s="269" t="n"/>
      <c r="R1443" s="269" t="n"/>
      <c r="S1443" s="269" t="n"/>
      <c r="T1443" s="269" t="n"/>
      <c r="U1443" s="269" t="n"/>
      <c r="V1443" s="269" t="n"/>
      <c r="W1443" s="270" t="n"/>
    </row>
    <row r="1444">
      <c r="B1444" s="268" t="n"/>
      <c r="C1444" s="269" t="n"/>
      <c r="D1444" s="269" t="n"/>
      <c r="E1444" s="269" t="n"/>
      <c r="F1444" s="269" t="n"/>
      <c r="G1444" s="269" t="n"/>
      <c r="H1444" s="269" t="n"/>
      <c r="I1444" s="269" t="n"/>
      <c r="J1444" s="269" t="n"/>
      <c r="K1444" s="269" t="n"/>
      <c r="L1444" s="269" t="n"/>
      <c r="M1444" s="269" t="n"/>
      <c r="N1444" s="269" t="n"/>
      <c r="O1444" s="269" t="n"/>
      <c r="P1444" s="269" t="n"/>
      <c r="Q1444" s="269" t="n"/>
      <c r="R1444" s="269" t="n"/>
      <c r="S1444" s="269" t="n"/>
      <c r="T1444" s="269" t="n"/>
      <c r="U1444" s="269" t="n"/>
      <c r="V1444" s="269" t="n"/>
      <c r="W1444" s="270" t="n"/>
    </row>
    <row r="1445">
      <c r="B1445" s="268" t="n"/>
      <c r="C1445" s="269" t="n"/>
      <c r="D1445" s="269" t="n"/>
      <c r="E1445" s="269" t="n"/>
      <c r="F1445" s="269" t="n"/>
      <c r="G1445" s="269" t="n"/>
      <c r="H1445" s="269" t="n"/>
      <c r="I1445" s="269" t="n"/>
      <c r="J1445" s="269" t="n"/>
      <c r="K1445" s="269" t="n"/>
      <c r="L1445" s="269" t="n"/>
      <c r="M1445" s="269" t="n"/>
      <c r="N1445" s="269" t="n"/>
      <c r="O1445" s="269" t="n"/>
      <c r="P1445" s="269" t="n"/>
      <c r="Q1445" s="269" t="n"/>
      <c r="R1445" s="269" t="n"/>
      <c r="S1445" s="269" t="n"/>
      <c r="T1445" s="269" t="n"/>
      <c r="U1445" s="269" t="n"/>
      <c r="V1445" s="269" t="n"/>
      <c r="W1445" s="270" t="n"/>
    </row>
    <row r="1446">
      <c r="B1446" s="268" t="n"/>
      <c r="C1446" s="269" t="n"/>
      <c r="D1446" s="269" t="n"/>
      <c r="E1446" s="269" t="n"/>
      <c r="F1446" s="269" t="n"/>
      <c r="G1446" s="269" t="n"/>
      <c r="H1446" s="269" t="n"/>
      <c r="I1446" s="269" t="n"/>
      <c r="J1446" s="269" t="n"/>
      <c r="K1446" s="269" t="n"/>
      <c r="L1446" s="269" t="n"/>
      <c r="M1446" s="269" t="n"/>
      <c r="N1446" s="269" t="n"/>
      <c r="O1446" s="269" t="n"/>
      <c r="P1446" s="269" t="n"/>
      <c r="Q1446" s="269" t="n"/>
      <c r="R1446" s="269" t="n"/>
      <c r="S1446" s="269" t="n"/>
      <c r="T1446" s="269" t="n"/>
      <c r="U1446" s="269" t="n"/>
      <c r="V1446" s="269" t="n"/>
      <c r="W1446" s="270" t="n"/>
    </row>
    <row r="1447">
      <c r="B1447" s="268" t="n"/>
      <c r="C1447" s="269" t="n"/>
      <c r="D1447" s="269" t="n"/>
      <c r="E1447" s="269" t="n"/>
      <c r="F1447" s="269" t="n"/>
      <c r="G1447" s="269" t="n"/>
      <c r="H1447" s="269" t="n"/>
      <c r="I1447" s="269" t="n"/>
      <c r="J1447" s="269" t="n"/>
      <c r="K1447" s="269" t="n"/>
      <c r="L1447" s="269" t="n"/>
      <c r="M1447" s="269" t="n"/>
      <c r="N1447" s="269" t="n"/>
      <c r="O1447" s="269" t="n"/>
      <c r="P1447" s="269" t="n"/>
      <c r="Q1447" s="269" t="n"/>
      <c r="R1447" s="269" t="n"/>
      <c r="S1447" s="269" t="n"/>
      <c r="T1447" s="269" t="n"/>
      <c r="U1447" s="269" t="n"/>
      <c r="V1447" s="269" t="n"/>
      <c r="W1447" s="270" t="n"/>
    </row>
    <row r="1448">
      <c r="B1448" s="268" t="n"/>
      <c r="C1448" s="269" t="n"/>
      <c r="D1448" s="269" t="n"/>
      <c r="E1448" s="269" t="n"/>
      <c r="F1448" s="269" t="n"/>
      <c r="G1448" s="269" t="n"/>
      <c r="H1448" s="269" t="n"/>
      <c r="I1448" s="269" t="n"/>
      <c r="J1448" s="269" t="n"/>
      <c r="K1448" s="269" t="n"/>
      <c r="L1448" s="269" t="n"/>
      <c r="M1448" s="269" t="n"/>
      <c r="N1448" s="269" t="n"/>
      <c r="O1448" s="269" t="n"/>
      <c r="P1448" s="269" t="n"/>
      <c r="Q1448" s="269" t="n"/>
      <c r="R1448" s="269" t="n"/>
      <c r="S1448" s="269" t="n"/>
      <c r="T1448" s="269" t="n"/>
      <c r="U1448" s="269" t="n"/>
      <c r="V1448" s="269" t="n"/>
      <c r="W1448" s="270" t="n"/>
    </row>
    <row r="1449">
      <c r="B1449" s="268" t="n"/>
      <c r="C1449" s="269" t="n"/>
      <c r="D1449" s="269" t="n"/>
      <c r="E1449" s="269" t="n"/>
      <c r="F1449" s="269" t="n"/>
      <c r="G1449" s="269" t="n"/>
      <c r="H1449" s="269" t="n"/>
      <c r="I1449" s="269" t="n"/>
      <c r="J1449" s="269" t="n"/>
      <c r="K1449" s="269" t="n"/>
      <c r="L1449" s="269" t="n"/>
      <c r="M1449" s="269" t="n"/>
      <c r="N1449" s="269" t="n"/>
      <c r="O1449" s="269" t="n"/>
      <c r="P1449" s="269" t="n"/>
      <c r="Q1449" s="269" t="n"/>
      <c r="R1449" s="269" t="n"/>
      <c r="S1449" s="269" t="n"/>
      <c r="T1449" s="269" t="n"/>
      <c r="U1449" s="269" t="n"/>
      <c r="V1449" s="269" t="n"/>
      <c r="W1449" s="270" t="n"/>
    </row>
    <row r="1450">
      <c r="B1450" s="268" t="n"/>
      <c r="C1450" s="269" t="n"/>
      <c r="D1450" s="269" t="n"/>
      <c r="E1450" s="269" t="n"/>
      <c r="F1450" s="269" t="n"/>
      <c r="G1450" s="269" t="n"/>
      <c r="H1450" s="269" t="n"/>
      <c r="I1450" s="269" t="n"/>
      <c r="J1450" s="269" t="n"/>
      <c r="K1450" s="269" t="n"/>
      <c r="L1450" s="269" t="n"/>
      <c r="M1450" s="269" t="n"/>
      <c r="N1450" s="269" t="n"/>
      <c r="O1450" s="269" t="n"/>
      <c r="P1450" s="269" t="n"/>
      <c r="Q1450" s="269" t="n"/>
      <c r="R1450" s="269" t="n"/>
      <c r="S1450" s="269" t="n"/>
      <c r="T1450" s="269" t="n"/>
      <c r="U1450" s="269" t="n"/>
      <c r="V1450" s="269" t="n"/>
      <c r="W1450" s="270" t="n"/>
    </row>
    <row r="1451">
      <c r="B1451" s="268" t="n"/>
      <c r="C1451" s="269" t="n"/>
      <c r="D1451" s="269" t="n"/>
      <c r="E1451" s="269" t="n"/>
      <c r="F1451" s="269" t="n"/>
      <c r="G1451" s="269" t="n"/>
      <c r="H1451" s="269" t="n"/>
      <c r="I1451" s="269" t="n"/>
      <c r="J1451" s="269" t="n"/>
      <c r="K1451" s="269" t="n"/>
      <c r="L1451" s="269" t="n"/>
      <c r="M1451" s="269" t="n"/>
      <c r="N1451" s="269" t="n"/>
      <c r="O1451" s="269" t="n"/>
      <c r="P1451" s="269" t="n"/>
      <c r="Q1451" s="269" t="n"/>
      <c r="R1451" s="269" t="n"/>
      <c r="S1451" s="269" t="n"/>
      <c r="T1451" s="269" t="n"/>
      <c r="U1451" s="269" t="n"/>
      <c r="V1451" s="269" t="n"/>
      <c r="W1451" s="270" t="n"/>
    </row>
    <row r="1452">
      <c r="B1452" s="268" t="n"/>
      <c r="C1452" s="269" t="n"/>
      <c r="D1452" s="269" t="n"/>
      <c r="E1452" s="269" t="n"/>
      <c r="F1452" s="269" t="n"/>
      <c r="G1452" s="269" t="n"/>
      <c r="H1452" s="269" t="n"/>
      <c r="I1452" s="269" t="n"/>
      <c r="J1452" s="269" t="n"/>
      <c r="K1452" s="269" t="n"/>
      <c r="L1452" s="269" t="n"/>
      <c r="M1452" s="269" t="n"/>
      <c r="N1452" s="269" t="n"/>
      <c r="O1452" s="269" t="n"/>
      <c r="P1452" s="269" t="n"/>
      <c r="Q1452" s="269" t="n"/>
      <c r="R1452" s="269" t="n"/>
      <c r="S1452" s="269" t="n"/>
      <c r="T1452" s="269" t="n"/>
      <c r="U1452" s="269" t="n"/>
      <c r="V1452" s="269" t="n"/>
      <c r="W1452" s="270" t="n"/>
    </row>
    <row r="1453">
      <c r="B1453" s="268" t="n"/>
      <c r="C1453" s="269" t="n"/>
      <c r="D1453" s="269" t="n"/>
      <c r="E1453" s="269" t="n"/>
      <c r="F1453" s="269" t="n"/>
      <c r="G1453" s="269" t="n"/>
      <c r="H1453" s="269" t="n"/>
      <c r="I1453" s="269" t="n"/>
      <c r="J1453" s="269" t="n"/>
      <c r="K1453" s="269" t="n"/>
      <c r="L1453" s="269" t="n"/>
      <c r="M1453" s="269" t="n"/>
      <c r="N1453" s="269" t="n"/>
      <c r="O1453" s="269" t="n"/>
      <c r="P1453" s="269" t="n"/>
      <c r="Q1453" s="269" t="n"/>
      <c r="R1453" s="269" t="n"/>
      <c r="S1453" s="269" t="n"/>
      <c r="T1453" s="269" t="n"/>
      <c r="U1453" s="269" t="n"/>
      <c r="V1453" s="269" t="n"/>
      <c r="W1453" s="270" t="n"/>
    </row>
    <row r="1454">
      <c r="B1454" s="268" t="n"/>
      <c r="C1454" s="269" t="n"/>
      <c r="D1454" s="269" t="n"/>
      <c r="E1454" s="269" t="n"/>
      <c r="F1454" s="269" t="n"/>
      <c r="G1454" s="269" t="n"/>
      <c r="H1454" s="269" t="n"/>
      <c r="I1454" s="269" t="n"/>
      <c r="J1454" s="269" t="n"/>
      <c r="K1454" s="269" t="n"/>
      <c r="L1454" s="269" t="n"/>
      <c r="M1454" s="269" t="n"/>
      <c r="N1454" s="269" t="n"/>
      <c r="O1454" s="269" t="n"/>
      <c r="P1454" s="269" t="n"/>
      <c r="Q1454" s="269" t="n"/>
      <c r="R1454" s="269" t="n"/>
      <c r="S1454" s="269" t="n"/>
      <c r="T1454" s="269" t="n"/>
      <c r="U1454" s="269" t="n"/>
      <c r="V1454" s="269" t="n"/>
      <c r="W1454" s="270" t="n"/>
    </row>
    <row r="1455">
      <c r="B1455" s="268" t="n"/>
      <c r="C1455" s="269" t="n"/>
      <c r="D1455" s="269" t="n"/>
      <c r="E1455" s="269" t="n"/>
      <c r="F1455" s="269" t="n"/>
      <c r="G1455" s="269" t="n"/>
      <c r="H1455" s="269" t="n"/>
      <c r="I1455" s="269" t="n"/>
      <c r="J1455" s="269" t="n"/>
      <c r="K1455" s="269" t="n"/>
      <c r="L1455" s="269" t="n"/>
      <c r="M1455" s="269" t="n"/>
      <c r="N1455" s="269" t="n"/>
      <c r="O1455" s="269" t="n"/>
      <c r="P1455" s="269" t="n"/>
      <c r="Q1455" s="269" t="n"/>
      <c r="R1455" s="269" t="n"/>
      <c r="S1455" s="269" t="n"/>
      <c r="T1455" s="269" t="n"/>
      <c r="U1455" s="269" t="n"/>
      <c r="V1455" s="269" t="n"/>
      <c r="W1455" s="270" t="n"/>
    </row>
    <row r="1456">
      <c r="B1456" s="268" t="n"/>
      <c r="C1456" s="269" t="n"/>
      <c r="D1456" s="269" t="n"/>
      <c r="E1456" s="269" t="n"/>
      <c r="F1456" s="269" t="n"/>
      <c r="G1456" s="269" t="n"/>
      <c r="H1456" s="269" t="n"/>
      <c r="I1456" s="269" t="n"/>
      <c r="J1456" s="269" t="n"/>
      <c r="K1456" s="269" t="n"/>
      <c r="L1456" s="269" t="n"/>
      <c r="M1456" s="269" t="n"/>
      <c r="N1456" s="269" t="n"/>
      <c r="O1456" s="269" t="n"/>
      <c r="P1456" s="269" t="n"/>
      <c r="Q1456" s="269" t="n"/>
      <c r="R1456" s="269" t="n"/>
      <c r="S1456" s="269" t="n"/>
      <c r="T1456" s="269" t="n"/>
      <c r="U1456" s="269" t="n"/>
      <c r="V1456" s="269" t="n"/>
      <c r="W1456" s="270" t="n"/>
    </row>
    <row r="1457">
      <c r="B1457" s="268" t="n"/>
      <c r="C1457" s="269" t="n"/>
      <c r="D1457" s="269" t="n"/>
      <c r="E1457" s="269" t="n"/>
      <c r="F1457" s="269" t="n"/>
      <c r="G1457" s="269" t="n"/>
      <c r="H1457" s="269" t="n"/>
      <c r="I1457" s="269" t="n"/>
      <c r="J1457" s="269" t="n"/>
      <c r="K1457" s="269" t="n"/>
      <c r="L1457" s="269" t="n"/>
      <c r="M1457" s="269" t="n"/>
      <c r="N1457" s="269" t="n"/>
      <c r="O1457" s="269" t="n"/>
      <c r="P1457" s="269" t="n"/>
      <c r="Q1457" s="269" t="n"/>
      <c r="R1457" s="269" t="n"/>
      <c r="S1457" s="269" t="n"/>
      <c r="T1457" s="269" t="n"/>
      <c r="U1457" s="269" t="n"/>
      <c r="V1457" s="269" t="n"/>
      <c r="W1457" s="270" t="n"/>
    </row>
    <row r="1458">
      <c r="B1458" s="268" t="n"/>
      <c r="C1458" s="269" t="n"/>
      <c r="D1458" s="269" t="n"/>
      <c r="E1458" s="269" t="n"/>
      <c r="F1458" s="269" t="n"/>
      <c r="G1458" s="269" t="n"/>
      <c r="H1458" s="269" t="n"/>
      <c r="I1458" s="269" t="n"/>
      <c r="J1458" s="269" t="n"/>
      <c r="K1458" s="269" t="n"/>
      <c r="L1458" s="269" t="n"/>
      <c r="M1458" s="269" t="n"/>
      <c r="N1458" s="269" t="n"/>
      <c r="O1458" s="269" t="n"/>
      <c r="P1458" s="269" t="n"/>
      <c r="Q1458" s="269" t="n"/>
      <c r="R1458" s="269" t="n"/>
      <c r="S1458" s="269" t="n"/>
      <c r="T1458" s="269" t="n"/>
      <c r="U1458" s="269" t="n"/>
      <c r="V1458" s="269" t="n"/>
      <c r="W1458" s="270" t="n"/>
    </row>
    <row r="1459">
      <c r="B1459" s="268" t="n"/>
      <c r="C1459" s="269" t="n"/>
      <c r="D1459" s="269" t="n"/>
      <c r="E1459" s="269" t="n"/>
      <c r="F1459" s="269" t="n"/>
      <c r="G1459" s="269" t="n"/>
      <c r="H1459" s="269" t="n"/>
      <c r="I1459" s="269" t="n"/>
      <c r="J1459" s="269" t="n"/>
      <c r="K1459" s="269" t="n"/>
      <c r="L1459" s="269" t="n"/>
      <c r="M1459" s="269" t="n"/>
      <c r="N1459" s="269" t="n"/>
      <c r="O1459" s="269" t="n"/>
      <c r="P1459" s="269" t="n"/>
      <c r="Q1459" s="269" t="n"/>
      <c r="R1459" s="269" t="n"/>
      <c r="S1459" s="269" t="n"/>
      <c r="T1459" s="269" t="n"/>
      <c r="U1459" s="269" t="n"/>
      <c r="V1459" s="269" t="n"/>
      <c r="W1459" s="270" t="n"/>
    </row>
    <row r="1460">
      <c r="B1460" s="268" t="n"/>
      <c r="C1460" s="269" t="n"/>
      <c r="D1460" s="269" t="n"/>
      <c r="E1460" s="269" t="n"/>
      <c r="F1460" s="269" t="n"/>
      <c r="G1460" s="269" t="n"/>
      <c r="H1460" s="269" t="n"/>
      <c r="I1460" s="269" t="n"/>
      <c r="J1460" s="269" t="n"/>
      <c r="K1460" s="269" t="n"/>
      <c r="L1460" s="269" t="n"/>
      <c r="M1460" s="269" t="n"/>
      <c r="N1460" s="269" t="n"/>
      <c r="O1460" s="269" t="n"/>
      <c r="P1460" s="269" t="n"/>
      <c r="Q1460" s="269" t="n"/>
      <c r="R1460" s="269" t="n"/>
      <c r="S1460" s="269" t="n"/>
      <c r="T1460" s="269" t="n"/>
      <c r="U1460" s="269" t="n"/>
      <c r="V1460" s="269" t="n"/>
      <c r="W1460" s="270" t="n"/>
    </row>
    <row r="1461">
      <c r="B1461" s="268" t="n"/>
      <c r="C1461" s="269" t="n"/>
      <c r="D1461" s="269" t="n"/>
      <c r="E1461" s="269" t="n"/>
      <c r="F1461" s="269" t="n"/>
      <c r="G1461" s="269" t="n"/>
      <c r="H1461" s="269" t="n"/>
      <c r="I1461" s="269" t="n"/>
      <c r="J1461" s="269" t="n"/>
      <c r="K1461" s="269" t="n"/>
      <c r="L1461" s="269" t="n"/>
      <c r="M1461" s="269" t="n"/>
      <c r="N1461" s="269" t="n"/>
      <c r="O1461" s="269" t="n"/>
      <c r="P1461" s="269" t="n"/>
      <c r="Q1461" s="269" t="n"/>
      <c r="R1461" s="269" t="n"/>
      <c r="S1461" s="269" t="n"/>
      <c r="T1461" s="269" t="n"/>
      <c r="U1461" s="269" t="n"/>
      <c r="V1461" s="269" t="n"/>
      <c r="W1461" s="270" t="n"/>
    </row>
    <row r="1462">
      <c r="B1462" s="268" t="n"/>
      <c r="C1462" s="269" t="n"/>
      <c r="D1462" s="269" t="n"/>
      <c r="E1462" s="269" t="n"/>
      <c r="F1462" s="269" t="n"/>
      <c r="G1462" s="269" t="n"/>
      <c r="H1462" s="269" t="n"/>
      <c r="I1462" s="269" t="n"/>
      <c r="J1462" s="269" t="n"/>
      <c r="K1462" s="269" t="n"/>
      <c r="L1462" s="269" t="n"/>
      <c r="M1462" s="269" t="n"/>
      <c r="N1462" s="269" t="n"/>
      <c r="O1462" s="269" t="n"/>
      <c r="P1462" s="269" t="n"/>
      <c r="Q1462" s="269" t="n"/>
      <c r="R1462" s="269" t="n"/>
      <c r="S1462" s="269" t="n"/>
      <c r="T1462" s="269" t="n"/>
      <c r="U1462" s="269" t="n"/>
      <c r="V1462" s="269" t="n"/>
      <c r="W1462" s="270" t="n"/>
    </row>
    <row r="1463">
      <c r="B1463" s="268" t="n"/>
      <c r="C1463" s="269" t="n"/>
      <c r="D1463" s="269" t="n"/>
      <c r="E1463" s="269" t="n"/>
      <c r="F1463" s="269" t="n"/>
      <c r="G1463" s="269" t="n"/>
      <c r="H1463" s="269" t="n"/>
      <c r="I1463" s="269" t="n"/>
      <c r="J1463" s="269" t="n"/>
      <c r="K1463" s="269" t="n"/>
      <c r="L1463" s="269" t="n"/>
      <c r="M1463" s="269" t="n"/>
      <c r="N1463" s="269" t="n"/>
      <c r="O1463" s="269" t="n"/>
      <c r="P1463" s="269" t="n"/>
      <c r="Q1463" s="269" t="n"/>
      <c r="R1463" s="269" t="n"/>
      <c r="S1463" s="269" t="n"/>
      <c r="T1463" s="269" t="n"/>
      <c r="U1463" s="269" t="n"/>
      <c r="V1463" s="269" t="n"/>
      <c r="W1463" s="270" t="n"/>
    </row>
    <row r="1464">
      <c r="B1464" s="268" t="n"/>
      <c r="C1464" s="269" t="n"/>
      <c r="D1464" s="269" t="n"/>
      <c r="E1464" s="269" t="n"/>
      <c r="F1464" s="269" t="n"/>
      <c r="G1464" s="269" t="n"/>
      <c r="H1464" s="269" t="n"/>
      <c r="I1464" s="269" t="n"/>
      <c r="J1464" s="269" t="n"/>
      <c r="K1464" s="269" t="n"/>
      <c r="L1464" s="269" t="n"/>
      <c r="M1464" s="269" t="n"/>
      <c r="N1464" s="269" t="n"/>
      <c r="O1464" s="269" t="n"/>
      <c r="P1464" s="269" t="n"/>
      <c r="Q1464" s="269" t="n"/>
      <c r="R1464" s="269" t="n"/>
      <c r="S1464" s="269" t="n"/>
      <c r="T1464" s="269" t="n"/>
      <c r="U1464" s="269" t="n"/>
      <c r="V1464" s="269" t="n"/>
      <c r="W1464" s="270" t="n"/>
    </row>
    <row r="1465">
      <c r="B1465" s="268" t="n"/>
      <c r="C1465" s="269" t="n"/>
      <c r="D1465" s="269" t="n"/>
      <c r="E1465" s="269" t="n"/>
      <c r="F1465" s="269" t="n"/>
      <c r="G1465" s="269" t="n"/>
      <c r="H1465" s="269" t="n"/>
      <c r="I1465" s="269" t="n"/>
      <c r="J1465" s="269" t="n"/>
      <c r="K1465" s="269" t="n"/>
      <c r="L1465" s="269" t="n"/>
      <c r="M1465" s="269" t="n"/>
      <c r="N1465" s="269" t="n"/>
      <c r="O1465" s="269" t="n"/>
      <c r="P1465" s="269" t="n"/>
      <c r="Q1465" s="269" t="n"/>
      <c r="R1465" s="269" t="n"/>
      <c r="S1465" s="269" t="n"/>
      <c r="T1465" s="269" t="n"/>
      <c r="U1465" s="269" t="n"/>
      <c r="V1465" s="269" t="n"/>
      <c r="W1465" s="270" t="n"/>
    </row>
    <row r="1466">
      <c r="B1466" s="268" t="n"/>
      <c r="C1466" s="269" t="n"/>
      <c r="D1466" s="269" t="n"/>
      <c r="E1466" s="269" t="n"/>
      <c r="F1466" s="269" t="n"/>
      <c r="G1466" s="269" t="n"/>
      <c r="H1466" s="269" t="n"/>
      <c r="I1466" s="269" t="n"/>
      <c r="J1466" s="269" t="n"/>
      <c r="K1466" s="269" t="n"/>
      <c r="L1466" s="269" t="n"/>
      <c r="M1466" s="269" t="n"/>
      <c r="N1466" s="269" t="n"/>
      <c r="O1466" s="269" t="n"/>
      <c r="P1466" s="269" t="n"/>
      <c r="Q1466" s="269" t="n"/>
      <c r="R1466" s="269" t="n"/>
      <c r="S1466" s="269" t="n"/>
      <c r="T1466" s="269" t="n"/>
      <c r="U1466" s="269" t="n"/>
      <c r="V1466" s="269" t="n"/>
      <c r="W1466" s="270" t="n"/>
    </row>
    <row r="1467">
      <c r="B1467" s="268" t="n"/>
      <c r="C1467" s="269" t="n"/>
      <c r="D1467" s="269" t="n"/>
      <c r="E1467" s="269" t="n"/>
      <c r="F1467" s="269" t="n"/>
      <c r="G1467" s="269" t="n"/>
      <c r="H1467" s="269" t="n"/>
      <c r="I1467" s="269" t="n"/>
      <c r="J1467" s="269" t="n"/>
      <c r="K1467" s="269" t="n"/>
      <c r="L1467" s="269" t="n"/>
      <c r="M1467" s="269" t="n"/>
      <c r="N1467" s="269" t="n"/>
      <c r="O1467" s="269" t="n"/>
      <c r="P1467" s="269" t="n"/>
      <c r="Q1467" s="269" t="n"/>
      <c r="R1467" s="269" t="n"/>
      <c r="S1467" s="269" t="n"/>
      <c r="T1467" s="269" t="n"/>
      <c r="U1467" s="269" t="n"/>
      <c r="V1467" s="269" t="n"/>
      <c r="W1467" s="270" t="n"/>
    </row>
    <row r="1468">
      <c r="B1468" s="268" t="n"/>
      <c r="C1468" s="269" t="n"/>
      <c r="D1468" s="269" t="n"/>
      <c r="E1468" s="269" t="n"/>
      <c r="F1468" s="269" t="n"/>
      <c r="G1468" s="269" t="n"/>
      <c r="H1468" s="269" t="n"/>
      <c r="I1468" s="269" t="n"/>
      <c r="J1468" s="269" t="n"/>
      <c r="K1468" s="269" t="n"/>
      <c r="L1468" s="269" t="n"/>
      <c r="M1468" s="269" t="n"/>
      <c r="N1468" s="269" t="n"/>
      <c r="O1468" s="269" t="n"/>
      <c r="P1468" s="269" t="n"/>
      <c r="Q1468" s="269" t="n"/>
      <c r="R1468" s="269" t="n"/>
      <c r="S1468" s="269" t="n"/>
      <c r="T1468" s="269" t="n"/>
      <c r="U1468" s="269" t="n"/>
      <c r="V1468" s="269" t="n"/>
      <c r="W1468" s="270" t="n"/>
    </row>
    <row r="1469">
      <c r="B1469" s="268" t="n"/>
      <c r="C1469" s="269" t="n"/>
      <c r="D1469" s="269" t="n"/>
      <c r="E1469" s="269" t="n"/>
      <c r="F1469" s="269" t="n"/>
      <c r="G1469" s="269" t="n"/>
      <c r="H1469" s="269" t="n"/>
      <c r="I1469" s="269" t="n"/>
      <c r="J1469" s="269" t="n"/>
      <c r="K1469" s="269" t="n"/>
      <c r="L1469" s="269" t="n"/>
      <c r="M1469" s="269" t="n"/>
      <c r="N1469" s="269" t="n"/>
      <c r="O1469" s="269" t="n"/>
      <c r="P1469" s="269" t="n"/>
      <c r="Q1469" s="269" t="n"/>
      <c r="R1469" s="269" t="n"/>
      <c r="S1469" s="269" t="n"/>
      <c r="T1469" s="269" t="n"/>
      <c r="U1469" s="269" t="n"/>
      <c r="V1469" s="269" t="n"/>
      <c r="W1469" s="270" t="n"/>
    </row>
    <row r="1470">
      <c r="B1470" s="268" t="n"/>
      <c r="C1470" s="269" t="n"/>
      <c r="D1470" s="269" t="n"/>
      <c r="E1470" s="269" t="n"/>
      <c r="F1470" s="269" t="n"/>
      <c r="G1470" s="269" t="n"/>
      <c r="H1470" s="269" t="n"/>
      <c r="I1470" s="269" t="n"/>
      <c r="J1470" s="269" t="n"/>
      <c r="K1470" s="269" t="n"/>
      <c r="L1470" s="269" t="n"/>
      <c r="M1470" s="269" t="n"/>
      <c r="N1470" s="269" t="n"/>
      <c r="O1470" s="269" t="n"/>
      <c r="P1470" s="269" t="n"/>
      <c r="Q1470" s="269" t="n"/>
      <c r="R1470" s="269" t="n"/>
      <c r="S1470" s="269" t="n"/>
      <c r="T1470" s="269" t="n"/>
      <c r="U1470" s="269" t="n"/>
      <c r="V1470" s="269" t="n"/>
      <c r="W1470" s="270" t="n"/>
    </row>
    <row r="1471">
      <c r="B1471" s="268" t="n"/>
      <c r="C1471" s="269" t="n"/>
      <c r="D1471" s="269" t="n"/>
      <c r="E1471" s="269" t="n"/>
      <c r="F1471" s="269" t="n"/>
      <c r="G1471" s="269" t="n"/>
      <c r="H1471" s="269" t="n"/>
      <c r="I1471" s="269" t="n"/>
      <c r="J1471" s="269" t="n"/>
      <c r="K1471" s="269" t="n"/>
      <c r="L1471" s="269" t="n"/>
      <c r="M1471" s="269" t="n"/>
      <c r="N1471" s="269" t="n"/>
      <c r="O1471" s="269" t="n"/>
      <c r="P1471" s="269" t="n"/>
      <c r="Q1471" s="269" t="n"/>
      <c r="R1471" s="269" t="n"/>
      <c r="S1471" s="269" t="n"/>
      <c r="T1471" s="269" t="n"/>
      <c r="U1471" s="269" t="n"/>
      <c r="V1471" s="269" t="n"/>
      <c r="W1471" s="270" t="n"/>
    </row>
    <row r="1472">
      <c r="B1472" s="268" t="n"/>
      <c r="C1472" s="269" t="n"/>
      <c r="D1472" s="269" t="n"/>
      <c r="E1472" s="269" t="n"/>
      <c r="F1472" s="269" t="n"/>
      <c r="G1472" s="269" t="n"/>
      <c r="H1472" s="269" t="n"/>
      <c r="I1472" s="269" t="n"/>
      <c r="J1472" s="269" t="n"/>
      <c r="K1472" s="269" t="n"/>
      <c r="L1472" s="269" t="n"/>
      <c r="M1472" s="269" t="n"/>
      <c r="N1472" s="269" t="n"/>
      <c r="O1472" s="269" t="n"/>
      <c r="P1472" s="269" t="n"/>
      <c r="Q1472" s="269" t="n"/>
      <c r="R1472" s="269" t="n"/>
      <c r="S1472" s="269" t="n"/>
      <c r="T1472" s="269" t="n"/>
      <c r="U1472" s="269" t="n"/>
      <c r="V1472" s="269" t="n"/>
      <c r="W1472" s="270" t="n"/>
    </row>
    <row r="1473">
      <c r="B1473" s="268" t="n"/>
      <c r="C1473" s="269" t="n"/>
      <c r="D1473" s="269" t="n"/>
      <c r="E1473" s="269" t="n"/>
      <c r="F1473" s="269" t="n"/>
      <c r="G1473" s="269" t="n"/>
      <c r="H1473" s="269" t="n"/>
      <c r="I1473" s="269" t="n"/>
      <c r="J1473" s="269" t="n"/>
      <c r="K1473" s="269" t="n"/>
      <c r="L1473" s="269" t="n"/>
      <c r="M1473" s="269" t="n"/>
      <c r="N1473" s="269" t="n"/>
      <c r="O1473" s="269" t="n"/>
      <c r="P1473" s="269" t="n"/>
      <c r="Q1473" s="269" t="n"/>
      <c r="R1473" s="269" t="n"/>
      <c r="S1473" s="269" t="n"/>
      <c r="T1473" s="269" t="n"/>
      <c r="U1473" s="269" t="n"/>
      <c r="V1473" s="269" t="n"/>
      <c r="W1473" s="270" t="n"/>
    </row>
    <row r="1474">
      <c r="B1474" s="268" t="n"/>
      <c r="C1474" s="269" t="n"/>
      <c r="D1474" s="269" t="n"/>
      <c r="E1474" s="269" t="n"/>
      <c r="F1474" s="269" t="n"/>
      <c r="G1474" s="269" t="n"/>
      <c r="H1474" s="269" t="n"/>
      <c r="I1474" s="269" t="n"/>
      <c r="J1474" s="269" t="n"/>
      <c r="K1474" s="269" t="n"/>
      <c r="L1474" s="269" t="n"/>
      <c r="M1474" s="269" t="n"/>
      <c r="N1474" s="269" t="n"/>
      <c r="O1474" s="269" t="n"/>
      <c r="P1474" s="269" t="n"/>
      <c r="Q1474" s="269" t="n"/>
      <c r="R1474" s="269" t="n"/>
      <c r="S1474" s="269" t="n"/>
      <c r="T1474" s="269" t="n"/>
      <c r="U1474" s="269" t="n"/>
      <c r="V1474" s="269" t="n"/>
      <c r="W1474" s="270" t="n"/>
    </row>
    <row r="1475">
      <c r="B1475" s="268" t="n"/>
      <c r="C1475" s="269" t="n"/>
      <c r="D1475" s="269" t="n"/>
      <c r="E1475" s="269" t="n"/>
      <c r="F1475" s="269" t="n"/>
      <c r="G1475" s="269" t="n"/>
      <c r="H1475" s="269" t="n"/>
      <c r="I1475" s="269" t="n"/>
      <c r="J1475" s="269" t="n"/>
      <c r="K1475" s="269" t="n"/>
      <c r="L1475" s="269" t="n"/>
      <c r="M1475" s="269" t="n"/>
      <c r="N1475" s="269" t="n"/>
      <c r="O1475" s="269" t="n"/>
      <c r="P1475" s="269" t="n"/>
      <c r="Q1475" s="269" t="n"/>
      <c r="R1475" s="269" t="n"/>
      <c r="S1475" s="269" t="n"/>
      <c r="T1475" s="269" t="n"/>
      <c r="U1475" s="269" t="n"/>
      <c r="V1475" s="269" t="n"/>
      <c r="W1475" s="270" t="n"/>
    </row>
    <row r="1476">
      <c r="B1476" s="268" t="n"/>
      <c r="C1476" s="269" t="n"/>
      <c r="D1476" s="269" t="n"/>
      <c r="E1476" s="269" t="n"/>
      <c r="F1476" s="269" t="n"/>
      <c r="G1476" s="269" t="n"/>
      <c r="H1476" s="269" t="n"/>
      <c r="I1476" s="269" t="n"/>
      <c r="J1476" s="269" t="n"/>
      <c r="K1476" s="269" t="n"/>
      <c r="L1476" s="269" t="n"/>
      <c r="M1476" s="269" t="n"/>
      <c r="N1476" s="269" t="n"/>
      <c r="O1476" s="269" t="n"/>
      <c r="P1476" s="269" t="n"/>
      <c r="Q1476" s="269" t="n"/>
      <c r="R1476" s="269" t="n"/>
      <c r="S1476" s="269" t="n"/>
      <c r="T1476" s="269" t="n"/>
      <c r="U1476" s="269" t="n"/>
      <c r="V1476" s="269" t="n"/>
      <c r="W1476" s="270" t="n"/>
    </row>
    <row r="1477">
      <c r="B1477" s="268" t="n"/>
      <c r="C1477" s="269" t="n"/>
      <c r="D1477" s="269" t="n"/>
      <c r="E1477" s="269" t="n"/>
      <c r="F1477" s="269" t="n"/>
      <c r="G1477" s="269" t="n"/>
      <c r="H1477" s="269" t="n"/>
      <c r="I1477" s="269" t="n"/>
      <c r="J1477" s="269" t="n"/>
      <c r="K1477" s="269" t="n"/>
      <c r="L1477" s="269" t="n"/>
      <c r="M1477" s="269" t="n"/>
      <c r="N1477" s="269" t="n"/>
      <c r="O1477" s="269" t="n"/>
      <c r="P1477" s="269" t="n"/>
      <c r="Q1477" s="269" t="n"/>
      <c r="R1477" s="269" t="n"/>
      <c r="S1477" s="269" t="n"/>
      <c r="T1477" s="269" t="n"/>
      <c r="U1477" s="269" t="n"/>
      <c r="V1477" s="269" t="n"/>
      <c r="W1477" s="270" t="n"/>
    </row>
    <row r="1478">
      <c r="B1478" s="268" t="n"/>
      <c r="C1478" s="269" t="n"/>
      <c r="D1478" s="269" t="n"/>
      <c r="E1478" s="269" t="n"/>
      <c r="F1478" s="269" t="n"/>
      <c r="G1478" s="269" t="n"/>
      <c r="H1478" s="269" t="n"/>
      <c r="I1478" s="269" t="n"/>
      <c r="J1478" s="269" t="n"/>
      <c r="K1478" s="269" t="n"/>
      <c r="L1478" s="269" t="n"/>
      <c r="M1478" s="269" t="n"/>
      <c r="N1478" s="269" t="n"/>
      <c r="O1478" s="269" t="n"/>
      <c r="P1478" s="269" t="n"/>
      <c r="Q1478" s="269" t="n"/>
      <c r="R1478" s="269" t="n"/>
      <c r="S1478" s="269" t="n"/>
      <c r="T1478" s="269" t="n"/>
      <c r="U1478" s="269" t="n"/>
      <c r="V1478" s="269" t="n"/>
      <c r="W1478" s="270" t="n"/>
    </row>
    <row r="1479">
      <c r="B1479" s="268" t="n"/>
      <c r="C1479" s="269" t="n"/>
      <c r="D1479" s="269" t="n"/>
      <c r="E1479" s="269" t="n"/>
      <c r="F1479" s="269" t="n"/>
      <c r="G1479" s="269" t="n"/>
      <c r="H1479" s="269" t="n"/>
      <c r="I1479" s="269" t="n"/>
      <c r="J1479" s="269" t="n"/>
      <c r="K1479" s="269" t="n"/>
      <c r="L1479" s="269" t="n"/>
      <c r="M1479" s="269" t="n"/>
      <c r="N1479" s="269" t="n"/>
      <c r="O1479" s="269" t="n"/>
      <c r="P1479" s="269" t="n"/>
      <c r="Q1479" s="269" t="n"/>
      <c r="R1479" s="269" t="n"/>
      <c r="S1479" s="269" t="n"/>
      <c r="T1479" s="269" t="n"/>
      <c r="U1479" s="269" t="n"/>
      <c r="V1479" s="269" t="n"/>
      <c r="W1479" s="270" t="n"/>
    </row>
    <row r="1480">
      <c r="B1480" s="268" t="n"/>
      <c r="C1480" s="269" t="n"/>
      <c r="D1480" s="269" t="n"/>
      <c r="E1480" s="269" t="n"/>
      <c r="F1480" s="269" t="n"/>
      <c r="G1480" s="269" t="n"/>
      <c r="H1480" s="269" t="n"/>
      <c r="I1480" s="269" t="n"/>
      <c r="J1480" s="269" t="n"/>
      <c r="K1480" s="269" t="n"/>
      <c r="L1480" s="269" t="n"/>
      <c r="M1480" s="269" t="n"/>
      <c r="N1480" s="269" t="n"/>
      <c r="O1480" s="269" t="n"/>
      <c r="P1480" s="269" t="n"/>
      <c r="Q1480" s="269" t="n"/>
      <c r="R1480" s="269" t="n"/>
      <c r="S1480" s="269" t="n"/>
      <c r="T1480" s="269" t="n"/>
      <c r="U1480" s="269" t="n"/>
      <c r="V1480" s="269" t="n"/>
      <c r="W1480" s="270" t="n"/>
    </row>
    <row r="1481">
      <c r="B1481" s="268" t="n"/>
      <c r="C1481" s="269" t="n"/>
      <c r="D1481" s="269" t="n"/>
      <c r="E1481" s="269" t="n"/>
      <c r="F1481" s="269" t="n"/>
      <c r="G1481" s="269" t="n"/>
      <c r="H1481" s="269" t="n"/>
      <c r="I1481" s="269" t="n"/>
      <c r="J1481" s="269" t="n"/>
      <c r="K1481" s="269" t="n"/>
      <c r="L1481" s="269" t="n"/>
      <c r="M1481" s="269" t="n"/>
      <c r="N1481" s="269" t="n"/>
      <c r="O1481" s="269" t="n"/>
      <c r="P1481" s="269" t="n"/>
      <c r="Q1481" s="269" t="n"/>
      <c r="R1481" s="269" t="n"/>
      <c r="S1481" s="269" t="n"/>
      <c r="T1481" s="269" t="n"/>
      <c r="U1481" s="269" t="n"/>
      <c r="V1481" s="269" t="n"/>
      <c r="W1481" s="270" t="n"/>
    </row>
    <row r="1482">
      <c r="B1482" s="268" t="n"/>
      <c r="C1482" s="269" t="n"/>
      <c r="D1482" s="269" t="n"/>
      <c r="E1482" s="269" t="n"/>
      <c r="F1482" s="269" t="n"/>
      <c r="G1482" s="269" t="n"/>
      <c r="H1482" s="269" t="n"/>
      <c r="I1482" s="269" t="n"/>
      <c r="J1482" s="269" t="n"/>
      <c r="K1482" s="269" t="n"/>
      <c r="L1482" s="269" t="n"/>
      <c r="M1482" s="269" t="n"/>
      <c r="N1482" s="269" t="n"/>
      <c r="O1482" s="269" t="n"/>
      <c r="P1482" s="269" t="n"/>
      <c r="Q1482" s="269" t="n"/>
      <c r="R1482" s="269" t="n"/>
      <c r="S1482" s="269" t="n"/>
      <c r="T1482" s="269" t="n"/>
      <c r="U1482" s="269" t="n"/>
      <c r="V1482" s="269" t="n"/>
      <c r="W1482" s="270" t="n"/>
    </row>
    <row r="1483">
      <c r="B1483" s="268" t="n"/>
      <c r="C1483" s="269" t="n"/>
      <c r="D1483" s="269" t="n"/>
      <c r="E1483" s="269" t="n"/>
      <c r="F1483" s="269" t="n"/>
      <c r="G1483" s="269" t="n"/>
      <c r="H1483" s="269" t="n"/>
      <c r="I1483" s="269" t="n"/>
      <c r="J1483" s="269" t="n"/>
      <c r="K1483" s="269" t="n"/>
      <c r="L1483" s="269" t="n"/>
      <c r="M1483" s="269" t="n"/>
      <c r="N1483" s="269" t="n"/>
      <c r="O1483" s="269" t="n"/>
      <c r="P1483" s="269" t="n"/>
      <c r="Q1483" s="269" t="n"/>
      <c r="R1483" s="269" t="n"/>
      <c r="S1483" s="269" t="n"/>
      <c r="T1483" s="269" t="n"/>
      <c r="U1483" s="269" t="n"/>
      <c r="V1483" s="269" t="n"/>
      <c r="W1483" s="270" t="n"/>
    </row>
    <row r="1484">
      <c r="B1484" s="268" t="n"/>
      <c r="C1484" s="269" t="n"/>
      <c r="D1484" s="269" t="n"/>
      <c r="E1484" s="269" t="n"/>
      <c r="F1484" s="269" t="n"/>
      <c r="G1484" s="269" t="n"/>
      <c r="H1484" s="269" t="n"/>
      <c r="I1484" s="269" t="n"/>
      <c r="J1484" s="269" t="n"/>
      <c r="K1484" s="269" t="n"/>
      <c r="L1484" s="269" t="n"/>
      <c r="M1484" s="269" t="n"/>
      <c r="N1484" s="269" t="n"/>
      <c r="O1484" s="269" t="n"/>
      <c r="P1484" s="269" t="n"/>
      <c r="Q1484" s="269" t="n"/>
      <c r="R1484" s="269" t="n"/>
      <c r="S1484" s="269" t="n"/>
      <c r="T1484" s="269" t="n"/>
      <c r="U1484" s="269" t="n"/>
      <c r="V1484" s="269" t="n"/>
      <c r="W1484" s="270" t="n"/>
    </row>
    <row r="1485">
      <c r="B1485" s="268" t="n"/>
      <c r="C1485" s="269" t="n"/>
      <c r="D1485" s="269" t="n"/>
      <c r="E1485" s="269" t="n"/>
      <c r="F1485" s="269" t="n"/>
      <c r="G1485" s="269" t="n"/>
      <c r="H1485" s="269" t="n"/>
      <c r="I1485" s="269" t="n"/>
      <c r="J1485" s="269" t="n"/>
      <c r="K1485" s="269" t="n"/>
      <c r="L1485" s="269" t="n"/>
      <c r="M1485" s="269" t="n"/>
      <c r="N1485" s="269" t="n"/>
      <c r="O1485" s="269" t="n"/>
      <c r="P1485" s="269" t="n"/>
      <c r="Q1485" s="269" t="n"/>
      <c r="R1485" s="269" t="n"/>
      <c r="S1485" s="269" t="n"/>
      <c r="T1485" s="269" t="n"/>
      <c r="U1485" s="269" t="n"/>
      <c r="V1485" s="269" t="n"/>
      <c r="W1485" s="270" t="n"/>
    </row>
    <row r="1486">
      <c r="B1486" s="268" t="n"/>
      <c r="C1486" s="269" t="n"/>
      <c r="D1486" s="269" t="n"/>
      <c r="E1486" s="269" t="n"/>
      <c r="F1486" s="269" t="n"/>
      <c r="G1486" s="269" t="n"/>
      <c r="H1486" s="269" t="n"/>
      <c r="I1486" s="269" t="n"/>
      <c r="J1486" s="269" t="n"/>
      <c r="K1486" s="269" t="n"/>
      <c r="L1486" s="269" t="n"/>
      <c r="M1486" s="269" t="n"/>
      <c r="N1486" s="269" t="n"/>
      <c r="O1486" s="269" t="n"/>
      <c r="P1486" s="269" t="n"/>
      <c r="Q1486" s="269" t="n"/>
      <c r="R1486" s="269" t="n"/>
      <c r="S1486" s="269" t="n"/>
      <c r="T1486" s="269" t="n"/>
      <c r="U1486" s="269" t="n"/>
      <c r="V1486" s="269" t="n"/>
      <c r="W1486" s="270" t="n"/>
    </row>
    <row r="1487">
      <c r="B1487" s="268" t="n"/>
      <c r="C1487" s="269" t="n"/>
      <c r="D1487" s="269" t="n"/>
      <c r="E1487" s="269" t="n"/>
      <c r="F1487" s="269" t="n"/>
      <c r="G1487" s="269" t="n"/>
      <c r="H1487" s="269" t="n"/>
      <c r="I1487" s="269" t="n"/>
      <c r="J1487" s="269" t="n"/>
      <c r="K1487" s="269" t="n"/>
      <c r="L1487" s="269" t="n"/>
      <c r="M1487" s="269" t="n"/>
      <c r="N1487" s="269" t="n"/>
      <c r="O1487" s="269" t="n"/>
      <c r="P1487" s="269" t="n"/>
      <c r="Q1487" s="269" t="n"/>
      <c r="R1487" s="269" t="n"/>
      <c r="S1487" s="269" t="n"/>
      <c r="T1487" s="269" t="n"/>
      <c r="U1487" s="269" t="n"/>
      <c r="V1487" s="269" t="n"/>
      <c r="W1487" s="270" t="n"/>
    </row>
    <row r="1488">
      <c r="B1488" s="268" t="n"/>
      <c r="C1488" s="269" t="n"/>
      <c r="D1488" s="269" t="n"/>
      <c r="E1488" s="269" t="n"/>
      <c r="F1488" s="269" t="n"/>
      <c r="G1488" s="269" t="n"/>
      <c r="H1488" s="269" t="n"/>
      <c r="I1488" s="269" t="n"/>
      <c r="J1488" s="269" t="n"/>
      <c r="K1488" s="269" t="n"/>
      <c r="L1488" s="269" t="n"/>
      <c r="M1488" s="269" t="n"/>
      <c r="N1488" s="269" t="n"/>
      <c r="O1488" s="269" t="n"/>
      <c r="P1488" s="269" t="n"/>
      <c r="Q1488" s="269" t="n"/>
      <c r="R1488" s="269" t="n"/>
      <c r="S1488" s="269" t="n"/>
      <c r="T1488" s="269" t="n"/>
      <c r="U1488" s="269" t="n"/>
      <c r="V1488" s="269" t="n"/>
      <c r="W1488" s="270" t="n"/>
    </row>
    <row r="1489">
      <c r="B1489" s="268" t="n"/>
      <c r="C1489" s="269" t="n"/>
      <c r="D1489" s="269" t="n"/>
      <c r="E1489" s="269" t="n"/>
      <c r="F1489" s="269" t="n"/>
      <c r="G1489" s="269" t="n"/>
      <c r="H1489" s="269" t="n"/>
      <c r="I1489" s="269" t="n"/>
      <c r="J1489" s="269" t="n"/>
      <c r="K1489" s="269" t="n"/>
      <c r="L1489" s="269" t="n"/>
      <c r="M1489" s="269" t="n"/>
      <c r="N1489" s="269" t="n"/>
      <c r="O1489" s="269" t="n"/>
      <c r="P1489" s="269" t="n"/>
      <c r="Q1489" s="269" t="n"/>
      <c r="R1489" s="269" t="n"/>
      <c r="S1489" s="269" t="n"/>
      <c r="T1489" s="269" t="n"/>
      <c r="U1489" s="269" t="n"/>
      <c r="V1489" s="269" t="n"/>
      <c r="W1489" s="270" t="n"/>
    </row>
    <row r="1490">
      <c r="B1490" s="268" t="n"/>
      <c r="C1490" s="269" t="n"/>
      <c r="D1490" s="269" t="n"/>
      <c r="E1490" s="269" t="n"/>
      <c r="F1490" s="269" t="n"/>
      <c r="G1490" s="269" t="n"/>
      <c r="H1490" s="269" t="n"/>
      <c r="I1490" s="269" t="n"/>
      <c r="J1490" s="269" t="n"/>
      <c r="K1490" s="269" t="n"/>
      <c r="L1490" s="269" t="n"/>
      <c r="M1490" s="269" t="n"/>
      <c r="N1490" s="269" t="n"/>
      <c r="O1490" s="269" t="n"/>
      <c r="P1490" s="269" t="n"/>
      <c r="Q1490" s="269" t="n"/>
      <c r="R1490" s="269" t="n"/>
      <c r="S1490" s="269" t="n"/>
      <c r="T1490" s="269" t="n"/>
      <c r="U1490" s="269" t="n"/>
      <c r="V1490" s="269" t="n"/>
      <c r="W1490" s="270" t="n"/>
    </row>
    <row r="1491">
      <c r="B1491" s="268" t="n"/>
      <c r="C1491" s="269" t="n"/>
      <c r="D1491" s="269" t="n"/>
      <c r="E1491" s="269" t="n"/>
      <c r="F1491" s="269" t="n"/>
      <c r="G1491" s="269" t="n"/>
      <c r="H1491" s="269" t="n"/>
      <c r="I1491" s="269" t="n"/>
      <c r="J1491" s="269" t="n"/>
      <c r="K1491" s="269" t="n"/>
      <c r="L1491" s="269" t="n"/>
      <c r="M1491" s="269" t="n"/>
      <c r="N1491" s="269" t="n"/>
      <c r="O1491" s="269" t="n"/>
      <c r="P1491" s="269" t="n"/>
      <c r="Q1491" s="269" t="n"/>
      <c r="R1491" s="269" t="n"/>
      <c r="S1491" s="269" t="n"/>
      <c r="T1491" s="269" t="n"/>
      <c r="U1491" s="269" t="n"/>
      <c r="V1491" s="269" t="n"/>
      <c r="W1491" s="270" t="n"/>
    </row>
    <row r="1492">
      <c r="B1492" s="268" t="n"/>
      <c r="C1492" s="269" t="n"/>
      <c r="D1492" s="269" t="n"/>
      <c r="E1492" s="269" t="n"/>
      <c r="F1492" s="269" t="n"/>
      <c r="G1492" s="269" t="n"/>
      <c r="H1492" s="269" t="n"/>
      <c r="I1492" s="269" t="n"/>
      <c r="J1492" s="269" t="n"/>
      <c r="K1492" s="269" t="n"/>
      <c r="L1492" s="269" t="n"/>
      <c r="M1492" s="269" t="n"/>
      <c r="N1492" s="269" t="n"/>
      <c r="O1492" s="269" t="n"/>
      <c r="P1492" s="269" t="n"/>
      <c r="Q1492" s="269" t="n"/>
      <c r="R1492" s="269" t="n"/>
      <c r="S1492" s="269" t="n"/>
      <c r="T1492" s="269" t="n"/>
      <c r="U1492" s="269" t="n"/>
      <c r="V1492" s="269" t="n"/>
      <c r="W1492" s="270" t="n"/>
    </row>
    <row r="1493">
      <c r="B1493" s="268" t="n"/>
      <c r="C1493" s="269" t="n"/>
      <c r="D1493" s="269" t="n"/>
      <c r="E1493" s="269" t="n"/>
      <c r="F1493" s="269" t="n"/>
      <c r="G1493" s="269" t="n"/>
      <c r="H1493" s="269" t="n"/>
      <c r="I1493" s="269" t="n"/>
      <c r="J1493" s="269" t="n"/>
      <c r="K1493" s="269" t="n"/>
      <c r="L1493" s="269" t="n"/>
      <c r="M1493" s="269" t="n"/>
      <c r="N1493" s="269" t="n"/>
      <c r="O1493" s="269" t="n"/>
      <c r="P1493" s="269" t="n"/>
      <c r="Q1493" s="269" t="n"/>
      <c r="R1493" s="269" t="n"/>
      <c r="S1493" s="269" t="n"/>
      <c r="T1493" s="269" t="n"/>
      <c r="U1493" s="269" t="n"/>
      <c r="V1493" s="269" t="n"/>
      <c r="W1493" s="270" t="n"/>
    </row>
    <row r="1494">
      <c r="B1494" s="268" t="n"/>
      <c r="C1494" s="269" t="n"/>
      <c r="D1494" s="269" t="n"/>
      <c r="E1494" s="269" t="n"/>
      <c r="F1494" s="269" t="n"/>
      <c r="G1494" s="269" t="n"/>
      <c r="H1494" s="269" t="n"/>
      <c r="I1494" s="269" t="n"/>
      <c r="J1494" s="269" t="n"/>
      <c r="K1494" s="269" t="n"/>
      <c r="L1494" s="269" t="n"/>
      <c r="M1494" s="269" t="n"/>
      <c r="N1494" s="269" t="n"/>
      <c r="O1494" s="269" t="n"/>
      <c r="P1494" s="269" t="n"/>
      <c r="Q1494" s="269" t="n"/>
      <c r="R1494" s="269" t="n"/>
      <c r="S1494" s="269" t="n"/>
      <c r="T1494" s="269" t="n"/>
      <c r="U1494" s="269" t="n"/>
      <c r="V1494" s="269" t="n"/>
      <c r="W1494" s="270" t="n"/>
    </row>
    <row r="1495">
      <c r="B1495" s="268" t="n"/>
      <c r="C1495" s="269" t="n"/>
      <c r="D1495" s="269" t="n"/>
      <c r="E1495" s="269" t="n"/>
      <c r="F1495" s="269" t="n"/>
      <c r="G1495" s="269" t="n"/>
      <c r="H1495" s="269" t="n"/>
      <c r="I1495" s="269" t="n"/>
      <c r="J1495" s="269" t="n"/>
      <c r="K1495" s="269" t="n"/>
      <c r="L1495" s="269" t="n"/>
      <c r="M1495" s="269" t="n"/>
      <c r="N1495" s="269" t="n"/>
      <c r="O1495" s="269" t="n"/>
      <c r="P1495" s="269" t="n"/>
      <c r="Q1495" s="269" t="n"/>
      <c r="R1495" s="269" t="n"/>
      <c r="S1495" s="269" t="n"/>
      <c r="T1495" s="269" t="n"/>
      <c r="U1495" s="269" t="n"/>
      <c r="V1495" s="269" t="n"/>
      <c r="W1495" s="270" t="n"/>
    </row>
    <row r="1496">
      <c r="B1496" s="268" t="n"/>
      <c r="C1496" s="269" t="n"/>
      <c r="D1496" s="269" t="n"/>
      <c r="E1496" s="269" t="n"/>
      <c r="F1496" s="269" t="n"/>
      <c r="G1496" s="269" t="n"/>
      <c r="H1496" s="269" t="n"/>
      <c r="I1496" s="269" t="n"/>
      <c r="J1496" s="269" t="n"/>
      <c r="K1496" s="269" t="n"/>
      <c r="L1496" s="269" t="n"/>
      <c r="M1496" s="269" t="n"/>
      <c r="N1496" s="269" t="n"/>
      <c r="O1496" s="269" t="n"/>
      <c r="P1496" s="269" t="n"/>
      <c r="Q1496" s="269" t="n"/>
      <c r="R1496" s="269" t="n"/>
      <c r="S1496" s="269" t="n"/>
      <c r="T1496" s="269" t="n"/>
      <c r="U1496" s="269" t="n"/>
      <c r="V1496" s="269" t="n"/>
      <c r="W1496" s="270" t="n"/>
    </row>
    <row r="1497">
      <c r="B1497" s="268" t="n"/>
      <c r="C1497" s="269" t="n"/>
      <c r="D1497" s="269" t="n"/>
      <c r="E1497" s="269" t="n"/>
      <c r="F1497" s="269" t="n"/>
      <c r="G1497" s="269" t="n"/>
      <c r="H1497" s="269" t="n"/>
      <c r="I1497" s="269" t="n"/>
      <c r="J1497" s="269" t="n"/>
      <c r="K1497" s="269" t="n"/>
      <c r="L1497" s="269" t="n"/>
      <c r="M1497" s="269" t="n"/>
      <c r="N1497" s="269" t="n"/>
      <c r="O1497" s="269" t="n"/>
      <c r="P1497" s="269" t="n"/>
      <c r="Q1497" s="269" t="n"/>
      <c r="R1497" s="269" t="n"/>
      <c r="S1497" s="269" t="n"/>
      <c r="T1497" s="269" t="n"/>
      <c r="U1497" s="269" t="n"/>
      <c r="V1497" s="269" t="n"/>
      <c r="W1497" s="270" t="n"/>
    </row>
    <row r="1498">
      <c r="B1498" s="268" t="n"/>
      <c r="C1498" s="269" t="n"/>
      <c r="D1498" s="269" t="n"/>
      <c r="E1498" s="269" t="n"/>
      <c r="F1498" s="269" t="n"/>
      <c r="G1498" s="269" t="n"/>
      <c r="H1498" s="269" t="n"/>
      <c r="I1498" s="269" t="n"/>
      <c r="J1498" s="269" t="n"/>
      <c r="K1498" s="269" t="n"/>
      <c r="L1498" s="269" t="n"/>
      <c r="M1498" s="269" t="n"/>
      <c r="N1498" s="269" t="n"/>
      <c r="O1498" s="269" t="n"/>
      <c r="P1498" s="269" t="n"/>
      <c r="Q1498" s="269" t="n"/>
      <c r="R1498" s="269" t="n"/>
      <c r="S1498" s="269" t="n"/>
      <c r="T1498" s="269" t="n"/>
      <c r="U1498" s="269" t="n"/>
      <c r="V1498" s="269" t="n"/>
      <c r="W1498" s="270" t="n"/>
    </row>
    <row r="1499">
      <c r="B1499" s="268" t="n"/>
      <c r="C1499" s="269" t="n"/>
      <c r="D1499" s="269" t="n"/>
      <c r="E1499" s="269" t="n"/>
      <c r="F1499" s="269" t="n"/>
      <c r="G1499" s="269" t="n"/>
      <c r="H1499" s="269" t="n"/>
      <c r="I1499" s="269" t="n"/>
      <c r="J1499" s="269" t="n"/>
      <c r="K1499" s="269" t="n"/>
      <c r="L1499" s="269" t="n"/>
      <c r="M1499" s="269" t="n"/>
      <c r="N1499" s="269" t="n"/>
      <c r="O1499" s="269" t="n"/>
      <c r="P1499" s="269" t="n"/>
      <c r="Q1499" s="269" t="n"/>
      <c r="R1499" s="269" t="n"/>
      <c r="S1499" s="269" t="n"/>
      <c r="T1499" s="269" t="n"/>
      <c r="U1499" s="269" t="n"/>
      <c r="V1499" s="269" t="n"/>
      <c r="W1499" s="270" t="n"/>
    </row>
    <row r="1500">
      <c r="B1500" s="268" t="n"/>
      <c r="C1500" s="269" t="n"/>
      <c r="D1500" s="269" t="n"/>
      <c r="E1500" s="269" t="n"/>
      <c r="F1500" s="269" t="n"/>
      <c r="G1500" s="269" t="n"/>
      <c r="H1500" s="269" t="n"/>
      <c r="I1500" s="269" t="n"/>
      <c r="J1500" s="269" t="n"/>
      <c r="K1500" s="269" t="n"/>
      <c r="L1500" s="269" t="n"/>
      <c r="M1500" s="269" t="n"/>
      <c r="N1500" s="269" t="n"/>
      <c r="O1500" s="269" t="n"/>
      <c r="P1500" s="269" t="n"/>
      <c r="Q1500" s="269" t="n"/>
      <c r="R1500" s="269" t="n"/>
      <c r="S1500" s="269" t="n"/>
      <c r="T1500" s="269" t="n"/>
      <c r="U1500" s="269" t="n"/>
      <c r="V1500" s="269" t="n"/>
      <c r="W1500" s="270" t="n"/>
    </row>
    <row r="1501">
      <c r="B1501" s="268" t="n"/>
      <c r="C1501" s="269" t="n"/>
      <c r="D1501" s="269" t="n"/>
      <c r="E1501" s="269" t="n"/>
      <c r="F1501" s="269" t="n"/>
      <c r="G1501" s="269" t="n"/>
      <c r="H1501" s="269" t="n"/>
      <c r="I1501" s="269" t="n"/>
      <c r="J1501" s="269" t="n"/>
      <c r="K1501" s="269" t="n"/>
      <c r="L1501" s="269" t="n"/>
      <c r="M1501" s="269" t="n"/>
      <c r="N1501" s="269" t="n"/>
      <c r="O1501" s="269" t="n"/>
      <c r="P1501" s="269" t="n"/>
      <c r="Q1501" s="269" t="n"/>
      <c r="R1501" s="269" t="n"/>
      <c r="S1501" s="269" t="n"/>
      <c r="T1501" s="269" t="n"/>
      <c r="U1501" s="269" t="n"/>
      <c r="V1501" s="269" t="n"/>
      <c r="W1501" s="270" t="n"/>
    </row>
    <row r="1502">
      <c r="B1502" s="268" t="n"/>
      <c r="C1502" s="269" t="n"/>
      <c r="D1502" s="269" t="n"/>
      <c r="E1502" s="269" t="n"/>
      <c r="F1502" s="269" t="n"/>
      <c r="G1502" s="269" t="n"/>
      <c r="H1502" s="269" t="n"/>
      <c r="I1502" s="269" t="n"/>
      <c r="J1502" s="269" t="n"/>
      <c r="K1502" s="269" t="n"/>
      <c r="L1502" s="269" t="n"/>
      <c r="M1502" s="269" t="n"/>
      <c r="N1502" s="269" t="n"/>
      <c r="O1502" s="269" t="n"/>
      <c r="P1502" s="269" t="n"/>
      <c r="Q1502" s="269" t="n"/>
      <c r="R1502" s="269" t="n"/>
      <c r="S1502" s="269" t="n"/>
      <c r="T1502" s="269" t="n"/>
      <c r="U1502" s="269" t="n"/>
      <c r="V1502" s="269" t="n"/>
      <c r="W1502" s="270" t="n"/>
    </row>
    <row r="1503">
      <c r="B1503" s="268" t="n"/>
      <c r="C1503" s="269" t="n"/>
      <c r="D1503" s="269" t="n"/>
      <c r="E1503" s="269" t="n"/>
      <c r="F1503" s="269" t="n"/>
      <c r="G1503" s="269" t="n"/>
      <c r="H1503" s="269" t="n"/>
      <c r="I1503" s="269" t="n"/>
      <c r="J1503" s="269" t="n"/>
      <c r="K1503" s="269" t="n"/>
      <c r="L1503" s="269" t="n"/>
      <c r="M1503" s="269" t="n"/>
      <c r="N1503" s="269" t="n"/>
      <c r="O1503" s="269" t="n"/>
      <c r="P1503" s="269" t="n"/>
      <c r="Q1503" s="269" t="n"/>
      <c r="R1503" s="269" t="n"/>
      <c r="S1503" s="269" t="n"/>
      <c r="T1503" s="269" t="n"/>
      <c r="U1503" s="269" t="n"/>
      <c r="V1503" s="269" t="n"/>
      <c r="W1503" s="270" t="n"/>
    </row>
    <row r="1504">
      <c r="B1504" s="268" t="n"/>
      <c r="C1504" s="269" t="n"/>
      <c r="D1504" s="269" t="n"/>
      <c r="E1504" s="269" t="n"/>
      <c r="F1504" s="269" t="n"/>
      <c r="G1504" s="269" t="n"/>
      <c r="H1504" s="269" t="n"/>
      <c r="I1504" s="269" t="n"/>
      <c r="J1504" s="269" t="n"/>
      <c r="K1504" s="269" t="n"/>
      <c r="L1504" s="269" t="n"/>
      <c r="M1504" s="269" t="n"/>
      <c r="N1504" s="269" t="n"/>
      <c r="O1504" s="269" t="n"/>
      <c r="P1504" s="269" t="n"/>
      <c r="Q1504" s="269" t="n"/>
      <c r="R1504" s="269" t="n"/>
      <c r="S1504" s="269" t="n"/>
      <c r="T1504" s="269" t="n"/>
      <c r="U1504" s="269" t="n"/>
      <c r="V1504" s="269" t="n"/>
      <c r="W1504" s="270" t="n"/>
    </row>
    <row r="1505">
      <c r="B1505" s="268" t="n"/>
      <c r="C1505" s="269" t="n"/>
      <c r="D1505" s="269" t="n"/>
      <c r="E1505" s="269" t="n"/>
      <c r="F1505" s="269" t="n"/>
      <c r="G1505" s="269" t="n"/>
      <c r="H1505" s="269" t="n"/>
      <c r="I1505" s="269" t="n"/>
      <c r="J1505" s="269" t="n"/>
      <c r="K1505" s="269" t="n"/>
      <c r="L1505" s="269" t="n"/>
      <c r="M1505" s="269" t="n"/>
      <c r="N1505" s="269" t="n"/>
      <c r="O1505" s="269" t="n"/>
      <c r="P1505" s="269" t="n"/>
      <c r="Q1505" s="269" t="n"/>
      <c r="R1505" s="269" t="n"/>
      <c r="S1505" s="269" t="n"/>
      <c r="T1505" s="269" t="n"/>
      <c r="U1505" s="269" t="n"/>
      <c r="V1505" s="269" t="n"/>
      <c r="W1505" s="270" t="n"/>
    </row>
    <row r="1506">
      <c r="B1506" s="268" t="n"/>
      <c r="C1506" s="269" t="n"/>
      <c r="D1506" s="269" t="n"/>
      <c r="E1506" s="269" t="n"/>
      <c r="F1506" s="269" t="n"/>
      <c r="G1506" s="269" t="n"/>
      <c r="H1506" s="269" t="n"/>
      <c r="I1506" s="269" t="n"/>
      <c r="J1506" s="269" t="n"/>
      <c r="K1506" s="269" t="n"/>
      <c r="L1506" s="269" t="n"/>
      <c r="M1506" s="269" t="n"/>
      <c r="N1506" s="269" t="n"/>
      <c r="O1506" s="269" t="n"/>
      <c r="P1506" s="269" t="n"/>
      <c r="Q1506" s="269" t="n"/>
      <c r="R1506" s="269" t="n"/>
      <c r="S1506" s="269" t="n"/>
      <c r="T1506" s="269" t="n"/>
      <c r="U1506" s="269" t="n"/>
      <c r="V1506" s="269" t="n"/>
      <c r="W1506" s="270" t="n"/>
    </row>
    <row r="1507">
      <c r="B1507" s="268" t="n"/>
      <c r="C1507" s="269" t="n"/>
      <c r="D1507" s="269" t="n"/>
      <c r="E1507" s="269" t="n"/>
      <c r="F1507" s="269" t="n"/>
      <c r="G1507" s="269" t="n"/>
      <c r="H1507" s="269" t="n"/>
      <c r="I1507" s="269" t="n"/>
      <c r="J1507" s="269" t="n"/>
      <c r="K1507" s="269" t="n"/>
      <c r="L1507" s="269" t="n"/>
      <c r="M1507" s="269" t="n"/>
      <c r="N1507" s="269" t="n"/>
      <c r="O1507" s="269" t="n"/>
      <c r="P1507" s="269" t="n"/>
      <c r="Q1507" s="269" t="n"/>
      <c r="R1507" s="269" t="n"/>
      <c r="S1507" s="269" t="n"/>
      <c r="T1507" s="269" t="n"/>
      <c r="U1507" s="269" t="n"/>
      <c r="V1507" s="269" t="n"/>
      <c r="W1507" s="270" t="n"/>
    </row>
    <row r="1508">
      <c r="B1508" s="268" t="n"/>
      <c r="C1508" s="269" t="n"/>
      <c r="D1508" s="269" t="n"/>
      <c r="E1508" s="269" t="n"/>
      <c r="F1508" s="269" t="n"/>
      <c r="G1508" s="269" t="n"/>
      <c r="H1508" s="269" t="n"/>
      <c r="I1508" s="269" t="n"/>
      <c r="J1508" s="269" t="n"/>
      <c r="K1508" s="269" t="n"/>
      <c r="L1508" s="269" t="n"/>
      <c r="M1508" s="269" t="n"/>
      <c r="N1508" s="269" t="n"/>
      <c r="O1508" s="269" t="n"/>
      <c r="P1508" s="269" t="n"/>
      <c r="Q1508" s="269" t="n"/>
      <c r="R1508" s="269" t="n"/>
      <c r="S1508" s="269" t="n"/>
      <c r="T1508" s="269" t="n"/>
      <c r="U1508" s="269" t="n"/>
      <c r="V1508" s="269" t="n"/>
      <c r="W1508" s="270" t="n"/>
    </row>
    <row r="1509">
      <c r="B1509" s="268" t="n"/>
      <c r="C1509" s="269" t="n"/>
      <c r="D1509" s="269" t="n"/>
      <c r="E1509" s="269" t="n"/>
      <c r="F1509" s="269" t="n"/>
      <c r="G1509" s="269" t="n"/>
      <c r="H1509" s="269" t="n"/>
      <c r="I1509" s="269" t="n"/>
      <c r="J1509" s="269" t="n"/>
      <c r="K1509" s="269" t="n"/>
      <c r="L1509" s="269" t="n"/>
      <c r="M1509" s="269" t="n"/>
      <c r="N1509" s="269" t="n"/>
      <c r="O1509" s="269" t="n"/>
      <c r="P1509" s="269" t="n"/>
      <c r="Q1509" s="269" t="n"/>
      <c r="R1509" s="269" t="n"/>
      <c r="S1509" s="269" t="n"/>
      <c r="T1509" s="269" t="n"/>
      <c r="U1509" s="269" t="n"/>
      <c r="V1509" s="269" t="n"/>
      <c r="W1509" s="270" t="n"/>
    </row>
    <row r="1510">
      <c r="B1510" s="268" t="n"/>
      <c r="C1510" s="269" t="n"/>
      <c r="D1510" s="269" t="n"/>
      <c r="E1510" s="269" t="n"/>
      <c r="F1510" s="269" t="n"/>
      <c r="G1510" s="269" t="n"/>
      <c r="H1510" s="269" t="n"/>
      <c r="I1510" s="269" t="n"/>
      <c r="J1510" s="269" t="n"/>
      <c r="K1510" s="269" t="n"/>
      <c r="L1510" s="269" t="n"/>
      <c r="M1510" s="269" t="n"/>
      <c r="N1510" s="269" t="n"/>
      <c r="O1510" s="269" t="n"/>
      <c r="P1510" s="269" t="n"/>
      <c r="Q1510" s="269" t="n"/>
      <c r="R1510" s="269" t="n"/>
      <c r="S1510" s="269" t="n"/>
      <c r="T1510" s="269" t="n"/>
      <c r="U1510" s="269" t="n"/>
      <c r="V1510" s="269" t="n"/>
      <c r="W1510" s="270" t="n"/>
    </row>
    <row r="1511">
      <c r="B1511" s="268" t="n"/>
      <c r="C1511" s="269" t="n"/>
      <c r="D1511" s="269" t="n"/>
      <c r="E1511" s="269" t="n"/>
      <c r="F1511" s="269" t="n"/>
      <c r="G1511" s="269" t="n"/>
      <c r="H1511" s="269" t="n"/>
      <c r="I1511" s="269" t="n"/>
      <c r="J1511" s="269" t="n"/>
      <c r="K1511" s="269" t="n"/>
      <c r="L1511" s="269" t="n"/>
      <c r="M1511" s="269" t="n"/>
      <c r="N1511" s="269" t="n"/>
      <c r="O1511" s="269" t="n"/>
      <c r="P1511" s="269" t="n"/>
      <c r="Q1511" s="269" t="n"/>
      <c r="R1511" s="269" t="n"/>
      <c r="S1511" s="269" t="n"/>
      <c r="T1511" s="269" t="n"/>
      <c r="U1511" s="269" t="n"/>
      <c r="V1511" s="269" t="n"/>
      <c r="W1511" s="270" t="n"/>
    </row>
    <row r="1512">
      <c r="B1512" s="268" t="n"/>
      <c r="C1512" s="269" t="n"/>
      <c r="D1512" s="269" t="n"/>
      <c r="E1512" s="269" t="n"/>
      <c r="F1512" s="269" t="n"/>
      <c r="G1512" s="269" t="n"/>
      <c r="H1512" s="269" t="n"/>
      <c r="I1512" s="269" t="n"/>
      <c r="J1512" s="269" t="n"/>
      <c r="K1512" s="269" t="n"/>
      <c r="L1512" s="269" t="n"/>
      <c r="M1512" s="269" t="n"/>
      <c r="N1512" s="269" t="n"/>
      <c r="O1512" s="269" t="n"/>
      <c r="P1512" s="269" t="n"/>
      <c r="Q1512" s="269" t="n"/>
      <c r="R1512" s="269" t="n"/>
      <c r="S1512" s="269" t="n"/>
      <c r="T1512" s="269" t="n"/>
      <c r="U1512" s="269" t="n"/>
      <c r="V1512" s="269" t="n"/>
      <c r="W1512" s="270" t="n"/>
    </row>
    <row r="1513">
      <c r="B1513" s="268" t="n"/>
      <c r="C1513" s="269" t="n"/>
      <c r="D1513" s="269" t="n"/>
      <c r="E1513" s="269" t="n"/>
      <c r="F1513" s="269" t="n"/>
      <c r="G1513" s="269" t="n"/>
      <c r="H1513" s="269" t="n"/>
      <c r="I1513" s="269" t="n"/>
      <c r="J1513" s="269" t="n"/>
      <c r="K1513" s="269" t="n"/>
      <c r="L1513" s="269" t="n"/>
      <c r="M1513" s="269" t="n"/>
      <c r="N1513" s="269" t="n"/>
      <c r="O1513" s="269" t="n"/>
      <c r="P1513" s="269" t="n"/>
      <c r="Q1513" s="269" t="n"/>
      <c r="R1513" s="269" t="n"/>
      <c r="S1513" s="269" t="n"/>
      <c r="T1513" s="269" t="n"/>
      <c r="U1513" s="269" t="n"/>
      <c r="V1513" s="269" t="n"/>
      <c r="W1513" s="270" t="n"/>
    </row>
    <row r="1514">
      <c r="B1514" s="268" t="n"/>
      <c r="C1514" s="269" t="n"/>
      <c r="D1514" s="269" t="n"/>
      <c r="E1514" s="269" t="n"/>
      <c r="F1514" s="269" t="n"/>
      <c r="G1514" s="269" t="n"/>
      <c r="H1514" s="269" t="n"/>
      <c r="I1514" s="269" t="n"/>
      <c r="J1514" s="269" t="n"/>
      <c r="K1514" s="269" t="n"/>
      <c r="L1514" s="269" t="n"/>
      <c r="M1514" s="269" t="n"/>
      <c r="N1514" s="269" t="n"/>
      <c r="O1514" s="269" t="n"/>
      <c r="P1514" s="269" t="n"/>
      <c r="Q1514" s="269" t="n"/>
      <c r="R1514" s="269" t="n"/>
      <c r="S1514" s="269" t="n"/>
      <c r="T1514" s="269" t="n"/>
      <c r="U1514" s="269" t="n"/>
      <c r="V1514" s="269" t="n"/>
      <c r="W1514" s="270" t="n"/>
    </row>
    <row r="1515">
      <c r="B1515" s="268" t="n"/>
      <c r="C1515" s="269" t="n"/>
      <c r="D1515" s="269" t="n"/>
      <c r="E1515" s="269" t="n"/>
      <c r="F1515" s="269" t="n"/>
      <c r="G1515" s="269" t="n"/>
      <c r="H1515" s="269" t="n"/>
      <c r="I1515" s="269" t="n"/>
      <c r="J1515" s="269" t="n"/>
      <c r="K1515" s="269" t="n"/>
      <c r="L1515" s="269" t="n"/>
      <c r="M1515" s="269" t="n"/>
      <c r="N1515" s="269" t="n"/>
      <c r="O1515" s="269" t="n"/>
      <c r="P1515" s="269" t="n"/>
      <c r="Q1515" s="269" t="n"/>
      <c r="R1515" s="269" t="n"/>
      <c r="S1515" s="269" t="n"/>
      <c r="T1515" s="269" t="n"/>
      <c r="U1515" s="269" t="n"/>
      <c r="V1515" s="269" t="n"/>
      <c r="W1515" s="270" t="n"/>
    </row>
    <row r="1516">
      <c r="B1516" s="268" t="n"/>
      <c r="C1516" s="269" t="n"/>
      <c r="D1516" s="269" t="n"/>
      <c r="E1516" s="269" t="n"/>
      <c r="F1516" s="269" t="n"/>
      <c r="G1516" s="269" t="n"/>
      <c r="H1516" s="269" t="n"/>
      <c r="I1516" s="269" t="n"/>
      <c r="J1516" s="269" t="n"/>
      <c r="K1516" s="269" t="n"/>
      <c r="L1516" s="269" t="n"/>
      <c r="M1516" s="269" t="n"/>
      <c r="N1516" s="269" t="n"/>
      <c r="O1516" s="269" t="n"/>
      <c r="P1516" s="269" t="n"/>
      <c r="Q1516" s="269" t="n"/>
      <c r="R1516" s="269" t="n"/>
      <c r="S1516" s="269" t="n"/>
      <c r="T1516" s="269" t="n"/>
      <c r="U1516" s="269" t="n"/>
      <c r="V1516" s="269" t="n"/>
      <c r="W1516" s="270" t="n"/>
    </row>
    <row r="1517">
      <c r="B1517" s="268" t="n"/>
      <c r="C1517" s="269" t="n"/>
      <c r="D1517" s="269" t="n"/>
      <c r="E1517" s="269" t="n"/>
      <c r="F1517" s="269" t="n"/>
      <c r="G1517" s="269" t="n"/>
      <c r="H1517" s="269" t="n"/>
      <c r="I1517" s="269" t="n"/>
      <c r="J1517" s="269" t="n"/>
      <c r="K1517" s="269" t="n"/>
      <c r="L1517" s="269" t="n"/>
      <c r="M1517" s="269" t="n"/>
      <c r="N1517" s="269" t="n"/>
      <c r="O1517" s="269" t="n"/>
      <c r="P1517" s="269" t="n"/>
      <c r="Q1517" s="269" t="n"/>
      <c r="R1517" s="269" t="n"/>
      <c r="S1517" s="269" t="n"/>
      <c r="T1517" s="269" t="n"/>
      <c r="U1517" s="269" t="n"/>
      <c r="V1517" s="269" t="n"/>
      <c r="W1517" s="270" t="n"/>
    </row>
    <row r="1518">
      <c r="B1518" s="268" t="n"/>
      <c r="C1518" s="269" t="n"/>
      <c r="D1518" s="269" t="n"/>
      <c r="E1518" s="269" t="n"/>
      <c r="F1518" s="269" t="n"/>
      <c r="G1518" s="269" t="n"/>
      <c r="H1518" s="269" t="n"/>
      <c r="I1518" s="269" t="n"/>
      <c r="J1518" s="269" t="n"/>
      <c r="K1518" s="269" t="n"/>
      <c r="L1518" s="269" t="n"/>
      <c r="M1518" s="269" t="n"/>
      <c r="N1518" s="269" t="n"/>
      <c r="O1518" s="269" t="n"/>
      <c r="P1518" s="269" t="n"/>
      <c r="Q1518" s="269" t="n"/>
      <c r="R1518" s="269" t="n"/>
      <c r="S1518" s="269" t="n"/>
      <c r="T1518" s="269" t="n"/>
      <c r="U1518" s="269" t="n"/>
      <c r="V1518" s="269" t="n"/>
      <c r="W1518" s="270" t="n"/>
    </row>
    <row r="1519">
      <c r="B1519" s="268" t="n"/>
      <c r="C1519" s="269" t="n"/>
      <c r="D1519" s="269" t="n"/>
      <c r="E1519" s="269" t="n"/>
      <c r="F1519" s="269" t="n"/>
      <c r="G1519" s="269" t="n"/>
      <c r="H1519" s="269" t="n"/>
      <c r="I1519" s="269" t="n"/>
      <c r="J1519" s="269" t="n"/>
      <c r="K1519" s="269" t="n"/>
      <c r="L1519" s="269" t="n"/>
      <c r="M1519" s="269" t="n"/>
      <c r="N1519" s="269" t="n"/>
      <c r="O1519" s="269" t="n"/>
      <c r="P1519" s="269" t="n"/>
      <c r="Q1519" s="269" t="n"/>
      <c r="R1519" s="269" t="n"/>
      <c r="S1519" s="269" t="n"/>
      <c r="T1519" s="269" t="n"/>
      <c r="U1519" s="269" t="n"/>
      <c r="V1519" s="269" t="n"/>
      <c r="W1519" s="270" t="n"/>
    </row>
    <row r="1520">
      <c r="B1520" s="268" t="n"/>
      <c r="C1520" s="269" t="n"/>
      <c r="D1520" s="269" t="n"/>
      <c r="E1520" s="269" t="n"/>
      <c r="F1520" s="269" t="n"/>
      <c r="G1520" s="269" t="n"/>
      <c r="H1520" s="269" t="n"/>
      <c r="I1520" s="269" t="n"/>
      <c r="J1520" s="269" t="n"/>
      <c r="K1520" s="269" t="n"/>
      <c r="L1520" s="269" t="n"/>
      <c r="M1520" s="269" t="n"/>
      <c r="N1520" s="269" t="n"/>
      <c r="O1520" s="269" t="n"/>
      <c r="P1520" s="269" t="n"/>
      <c r="Q1520" s="269" t="n"/>
      <c r="R1520" s="269" t="n"/>
      <c r="S1520" s="269" t="n"/>
      <c r="T1520" s="269" t="n"/>
      <c r="U1520" s="269" t="n"/>
      <c r="V1520" s="269" t="n"/>
      <c r="W1520" s="270" t="n"/>
    </row>
    <row r="1521">
      <c r="B1521" s="268" t="n"/>
      <c r="C1521" s="269" t="n"/>
      <c r="D1521" s="269" t="n"/>
      <c r="E1521" s="269" t="n"/>
      <c r="F1521" s="269" t="n"/>
      <c r="G1521" s="269" t="n"/>
      <c r="H1521" s="269" t="n"/>
      <c r="I1521" s="269" t="n"/>
      <c r="J1521" s="269" t="n"/>
      <c r="K1521" s="269" t="n"/>
      <c r="L1521" s="269" t="n"/>
      <c r="M1521" s="269" t="n"/>
      <c r="N1521" s="269" t="n"/>
      <c r="O1521" s="269" t="n"/>
      <c r="P1521" s="269" t="n"/>
      <c r="Q1521" s="269" t="n"/>
      <c r="R1521" s="269" t="n"/>
      <c r="S1521" s="269" t="n"/>
      <c r="T1521" s="269" t="n"/>
      <c r="U1521" s="269" t="n"/>
      <c r="V1521" s="269" t="n"/>
      <c r="W1521" s="270" t="n"/>
    </row>
    <row r="1522">
      <c r="B1522" s="268" t="n"/>
      <c r="C1522" s="269" t="n"/>
      <c r="D1522" s="269" t="n"/>
      <c r="E1522" s="269" t="n"/>
      <c r="F1522" s="269" t="n"/>
      <c r="G1522" s="269" t="n"/>
      <c r="H1522" s="269" t="n"/>
      <c r="I1522" s="269" t="n"/>
      <c r="J1522" s="269" t="n"/>
      <c r="K1522" s="269" t="n"/>
      <c r="L1522" s="269" t="n"/>
      <c r="M1522" s="269" t="n"/>
      <c r="N1522" s="269" t="n"/>
      <c r="O1522" s="269" t="n"/>
      <c r="P1522" s="269" t="n"/>
      <c r="Q1522" s="269" t="n"/>
      <c r="R1522" s="269" t="n"/>
      <c r="S1522" s="269" t="n"/>
      <c r="T1522" s="269" t="n"/>
      <c r="U1522" s="269" t="n"/>
      <c r="V1522" s="269" t="n"/>
      <c r="W1522" s="270" t="n"/>
    </row>
    <row r="1523">
      <c r="B1523" s="268" t="n"/>
      <c r="C1523" s="269" t="n"/>
      <c r="D1523" s="269" t="n"/>
      <c r="E1523" s="269" t="n"/>
      <c r="F1523" s="269" t="n"/>
      <c r="G1523" s="269" t="n"/>
      <c r="H1523" s="269" t="n"/>
      <c r="I1523" s="269" t="n"/>
      <c r="J1523" s="269" t="n"/>
      <c r="K1523" s="269" t="n"/>
      <c r="L1523" s="269" t="n"/>
      <c r="M1523" s="269" t="n"/>
      <c r="N1523" s="269" t="n"/>
      <c r="O1523" s="269" t="n"/>
      <c r="P1523" s="269" t="n"/>
      <c r="Q1523" s="269" t="n"/>
      <c r="R1523" s="269" t="n"/>
      <c r="S1523" s="269" t="n"/>
      <c r="T1523" s="269" t="n"/>
      <c r="U1523" s="269" t="n"/>
      <c r="V1523" s="269" t="n"/>
      <c r="W1523" s="270" t="n"/>
    </row>
    <row r="1524">
      <c r="B1524" s="268" t="n"/>
      <c r="C1524" s="269" t="n"/>
      <c r="D1524" s="269" t="n"/>
      <c r="E1524" s="269" t="n"/>
      <c r="F1524" s="269" t="n"/>
      <c r="G1524" s="269" t="n"/>
      <c r="H1524" s="269" t="n"/>
      <c r="I1524" s="269" t="n"/>
      <c r="J1524" s="269" t="n"/>
      <c r="K1524" s="269" t="n"/>
      <c r="L1524" s="269" t="n"/>
      <c r="M1524" s="269" t="n"/>
      <c r="N1524" s="269" t="n"/>
      <c r="O1524" s="269" t="n"/>
      <c r="P1524" s="269" t="n"/>
      <c r="Q1524" s="269" t="n"/>
      <c r="R1524" s="269" t="n"/>
      <c r="S1524" s="269" t="n"/>
      <c r="T1524" s="269" t="n"/>
      <c r="U1524" s="269" t="n"/>
      <c r="V1524" s="269" t="n"/>
      <c r="W1524" s="270" t="n"/>
    </row>
    <row r="1525">
      <c r="B1525" s="268" t="n"/>
      <c r="C1525" s="269" t="n"/>
      <c r="D1525" s="269" t="n"/>
      <c r="E1525" s="269" t="n"/>
      <c r="F1525" s="269" t="n"/>
      <c r="G1525" s="269" t="n"/>
      <c r="H1525" s="269" t="n"/>
      <c r="I1525" s="269" t="n"/>
      <c r="J1525" s="269" t="n"/>
      <c r="K1525" s="269" t="n"/>
      <c r="L1525" s="269" t="n"/>
      <c r="M1525" s="269" t="n"/>
      <c r="N1525" s="269" t="n"/>
      <c r="O1525" s="269" t="n"/>
      <c r="P1525" s="269" t="n"/>
      <c r="Q1525" s="269" t="n"/>
      <c r="R1525" s="269" t="n"/>
      <c r="S1525" s="269" t="n"/>
      <c r="T1525" s="269" t="n"/>
      <c r="U1525" s="269" t="n"/>
      <c r="V1525" s="269" t="n"/>
      <c r="W1525" s="270" t="n"/>
    </row>
    <row r="1526">
      <c r="B1526" s="268" t="n"/>
      <c r="C1526" s="269" t="n"/>
      <c r="D1526" s="269" t="n"/>
      <c r="E1526" s="269" t="n"/>
      <c r="F1526" s="269" t="n"/>
      <c r="G1526" s="269" t="n"/>
      <c r="H1526" s="269" t="n"/>
      <c r="I1526" s="269" t="n"/>
      <c r="J1526" s="269" t="n"/>
      <c r="K1526" s="269" t="n"/>
      <c r="L1526" s="269" t="n"/>
      <c r="M1526" s="269" t="n"/>
      <c r="N1526" s="269" t="n"/>
      <c r="O1526" s="269" t="n"/>
      <c r="P1526" s="269" t="n"/>
      <c r="Q1526" s="269" t="n"/>
      <c r="R1526" s="269" t="n"/>
      <c r="S1526" s="269" t="n"/>
      <c r="T1526" s="269" t="n"/>
      <c r="U1526" s="269" t="n"/>
      <c r="V1526" s="269" t="n"/>
      <c r="W1526" s="270" t="n"/>
    </row>
    <row r="1527">
      <c r="B1527" s="268" t="n"/>
      <c r="C1527" s="269" t="n"/>
      <c r="D1527" s="269" t="n"/>
      <c r="E1527" s="269" t="n"/>
      <c r="F1527" s="269" t="n"/>
      <c r="G1527" s="269" t="n"/>
      <c r="H1527" s="269" t="n"/>
      <c r="I1527" s="269" t="n"/>
      <c r="J1527" s="269" t="n"/>
      <c r="K1527" s="269" t="n"/>
      <c r="L1527" s="269" t="n"/>
      <c r="M1527" s="269" t="n"/>
      <c r="N1527" s="269" t="n"/>
      <c r="O1527" s="269" t="n"/>
      <c r="P1527" s="269" t="n"/>
      <c r="Q1527" s="269" t="n"/>
      <c r="R1527" s="269" t="n"/>
      <c r="S1527" s="269" t="n"/>
      <c r="T1527" s="269" t="n"/>
      <c r="U1527" s="269" t="n"/>
      <c r="V1527" s="269" t="n"/>
      <c r="W1527" s="270" t="n"/>
    </row>
    <row r="1528">
      <c r="B1528" s="268" t="n"/>
      <c r="C1528" s="269" t="n"/>
      <c r="D1528" s="269" t="n"/>
      <c r="E1528" s="269" t="n"/>
      <c r="F1528" s="269" t="n"/>
      <c r="G1528" s="269" t="n"/>
      <c r="H1528" s="269" t="n"/>
      <c r="I1528" s="269" t="n"/>
      <c r="J1528" s="269" t="n"/>
      <c r="K1528" s="269" t="n"/>
      <c r="L1528" s="269" t="n"/>
      <c r="M1528" s="269" t="n"/>
      <c r="N1528" s="269" t="n"/>
      <c r="O1528" s="269" t="n"/>
      <c r="P1528" s="269" t="n"/>
      <c r="Q1528" s="269" t="n"/>
      <c r="R1528" s="269" t="n"/>
      <c r="S1528" s="269" t="n"/>
      <c r="T1528" s="269" t="n"/>
      <c r="U1528" s="269" t="n"/>
      <c r="V1528" s="269" t="n"/>
      <c r="W1528" s="270" t="n"/>
    </row>
    <row r="1529">
      <c r="B1529" s="268" t="n"/>
      <c r="C1529" s="269" t="n"/>
      <c r="D1529" s="269" t="n"/>
      <c r="E1529" s="269" t="n"/>
      <c r="F1529" s="269" t="n"/>
      <c r="G1529" s="269" t="n"/>
      <c r="H1529" s="269" t="n"/>
      <c r="I1529" s="269" t="n"/>
      <c r="J1529" s="269" t="n"/>
      <c r="K1529" s="269" t="n"/>
      <c r="L1529" s="269" t="n"/>
      <c r="M1529" s="269" t="n"/>
      <c r="N1529" s="269" t="n"/>
      <c r="O1529" s="269" t="n"/>
      <c r="P1529" s="269" t="n"/>
      <c r="Q1529" s="269" t="n"/>
      <c r="R1529" s="269" t="n"/>
      <c r="S1529" s="269" t="n"/>
      <c r="T1529" s="269" t="n"/>
      <c r="U1529" s="269" t="n"/>
      <c r="V1529" s="269" t="n"/>
      <c r="W1529" s="270" t="n"/>
    </row>
    <row r="1530">
      <c r="B1530" s="268" t="n"/>
      <c r="C1530" s="269" t="n"/>
      <c r="D1530" s="269" t="n"/>
      <c r="E1530" s="269" t="n"/>
      <c r="F1530" s="269" t="n"/>
      <c r="G1530" s="269" t="n"/>
      <c r="H1530" s="269" t="n"/>
      <c r="I1530" s="269" t="n"/>
      <c r="J1530" s="269" t="n"/>
      <c r="K1530" s="269" t="n"/>
      <c r="L1530" s="269" t="n"/>
      <c r="M1530" s="269" t="n"/>
      <c r="N1530" s="269" t="n"/>
      <c r="O1530" s="269" t="n"/>
      <c r="P1530" s="269" t="n"/>
      <c r="Q1530" s="269" t="n"/>
      <c r="R1530" s="269" t="n"/>
      <c r="S1530" s="269" t="n"/>
      <c r="T1530" s="269" t="n"/>
      <c r="U1530" s="269" t="n"/>
      <c r="V1530" s="269" t="n"/>
      <c r="W1530" s="270" t="n"/>
    </row>
    <row r="1531">
      <c r="B1531" s="268" t="n"/>
      <c r="C1531" s="269" t="n"/>
      <c r="D1531" s="269" t="n"/>
      <c r="E1531" s="269" t="n"/>
      <c r="F1531" s="269" t="n"/>
      <c r="G1531" s="269" t="n"/>
      <c r="H1531" s="269" t="n"/>
      <c r="I1531" s="269" t="n"/>
      <c r="J1531" s="269" t="n"/>
      <c r="K1531" s="269" t="n"/>
      <c r="L1531" s="269" t="n"/>
      <c r="M1531" s="269" t="n"/>
      <c r="N1531" s="269" t="n"/>
      <c r="O1531" s="269" t="n"/>
      <c r="P1531" s="269" t="n"/>
      <c r="Q1531" s="269" t="n"/>
      <c r="R1531" s="269" t="n"/>
      <c r="S1531" s="269" t="n"/>
      <c r="T1531" s="269" t="n"/>
      <c r="U1531" s="269" t="n"/>
      <c r="V1531" s="269" t="n"/>
      <c r="W1531" s="270" t="n"/>
    </row>
    <row r="1532">
      <c r="B1532" s="268" t="n"/>
      <c r="C1532" s="269" t="n"/>
      <c r="D1532" s="269" t="n"/>
      <c r="E1532" s="269" t="n"/>
      <c r="F1532" s="269" t="n"/>
      <c r="G1532" s="269" t="n"/>
      <c r="H1532" s="269" t="n"/>
      <c r="I1532" s="269" t="n"/>
      <c r="J1532" s="269" t="n"/>
      <c r="K1532" s="269" t="n"/>
      <c r="L1532" s="269" t="n"/>
      <c r="M1532" s="269" t="n"/>
      <c r="N1532" s="269" t="n"/>
      <c r="O1532" s="269" t="n"/>
      <c r="P1532" s="269" t="n"/>
      <c r="Q1532" s="269" t="n"/>
      <c r="R1532" s="269" t="n"/>
      <c r="S1532" s="269" t="n"/>
      <c r="T1532" s="269" t="n"/>
      <c r="U1532" s="269" t="n"/>
      <c r="V1532" s="269" t="n"/>
      <c r="W1532" s="270" t="n"/>
    </row>
    <row r="1533">
      <c r="B1533" s="268" t="n"/>
      <c r="C1533" s="269" t="n"/>
      <c r="D1533" s="269" t="n"/>
      <c r="E1533" s="269" t="n"/>
      <c r="F1533" s="269" t="n"/>
      <c r="G1533" s="269" t="n"/>
      <c r="H1533" s="269" t="n"/>
      <c r="I1533" s="269" t="n"/>
      <c r="J1533" s="269" t="n"/>
      <c r="K1533" s="269" t="n"/>
      <c r="L1533" s="269" t="n"/>
      <c r="M1533" s="269" t="n"/>
      <c r="N1533" s="269" t="n"/>
      <c r="O1533" s="269" t="n"/>
      <c r="P1533" s="269" t="n"/>
      <c r="Q1533" s="269" t="n"/>
      <c r="R1533" s="269" t="n"/>
      <c r="S1533" s="269" t="n"/>
      <c r="T1533" s="269" t="n"/>
      <c r="U1533" s="269" t="n"/>
      <c r="V1533" s="269" t="n"/>
      <c r="W1533" s="270" t="n"/>
    </row>
    <row r="1534">
      <c r="B1534" s="268" t="n"/>
      <c r="C1534" s="269" t="n"/>
      <c r="D1534" s="269" t="n"/>
      <c r="E1534" s="269" t="n"/>
      <c r="F1534" s="269" t="n"/>
      <c r="G1534" s="269" t="n"/>
      <c r="H1534" s="269" t="n"/>
      <c r="I1534" s="269" t="n"/>
      <c r="J1534" s="269" t="n"/>
      <c r="K1534" s="269" t="n"/>
      <c r="L1534" s="269" t="n"/>
      <c r="M1534" s="269" t="n"/>
      <c r="N1534" s="269" t="n"/>
      <c r="O1534" s="269" t="n"/>
      <c r="P1534" s="269" t="n"/>
      <c r="Q1534" s="269" t="n"/>
      <c r="R1534" s="269" t="n"/>
      <c r="S1534" s="269" t="n"/>
      <c r="T1534" s="269" t="n"/>
      <c r="U1534" s="269" t="n"/>
      <c r="V1534" s="269" t="n"/>
      <c r="W1534" s="270" t="n"/>
    </row>
    <row r="1535">
      <c r="B1535" s="268" t="n"/>
      <c r="C1535" s="269" t="n"/>
      <c r="D1535" s="269" t="n"/>
      <c r="E1535" s="269" t="n"/>
      <c r="F1535" s="269" t="n"/>
      <c r="G1535" s="269" t="n"/>
      <c r="H1535" s="269" t="n"/>
      <c r="I1535" s="269" t="n"/>
      <c r="J1535" s="269" t="n"/>
      <c r="K1535" s="269" t="n"/>
      <c r="L1535" s="269" t="n"/>
      <c r="M1535" s="269" t="n"/>
      <c r="N1535" s="269" t="n"/>
      <c r="O1535" s="269" t="n"/>
      <c r="P1535" s="269" t="n"/>
      <c r="Q1535" s="269" t="n"/>
      <c r="R1535" s="269" t="n"/>
      <c r="S1535" s="269" t="n"/>
      <c r="T1535" s="269" t="n"/>
      <c r="U1535" s="269" t="n"/>
      <c r="V1535" s="269" t="n"/>
      <c r="W1535" s="270" t="n"/>
    </row>
    <row r="1536">
      <c r="B1536" s="268" t="n"/>
      <c r="C1536" s="269" t="n"/>
      <c r="D1536" s="269" t="n"/>
      <c r="E1536" s="269" t="n"/>
      <c r="F1536" s="269" t="n"/>
      <c r="G1536" s="269" t="n"/>
      <c r="H1536" s="269" t="n"/>
      <c r="I1536" s="269" t="n"/>
      <c r="J1536" s="269" t="n"/>
      <c r="K1536" s="269" t="n"/>
      <c r="L1536" s="269" t="n"/>
      <c r="M1536" s="269" t="n"/>
      <c r="N1536" s="269" t="n"/>
      <c r="O1536" s="269" t="n"/>
      <c r="P1536" s="269" t="n"/>
      <c r="Q1536" s="269" t="n"/>
      <c r="R1536" s="269" t="n"/>
      <c r="S1536" s="269" t="n"/>
      <c r="T1536" s="269" t="n"/>
      <c r="U1536" s="269" t="n"/>
      <c r="V1536" s="269" t="n"/>
      <c r="W1536" s="270" t="n"/>
    </row>
    <row r="1537">
      <c r="B1537" s="268" t="n"/>
      <c r="C1537" s="269" t="n"/>
      <c r="D1537" s="269" t="n"/>
      <c r="E1537" s="269" t="n"/>
      <c r="F1537" s="269" t="n"/>
      <c r="G1537" s="269" t="n"/>
      <c r="H1537" s="269" t="n"/>
      <c r="I1537" s="269" t="n"/>
      <c r="J1537" s="269" t="n"/>
      <c r="K1537" s="269" t="n"/>
      <c r="L1537" s="269" t="n"/>
      <c r="M1537" s="269" t="n"/>
      <c r="N1537" s="269" t="n"/>
      <c r="O1537" s="269" t="n"/>
      <c r="P1537" s="269" t="n"/>
      <c r="Q1537" s="269" t="n"/>
      <c r="R1537" s="269" t="n"/>
      <c r="S1537" s="269" t="n"/>
      <c r="T1537" s="269" t="n"/>
      <c r="U1537" s="269" t="n"/>
      <c r="V1537" s="269" t="n"/>
      <c r="W1537" s="270" t="n"/>
    </row>
    <row r="1538">
      <c r="B1538" s="268" t="n"/>
      <c r="C1538" s="269" t="n"/>
      <c r="D1538" s="269" t="n"/>
      <c r="E1538" s="269" t="n"/>
      <c r="F1538" s="269" t="n"/>
      <c r="G1538" s="269" t="n"/>
      <c r="H1538" s="269" t="n"/>
      <c r="I1538" s="269" t="n"/>
      <c r="J1538" s="269" t="n"/>
      <c r="K1538" s="269" t="n"/>
      <c r="L1538" s="269" t="n"/>
      <c r="M1538" s="269" t="n"/>
      <c r="N1538" s="269" t="n"/>
      <c r="O1538" s="269" t="n"/>
      <c r="P1538" s="269" t="n"/>
      <c r="Q1538" s="269" t="n"/>
      <c r="R1538" s="269" t="n"/>
      <c r="S1538" s="269" t="n"/>
      <c r="T1538" s="269" t="n"/>
      <c r="U1538" s="269" t="n"/>
      <c r="V1538" s="269" t="n"/>
      <c r="W1538" s="270" t="n"/>
    </row>
    <row r="1539">
      <c r="B1539" s="268" t="n"/>
      <c r="C1539" s="269" t="n"/>
      <c r="D1539" s="269" t="n"/>
      <c r="E1539" s="269" t="n"/>
      <c r="F1539" s="269" t="n"/>
      <c r="G1539" s="269" t="n"/>
      <c r="H1539" s="269" t="n"/>
      <c r="I1539" s="269" t="n"/>
      <c r="J1539" s="269" t="n"/>
      <c r="K1539" s="269" t="n"/>
      <c r="L1539" s="269" t="n"/>
      <c r="M1539" s="269" t="n"/>
      <c r="N1539" s="269" t="n"/>
      <c r="O1539" s="269" t="n"/>
      <c r="P1539" s="269" t="n"/>
      <c r="Q1539" s="269" t="n"/>
      <c r="R1539" s="269" t="n"/>
      <c r="S1539" s="269" t="n"/>
      <c r="T1539" s="269" t="n"/>
      <c r="U1539" s="269" t="n"/>
      <c r="V1539" s="269" t="n"/>
      <c r="W1539" s="270" t="n"/>
    </row>
    <row r="1540">
      <c r="B1540" s="268" t="n"/>
      <c r="C1540" s="269" t="n"/>
      <c r="D1540" s="269" t="n"/>
      <c r="E1540" s="269" t="n"/>
      <c r="F1540" s="269" t="n"/>
      <c r="G1540" s="269" t="n"/>
      <c r="H1540" s="269" t="n"/>
      <c r="I1540" s="269" t="n"/>
      <c r="J1540" s="269" t="n"/>
      <c r="K1540" s="269" t="n"/>
      <c r="L1540" s="269" t="n"/>
      <c r="M1540" s="269" t="n"/>
      <c r="N1540" s="269" t="n"/>
      <c r="O1540" s="269" t="n"/>
      <c r="P1540" s="269" t="n"/>
      <c r="Q1540" s="269" t="n"/>
      <c r="R1540" s="269" t="n"/>
      <c r="S1540" s="269" t="n"/>
      <c r="T1540" s="269" t="n"/>
      <c r="U1540" s="269" t="n"/>
      <c r="V1540" s="269" t="n"/>
      <c r="W1540" s="270" t="n"/>
    </row>
    <row r="1541">
      <c r="B1541" s="268" t="n"/>
      <c r="C1541" s="269" t="n"/>
      <c r="D1541" s="269" t="n"/>
      <c r="E1541" s="269" t="n"/>
      <c r="F1541" s="269" t="n"/>
      <c r="G1541" s="269" t="n"/>
      <c r="H1541" s="269" t="n"/>
      <c r="I1541" s="269" t="n"/>
      <c r="J1541" s="269" t="n"/>
      <c r="K1541" s="269" t="n"/>
      <c r="L1541" s="269" t="n"/>
      <c r="M1541" s="269" t="n"/>
      <c r="N1541" s="269" t="n"/>
      <c r="O1541" s="269" t="n"/>
      <c r="P1541" s="269" t="n"/>
      <c r="Q1541" s="269" t="n"/>
      <c r="R1541" s="269" t="n"/>
      <c r="S1541" s="269" t="n"/>
      <c r="T1541" s="269" t="n"/>
      <c r="U1541" s="269" t="n"/>
      <c r="V1541" s="269" t="n"/>
      <c r="W1541" s="270" t="n"/>
    </row>
    <row r="1542">
      <c r="B1542" s="268" t="n"/>
      <c r="C1542" s="269" t="n"/>
      <c r="D1542" s="269" t="n"/>
      <c r="E1542" s="269" t="n"/>
      <c r="F1542" s="269" t="n"/>
      <c r="G1542" s="269" t="n"/>
      <c r="H1542" s="269" t="n"/>
      <c r="I1542" s="269" t="n"/>
      <c r="J1542" s="269" t="n"/>
      <c r="K1542" s="269" t="n"/>
      <c r="L1542" s="269" t="n"/>
      <c r="M1542" s="269" t="n"/>
      <c r="N1542" s="269" t="n"/>
      <c r="O1542" s="269" t="n"/>
      <c r="P1542" s="269" t="n"/>
      <c r="Q1542" s="269" t="n"/>
      <c r="R1542" s="269" t="n"/>
      <c r="S1542" s="269" t="n"/>
      <c r="T1542" s="269" t="n"/>
      <c r="U1542" s="269" t="n"/>
      <c r="V1542" s="269" t="n"/>
      <c r="W1542" s="270" t="n"/>
    </row>
    <row r="1543">
      <c r="B1543" s="268" t="n"/>
      <c r="C1543" s="269" t="n"/>
      <c r="D1543" s="269" t="n"/>
      <c r="E1543" s="269" t="n"/>
      <c r="F1543" s="269" t="n"/>
      <c r="G1543" s="269" t="n"/>
      <c r="H1543" s="269" t="n"/>
      <c r="I1543" s="269" t="n"/>
      <c r="J1543" s="269" t="n"/>
      <c r="K1543" s="269" t="n"/>
      <c r="L1543" s="269" t="n"/>
      <c r="M1543" s="269" t="n"/>
      <c r="N1543" s="269" t="n"/>
      <c r="O1543" s="269" t="n"/>
      <c r="P1543" s="269" t="n"/>
      <c r="Q1543" s="269" t="n"/>
      <c r="R1543" s="269" t="n"/>
      <c r="S1543" s="269" t="n"/>
      <c r="T1543" s="269" t="n"/>
      <c r="U1543" s="269" t="n"/>
      <c r="V1543" s="269" t="n"/>
      <c r="W1543" s="270" t="n"/>
    </row>
    <row r="1544">
      <c r="B1544" s="268" t="n"/>
      <c r="C1544" s="269" t="n"/>
      <c r="D1544" s="269" t="n"/>
      <c r="E1544" s="269" t="n"/>
      <c r="F1544" s="269" t="n"/>
      <c r="G1544" s="269" t="n"/>
      <c r="H1544" s="269" t="n"/>
      <c r="I1544" s="269" t="n"/>
      <c r="J1544" s="269" t="n"/>
      <c r="K1544" s="269" t="n"/>
      <c r="L1544" s="269" t="n"/>
      <c r="M1544" s="269" t="n"/>
      <c r="N1544" s="269" t="n"/>
      <c r="O1544" s="269" t="n"/>
      <c r="P1544" s="269" t="n"/>
      <c r="Q1544" s="269" t="n"/>
      <c r="R1544" s="269" t="n"/>
      <c r="S1544" s="269" t="n"/>
      <c r="T1544" s="269" t="n"/>
      <c r="U1544" s="269" t="n"/>
      <c r="V1544" s="269" t="n"/>
      <c r="W1544" s="270" t="n"/>
    </row>
    <row r="1545">
      <c r="B1545" s="268" t="n"/>
      <c r="C1545" s="269" t="n"/>
      <c r="D1545" s="269" t="n"/>
      <c r="E1545" s="269" t="n"/>
      <c r="F1545" s="269" t="n"/>
      <c r="G1545" s="269" t="n"/>
      <c r="H1545" s="269" t="n"/>
      <c r="I1545" s="269" t="n"/>
      <c r="J1545" s="269" t="n"/>
      <c r="K1545" s="269" t="n"/>
      <c r="L1545" s="269" t="n"/>
      <c r="M1545" s="269" t="n"/>
      <c r="N1545" s="269" t="n"/>
      <c r="O1545" s="269" t="n"/>
      <c r="P1545" s="269" t="n"/>
      <c r="Q1545" s="269" t="n"/>
      <c r="R1545" s="269" t="n"/>
      <c r="S1545" s="269" t="n"/>
      <c r="T1545" s="269" t="n"/>
      <c r="U1545" s="269" t="n"/>
      <c r="V1545" s="269" t="n"/>
      <c r="W1545" s="270" t="n"/>
    </row>
    <row r="1546">
      <c r="B1546" s="268" t="n"/>
      <c r="C1546" s="269" t="n"/>
      <c r="D1546" s="269" t="n"/>
      <c r="E1546" s="269" t="n"/>
      <c r="F1546" s="269" t="n"/>
      <c r="G1546" s="269" t="n"/>
      <c r="H1546" s="269" t="n"/>
      <c r="I1546" s="269" t="n"/>
      <c r="J1546" s="269" t="n"/>
      <c r="K1546" s="269" t="n"/>
      <c r="L1546" s="269" t="n"/>
      <c r="M1546" s="269" t="n"/>
      <c r="N1546" s="269" t="n"/>
      <c r="O1546" s="269" t="n"/>
      <c r="P1546" s="269" t="n"/>
      <c r="Q1546" s="269" t="n"/>
      <c r="R1546" s="269" t="n"/>
      <c r="S1546" s="269" t="n"/>
      <c r="T1546" s="269" t="n"/>
      <c r="U1546" s="269" t="n"/>
      <c r="V1546" s="269" t="n"/>
      <c r="W1546" s="270" t="n"/>
    </row>
    <row r="1547">
      <c r="B1547" s="268" t="n"/>
      <c r="C1547" s="269" t="n"/>
      <c r="D1547" s="269" t="n"/>
      <c r="E1547" s="269" t="n"/>
      <c r="F1547" s="269" t="n"/>
      <c r="G1547" s="269" t="n"/>
      <c r="H1547" s="269" t="n"/>
      <c r="I1547" s="269" t="n"/>
      <c r="J1547" s="269" t="n"/>
      <c r="K1547" s="269" t="n"/>
      <c r="L1547" s="269" t="n"/>
      <c r="M1547" s="269" t="n"/>
      <c r="N1547" s="269" t="n"/>
      <c r="O1547" s="269" t="n"/>
      <c r="P1547" s="269" t="n"/>
      <c r="Q1547" s="269" t="n"/>
      <c r="R1547" s="269" t="n"/>
      <c r="S1547" s="269" t="n"/>
      <c r="T1547" s="269" t="n"/>
      <c r="U1547" s="269" t="n"/>
      <c r="V1547" s="269" t="n"/>
      <c r="W1547" s="270" t="n"/>
    </row>
    <row r="1548">
      <c r="B1548" s="268" t="n"/>
      <c r="C1548" s="269" t="n"/>
      <c r="D1548" s="269" t="n"/>
      <c r="E1548" s="269" t="n"/>
      <c r="F1548" s="269" t="n"/>
      <c r="G1548" s="269" t="n"/>
      <c r="H1548" s="269" t="n"/>
      <c r="I1548" s="269" t="n"/>
      <c r="J1548" s="269" t="n"/>
      <c r="K1548" s="269" t="n"/>
      <c r="L1548" s="269" t="n"/>
      <c r="M1548" s="269" t="n"/>
      <c r="N1548" s="269" t="n"/>
      <c r="O1548" s="269" t="n"/>
      <c r="P1548" s="269" t="n"/>
      <c r="Q1548" s="269" t="n"/>
      <c r="R1548" s="269" t="n"/>
      <c r="S1548" s="269" t="n"/>
      <c r="T1548" s="269" t="n"/>
      <c r="U1548" s="269" t="n"/>
      <c r="V1548" s="269" t="n"/>
      <c r="W1548" s="270" t="n"/>
    </row>
    <row r="1549">
      <c r="B1549" s="268" t="n"/>
      <c r="C1549" s="269" t="n"/>
      <c r="D1549" s="269" t="n"/>
      <c r="E1549" s="269" t="n"/>
      <c r="F1549" s="269" t="n"/>
      <c r="G1549" s="269" t="n"/>
      <c r="H1549" s="269" t="n"/>
      <c r="I1549" s="269" t="n"/>
      <c r="J1549" s="269" t="n"/>
      <c r="K1549" s="269" t="n"/>
      <c r="L1549" s="269" t="n"/>
      <c r="M1549" s="269" t="n"/>
      <c r="N1549" s="269" t="n"/>
      <c r="O1549" s="269" t="n"/>
      <c r="P1549" s="269" t="n"/>
      <c r="Q1549" s="269" t="n"/>
      <c r="R1549" s="269" t="n"/>
      <c r="S1549" s="269" t="n"/>
      <c r="T1549" s="269" t="n"/>
      <c r="U1549" s="269" t="n"/>
      <c r="V1549" s="269" t="n"/>
      <c r="W1549" s="270" t="n"/>
    </row>
    <row r="1550">
      <c r="B1550" s="268" t="n"/>
      <c r="C1550" s="269" t="n"/>
      <c r="D1550" s="269" t="n"/>
      <c r="E1550" s="269" t="n"/>
      <c r="F1550" s="269" t="n"/>
      <c r="G1550" s="269" t="n"/>
      <c r="H1550" s="269" t="n"/>
      <c r="I1550" s="269" t="n"/>
      <c r="J1550" s="269" t="n"/>
      <c r="K1550" s="269" t="n"/>
      <c r="L1550" s="269" t="n"/>
      <c r="M1550" s="269" t="n"/>
      <c r="N1550" s="269" t="n"/>
      <c r="O1550" s="269" t="n"/>
      <c r="P1550" s="269" t="n"/>
      <c r="Q1550" s="269" t="n"/>
      <c r="R1550" s="269" t="n"/>
      <c r="S1550" s="269" t="n"/>
      <c r="T1550" s="269" t="n"/>
      <c r="U1550" s="269" t="n"/>
      <c r="V1550" s="269" t="n"/>
      <c r="W1550" s="270" t="n"/>
    </row>
  </sheetData>
  <autoFilter ref="A6:W1550"/>
  <dataValidations count="6">
    <dataValidation sqref="E7:E1550 H7:H1550" showDropDown="0" showInputMessage="1" showErrorMessage="1" allowBlank="1" type="list">
      <formula1>"Y,N"</formula1>
    </dataValidation>
    <dataValidation sqref="J7:J1550" showDropDown="0" showInputMessage="1" showErrorMessage="1" allowBlank="1" type="list">
      <formula1>"C,P"</formula1>
    </dataValidation>
    <dataValidation sqref="O7:R1550 T7:T1550" showDropDown="0" showInputMessage="1" showErrorMessage="1" allowBlank="1" type="list">
      <formula1>"Y"</formula1>
    </dataValidation>
    <dataValidation sqref="W7:W1550" showDropDown="0" showInputMessage="1" showErrorMessage="1" allowBlank="1" type="list">
      <formula1>"1:変更,2:追加,-:データあり"</formula1>
    </dataValidation>
    <dataValidation sqref="B6:W6" showDropDown="0" showInputMessage="1" showErrorMessage="1" allowBlank="1" type="list">
      <formula1>"必須,条件付き必須,任意"</formula1>
    </dataValidation>
    <dataValidation sqref="I7:I1550" showDropDown="0" showInputMessage="1" showErrorMessage="1" allowBlank="1" type="list">
      <formula1>"1,2,3,4,5,6,7,8,9"</formula1>
    </dataValidation>
  </dataValidations>
  <pageMargins left="0.16" right="0.16" top="0.984251968503937" bottom="0.984251968503937" header="0.5118110236220472" footer="0.5118110236220472"/>
  <pageSetup orientation="landscape" paperSize="9" scale="80" horizontalDpi="300" verticalDpi="300"/>
</worksheet>
</file>

<file path=xl/worksheets/sheet2.xml><?xml version="1.0" encoding="utf-8"?>
<worksheet xmlns="http://schemas.openxmlformats.org/spreadsheetml/2006/main">
  <sheetPr codeName="Sheet3">
    <outlinePr summaryBelow="1" summaryRight="1"/>
    <pageSetUpPr fitToPage="1"/>
  </sheetPr>
  <dimension ref="A1:Y28"/>
  <sheetViews>
    <sheetView zoomScale="85" zoomScaleNormal="85" zoomScaleSheetLayoutView="75" workbookViewId="0">
      <pane xSplit="2" ySplit="5" topLeftCell="F18" activePane="bottomRight" state="frozen"/>
      <selection pane="topRight" activeCell="C1" sqref="C1"/>
      <selection pane="bottomLeft" activeCell="A6" sqref="A6"/>
      <selection pane="bottomRight" activeCell="H19" sqref="H19"/>
    </sheetView>
  </sheetViews>
  <sheetFormatPr baseColWidth="8" defaultColWidth="9" defaultRowHeight="12"/>
  <cols>
    <col width="5.6640625" customWidth="1" style="1" min="1" max="1"/>
    <col width="26.77734375" customWidth="1" style="91" min="2" max="2"/>
    <col width="22" bestFit="1" customWidth="1" style="91" min="3" max="3"/>
    <col width="15.6640625" customWidth="1" style="91" min="4" max="5"/>
    <col width="16.44140625" customWidth="1" style="91" min="6" max="6"/>
    <col width="18.44140625" customWidth="1" style="91" min="7" max="7"/>
    <col width="51.44140625" customWidth="1" style="91" min="8" max="8"/>
    <col width="18.44140625" customWidth="1" style="91" min="9" max="9"/>
    <col width="41.6640625" customWidth="1" style="89" min="10" max="10"/>
    <col width="50.6640625" customWidth="1" style="90" min="11" max="11"/>
    <col width="30.6640625" customWidth="1" style="91" min="12" max="13"/>
    <col width="11.21875" customWidth="1" style="91" min="14" max="14"/>
    <col width="17.21875" customWidth="1" style="91" min="15" max="15"/>
    <col width="30.6640625" customWidth="1" style="91" min="16" max="16"/>
    <col width="20.6640625" customWidth="1" style="91" min="17" max="17"/>
    <col width="21" bestFit="1" customWidth="1" style="91" min="18" max="19"/>
    <col width="22.88671875" customWidth="1" style="91" min="20" max="20"/>
    <col width="21.109375" bestFit="1" customWidth="1" style="91" min="21" max="21"/>
    <col width="22.88671875" customWidth="1" style="91" min="22" max="22"/>
    <col width="19.77734375" customWidth="1" style="88" min="23" max="23"/>
    <col width="23.88671875" customWidth="1" style="88" min="24" max="24"/>
    <col width="20" customWidth="1" style="88" min="25" max="25"/>
    <col width="28.44140625" customWidth="1" style="88" min="26" max="26"/>
    <col width="9" customWidth="1" style="88" min="27" max="16384"/>
  </cols>
  <sheetData>
    <row r="1" ht="25.5" customHeight="1">
      <c r="B1" s="88" t="n"/>
      <c r="C1" s="88" t="n"/>
      <c r="D1" s="88" t="n"/>
      <c r="E1" s="88" t="n"/>
      <c r="F1" s="88" t="n"/>
      <c r="G1" s="88" t="n"/>
      <c r="H1" s="88" t="n"/>
      <c r="I1" s="88" t="n"/>
      <c r="L1" s="88" t="n"/>
      <c r="M1" s="88" t="n"/>
      <c r="N1" s="88" t="n"/>
      <c r="O1" s="88" t="n"/>
      <c r="P1" s="88" t="n"/>
      <c r="Q1" s="88" t="n"/>
    </row>
    <row r="2" ht="25.5" customHeight="1">
      <c r="B2" s="88" t="n"/>
      <c r="C2" s="88" t="n"/>
      <c r="D2" s="88" t="n"/>
      <c r="E2" s="88" t="n"/>
      <c r="F2" s="88" t="n"/>
      <c r="G2" s="88" t="n"/>
      <c r="H2" s="88" t="n"/>
      <c r="I2" s="88" t="n"/>
      <c r="L2" s="88" t="n"/>
      <c r="M2" s="88" t="n"/>
      <c r="N2" s="88" t="n"/>
      <c r="O2" s="88" t="n"/>
      <c r="P2" s="88" t="n"/>
      <c r="Q2" s="88" t="n"/>
    </row>
    <row r="3" ht="25.5" customHeight="1">
      <c r="B3" s="88" t="n"/>
      <c r="C3" s="88" t="n"/>
      <c r="D3" s="88" t="n"/>
      <c r="E3" s="88" t="n"/>
      <c r="F3" s="88" t="n"/>
      <c r="G3" s="88" t="n"/>
      <c r="H3" s="88" t="n"/>
      <c r="I3" s="88" t="n"/>
      <c r="L3" s="88" t="n"/>
      <c r="M3" s="88" t="n"/>
      <c r="N3" s="88" t="n"/>
      <c r="O3" s="88" t="n"/>
      <c r="P3" s="88" t="n"/>
      <c r="Q3" s="88" t="n"/>
    </row>
    <row r="4" ht="25.5" customHeight="1" thickBot="1">
      <c r="B4" s="88" t="n"/>
      <c r="C4" s="88" t="n"/>
      <c r="D4" s="88" t="n"/>
      <c r="E4" s="88" t="n"/>
      <c r="F4" s="88" t="n"/>
      <c r="G4" s="88" t="n"/>
      <c r="H4" s="88" t="n"/>
      <c r="I4" s="88" t="n"/>
      <c r="L4" s="88" t="n"/>
      <c r="M4" s="88" t="n"/>
      <c r="N4" s="88" t="n"/>
      <c r="O4" s="88" t="n"/>
      <c r="P4" s="88" t="n"/>
      <c r="Q4" s="88" t="n"/>
    </row>
    <row r="5" ht="12.6" customHeight="1" thickBot="1">
      <c r="A5" s="92" t="inlineStr">
        <is>
          <t>No,</t>
        </is>
      </c>
      <c r="B5" s="93" t="inlineStr">
        <is>
          <t>項目名</t>
        </is>
      </c>
      <c r="C5" s="94" t="inlineStr">
        <is>
          <t>属性</t>
        </is>
      </c>
      <c r="D5" s="95" t="inlineStr">
        <is>
          <t>バイト数</t>
        </is>
      </c>
      <c r="E5" s="96" t="inlineStr">
        <is>
          <t>必須（①）</t>
        </is>
      </c>
      <c r="F5" s="96" t="inlineStr">
        <is>
          <t>重複チェック（②）</t>
        </is>
      </c>
      <c r="G5" s="97" t="inlineStr">
        <is>
          <t>項目相関チェック（③）</t>
        </is>
      </c>
      <c r="H5" s="97" t="inlineStr">
        <is>
          <t>①～③の条件詳細</t>
        </is>
      </c>
      <c r="I5" s="98" t="inlineStr">
        <is>
          <t>禁則文字チェック</t>
        </is>
      </c>
      <c r="J5" s="99" t="inlineStr">
        <is>
          <t>使用目的</t>
        </is>
      </c>
      <c r="K5" s="98" t="inlineStr">
        <is>
          <t>項目説明</t>
        </is>
      </c>
      <c r="L5" s="93" t="inlineStr">
        <is>
          <t>設定値</t>
        </is>
      </c>
      <c r="M5" s="93" t="inlineStr">
        <is>
          <t>入力サンプル</t>
        </is>
      </c>
      <c r="N5" s="324" t="inlineStr">
        <is>
          <t>参照マスタ類</t>
        </is>
      </c>
      <c r="O5" s="325" t="n"/>
      <c r="P5" s="326" t="n"/>
      <c r="Q5" s="100" t="inlineStr">
        <is>
          <t>データ決定者</t>
        </is>
      </c>
    </row>
    <row r="6" ht="48.6" customFormat="1" customHeight="1" s="89" thickTop="1">
      <c r="A6" s="117" t="n"/>
      <c r="B6" s="118" t="inlineStr">
        <is>
          <t>インタフェースの項目名を記述</t>
        </is>
      </c>
      <c r="C6" s="119" t="inlineStr">
        <is>
          <t>登録の形式</t>
        </is>
      </c>
      <c r="D6" s="120" t="inlineStr">
        <is>
          <t>有効バイト数</t>
        </is>
      </c>
      <c r="E6" s="118" t="inlineStr">
        <is>
          <t>必須
条件付き必須
任意</t>
        </is>
      </c>
      <c r="F6" s="118" t="inlineStr">
        <is>
          <t>あり
なし</t>
        </is>
      </c>
      <c r="G6" s="118" t="inlineStr">
        <is>
          <t>あり
なし</t>
        </is>
      </c>
      <c r="H6" s="118" t="inlineStr">
        <is>
          <t>①条件付き必須の条件
②重複チェック内容
③項目相関チェック内容
上記に該当する内容</t>
        </is>
      </c>
      <c r="I6" s="120" t="inlineStr">
        <is>
          <t>あり
なし</t>
        </is>
      </c>
      <c r="J6" s="118" t="inlineStr">
        <is>
          <t>各項目の使用目的（当該マスタ項目を参照する入力系画面、機能処理等）を記述</t>
        </is>
      </c>
      <c r="K6" s="118" t="inlineStr">
        <is>
          <t>登録する項目の意味・説明を記述</t>
        </is>
      </c>
      <c r="L6" s="120" t="inlineStr">
        <is>
          <t>取りうる値のリスト、または、範囲</t>
        </is>
      </c>
      <c r="M6" s="119" t="inlineStr">
        <is>
          <t>入力のサンプル</t>
        </is>
      </c>
      <c r="N6" s="120" t="inlineStr">
        <is>
          <t>関連するシートNo</t>
        </is>
      </c>
      <c r="O6" s="120" t="inlineStr">
        <is>
          <t>関連するシート名</t>
        </is>
      </c>
      <c r="P6" s="120" t="inlineStr">
        <is>
          <t>該当項目の値が他マスタ類の値を前提としている場合にその条件を記述</t>
        </is>
      </c>
      <c r="Q6" s="121" t="inlineStr">
        <is>
          <t>データの決定者
(CW/BA/各社)</t>
        </is>
      </c>
    </row>
    <row r="7" ht="21.75" customHeight="1">
      <c r="A7" s="101" t="n">
        <v>1</v>
      </c>
      <c r="B7" s="78" t="inlineStr">
        <is>
          <t>NTTグループ会社コード</t>
        </is>
      </c>
      <c r="C7" s="102" t="inlineStr">
        <is>
          <t>半角英数</t>
        </is>
      </c>
      <c r="D7" s="102" t="n">
        <v>4</v>
      </c>
      <c r="E7" s="102" t="inlineStr">
        <is>
          <t>必須</t>
        </is>
      </c>
      <c r="F7" s="102" t="inlineStr">
        <is>
          <t>なし</t>
        </is>
      </c>
      <c r="G7" s="102" t="inlineStr">
        <is>
          <t>なし</t>
        </is>
      </c>
      <c r="H7" s="116" t="inlineStr">
        <is>
          <t>-</t>
        </is>
      </c>
      <c r="I7" s="102" t="inlineStr">
        <is>
          <t>なし</t>
        </is>
      </c>
      <c r="J7" s="103" t="n"/>
      <c r="K7" s="103" t="inlineStr">
        <is>
          <t>NTTグループ会社を一意に識別するコード</t>
        </is>
      </c>
      <c r="L7" s="104" t="n"/>
      <c r="M7" s="103" t="inlineStr">
        <is>
          <t>0002</t>
        </is>
      </c>
      <c r="N7" s="104" t="n"/>
      <c r="O7" s="103" t="inlineStr">
        <is>
          <t>会社マスタ</t>
        </is>
      </c>
      <c r="P7" s="103" t="n"/>
      <c r="Q7" s="105" t="inlineStr">
        <is>
          <t>各社</t>
        </is>
      </c>
    </row>
    <row r="8" ht="21.75" customHeight="1">
      <c r="A8" s="101" t="n">
        <v>2</v>
      </c>
      <c r="B8" s="78" t="inlineStr">
        <is>
          <t>サービスコード
（値）</t>
        </is>
      </c>
      <c r="C8" s="102" t="inlineStr">
        <is>
          <t>半角英数</t>
        </is>
      </c>
      <c r="D8" s="102" t="n">
        <v>10</v>
      </c>
      <c r="E8" s="102" t="inlineStr">
        <is>
          <t>必須</t>
        </is>
      </c>
      <c r="F8" s="102" t="inlineStr">
        <is>
          <t>あり</t>
        </is>
      </c>
      <c r="G8" s="102" t="inlineStr">
        <is>
          <t>なし</t>
        </is>
      </c>
      <c r="H8" s="103" t="inlineStr">
        <is>
          <t>②親値、子値ともに重複不可</t>
        </is>
      </c>
      <c r="I8" s="102" t="inlineStr">
        <is>
          <t>なし</t>
        </is>
      </c>
      <c r="J8" s="103" t="n"/>
      <c r="K8" s="103" t="inlineStr">
        <is>
          <t>サービスコード</t>
        </is>
      </c>
      <c r="L8" s="104" t="n"/>
      <c r="M8" s="103" t="n">
        <v>1111100000</v>
      </c>
      <c r="N8" s="104" t="n"/>
      <c r="O8" s="103" t="n"/>
      <c r="P8" s="103" t="n"/>
      <c r="Q8" s="105" t="inlineStr">
        <is>
          <t>各社</t>
        </is>
      </c>
    </row>
    <row r="9" ht="21.75" customHeight="1">
      <c r="A9" s="101" t="n">
        <v>3</v>
      </c>
      <c r="B9" s="78" t="inlineStr">
        <is>
          <t>サービスコード名称
（摘要）</t>
        </is>
      </c>
      <c r="C9" s="102" t="inlineStr">
        <is>
          <t>全半角</t>
        </is>
      </c>
      <c r="D9" s="102" t="inlineStr">
        <is>
          <t>～240(80)</t>
        </is>
      </c>
      <c r="E9" s="102" t="inlineStr">
        <is>
          <t>必須</t>
        </is>
      </c>
      <c r="F9" s="102" t="inlineStr">
        <is>
          <t>なし</t>
        </is>
      </c>
      <c r="G9" s="102" t="inlineStr">
        <is>
          <t>なし</t>
        </is>
      </c>
      <c r="H9" s="116" t="inlineStr">
        <is>
          <t>-</t>
        </is>
      </c>
      <c r="I9" s="102" t="inlineStr">
        <is>
          <t>あり</t>
        </is>
      </c>
      <c r="J9" s="103" t="n"/>
      <c r="K9" s="103" t="inlineStr">
        <is>
          <t>サービスコードの名称（80文字）</t>
        </is>
      </c>
      <c r="L9" s="104" t="n"/>
      <c r="M9" s="103" t="inlineStr">
        <is>
          <t>その他（不動産以外）／物品販売</t>
        </is>
      </c>
      <c r="N9" s="104" t="n"/>
      <c r="O9" s="103" t="n"/>
      <c r="P9" s="103" t="n"/>
      <c r="Q9" s="105" t="inlineStr">
        <is>
          <t>各社</t>
        </is>
      </c>
    </row>
    <row r="10" ht="21.75" customHeight="1">
      <c r="A10" s="101" t="n">
        <v>4</v>
      </c>
      <c r="B10" s="78" t="inlineStr">
        <is>
          <t>使用可能</t>
        </is>
      </c>
      <c r="C10" s="102" t="inlineStr">
        <is>
          <t>半角英数</t>
        </is>
      </c>
      <c r="D10" s="102" t="n">
        <v>1</v>
      </c>
      <c r="E10" s="102" t="inlineStr">
        <is>
          <t>必須</t>
        </is>
      </c>
      <c r="F10" s="102" t="inlineStr">
        <is>
          <t>なし</t>
        </is>
      </c>
      <c r="G10" s="102" t="inlineStr">
        <is>
          <t>なし</t>
        </is>
      </c>
      <c r="H10" s="116" t="inlineStr">
        <is>
          <t>-</t>
        </is>
      </c>
      <c r="I10" s="102" t="inlineStr">
        <is>
          <t>なし</t>
        </is>
      </c>
      <c r="J10" s="103" t="inlineStr">
        <is>
          <t>コード値の有効判断に利用</t>
        </is>
      </c>
      <c r="K10" s="103" t="inlineStr">
        <is>
          <t>Y:使用可能、N:使用不可</t>
        </is>
      </c>
      <c r="L10" s="104" t="inlineStr">
        <is>
          <t>Y,N</t>
        </is>
      </c>
      <c r="M10" s="103" t="inlineStr">
        <is>
          <t>Y</t>
        </is>
      </c>
      <c r="N10" s="104" t="n"/>
      <c r="O10" s="103" t="n"/>
      <c r="P10" s="103" t="n"/>
      <c r="Q10" s="105" t="inlineStr">
        <is>
          <t>各社</t>
        </is>
      </c>
    </row>
    <row r="11" ht="78" customHeight="1">
      <c r="A11" s="101" t="n">
        <v>5</v>
      </c>
      <c r="B11" s="78" t="inlineStr">
        <is>
          <t>有効開始日</t>
        </is>
      </c>
      <c r="C11" s="102" t="inlineStr">
        <is>
          <t>日付（スラッシュなし）</t>
        </is>
      </c>
      <c r="D11" s="102" t="n">
        <v>8</v>
      </c>
      <c r="E11" s="102" t="inlineStr">
        <is>
          <t>条件付き必須</t>
        </is>
      </c>
      <c r="F11" s="102" t="inlineStr">
        <is>
          <t>なし</t>
        </is>
      </c>
      <c r="G11" s="102" t="inlineStr">
        <is>
          <t>なし</t>
        </is>
      </c>
      <c r="H11" s="116" t="inlineStr">
        <is>
          <t>①使用可能がYの場合に必須入力。</t>
        </is>
      </c>
      <c r="I11" s="102" t="inlineStr">
        <is>
          <t>なし</t>
        </is>
      </c>
      <c r="J11" s="103" t="inlineStr">
        <is>
          <t>コード値の有効判断に利用</t>
        </is>
      </c>
      <c r="K11" s="103" t="inlineStr">
        <is>
          <t>レコードの有効が開始となる日付を指定。
次期からはMDMに連携する必要があるため、新規追加時や、使用可能をNからYに変更時は入力必須。
ただし、日付設定後は変更不可。
※形式：YYYYMMDD</t>
        </is>
      </c>
      <c r="L11" s="104" t="n"/>
      <c r="M11" s="103" t="n">
        <v>20230401</v>
      </c>
      <c r="N11" s="104" t="n"/>
      <c r="O11" s="103" t="n"/>
      <c r="P11" s="103" t="n"/>
      <c r="Q11" s="105" t="inlineStr">
        <is>
          <t>各社</t>
        </is>
      </c>
    </row>
    <row r="12" ht="44.25" customHeight="1">
      <c r="A12" s="101" t="n">
        <v>6</v>
      </c>
      <c r="B12" s="78" t="inlineStr">
        <is>
          <t>有効終了日</t>
        </is>
      </c>
      <c r="C12" s="102" t="inlineStr">
        <is>
          <t>日付（スラッシュなし）</t>
        </is>
      </c>
      <c r="D12" s="102" t="n">
        <v>8</v>
      </c>
      <c r="E12" s="102" t="inlineStr">
        <is>
          <t>任意</t>
        </is>
      </c>
      <c r="F12" s="102" t="inlineStr">
        <is>
          <t>なし</t>
        </is>
      </c>
      <c r="G12" s="102" t="inlineStr">
        <is>
          <t>あり</t>
        </is>
      </c>
      <c r="H12" s="116" t="inlineStr">
        <is>
          <t>③「有効開始日」&lt;=「有効終了日」であること。</t>
        </is>
      </c>
      <c r="I12" s="102" t="inlineStr">
        <is>
          <t>なし</t>
        </is>
      </c>
      <c r="J12" s="103" t="inlineStr">
        <is>
          <t>コード値の有効判断に利用</t>
        </is>
      </c>
      <c r="K12" s="103" t="inlineStr">
        <is>
          <t>レコードの有効が終了となる日付を指定。
※形式：YYYYMMDD</t>
        </is>
      </c>
      <c r="L12" s="104" t="n"/>
      <c r="M12" s="103" t="n"/>
      <c r="N12" s="104" t="n"/>
      <c r="O12" s="103" t="n"/>
      <c r="P12" s="103" t="n"/>
      <c r="Q12" s="105" t="inlineStr">
        <is>
          <t>各社</t>
        </is>
      </c>
    </row>
    <row r="13" ht="48" customHeight="1">
      <c r="A13" s="101" t="n">
        <v>7</v>
      </c>
      <c r="B13" s="78" t="inlineStr">
        <is>
          <t>親</t>
        </is>
      </c>
      <c r="C13" s="102" t="inlineStr">
        <is>
          <t>半角英数</t>
        </is>
      </c>
      <c r="D13" s="102" t="n">
        <v>1</v>
      </c>
      <c r="E13" s="102" t="inlineStr">
        <is>
          <t>必須</t>
        </is>
      </c>
      <c r="F13" s="102" t="inlineStr">
        <is>
          <t>なし</t>
        </is>
      </c>
      <c r="G13" s="102" t="inlineStr">
        <is>
          <t>なし</t>
        </is>
      </c>
      <c r="H13" s="116" t="inlineStr">
        <is>
          <t>-</t>
        </is>
      </c>
      <c r="I13" s="102" t="inlineStr">
        <is>
          <t>なし</t>
        </is>
      </c>
      <c r="J13" s="103" t="inlineStr">
        <is>
          <t>親値／子値の区分</t>
        </is>
      </c>
      <c r="K13" s="103" t="inlineStr">
        <is>
          <t>親値／子値の区分を指定。
Y:親値（集計値）
N:子値（入力値）</t>
        </is>
      </c>
      <c r="L13" s="104" t="inlineStr">
        <is>
          <t>Y,N</t>
        </is>
      </c>
      <c r="M13" s="103" t="inlineStr">
        <is>
          <t>Y</t>
        </is>
      </c>
      <c r="N13" s="104" t="n"/>
      <c r="O13" s="103" t="n"/>
      <c r="P13" s="103" t="n"/>
      <c r="Q13" s="105" t="inlineStr">
        <is>
          <t>各社</t>
        </is>
      </c>
    </row>
    <row r="14" ht="26.25" customHeight="1">
      <c r="A14" s="101" t="n">
        <v>8</v>
      </c>
      <c r="B14" s="78" t="inlineStr">
        <is>
          <t>レベル</t>
        </is>
      </c>
      <c r="C14" s="102" t="inlineStr">
        <is>
          <t>数値</t>
        </is>
      </c>
      <c r="D14" s="102" t="n">
        <v>1</v>
      </c>
      <c r="E14" s="102" t="inlineStr">
        <is>
          <t>任意</t>
        </is>
      </c>
      <c r="F14" s="102" t="inlineStr">
        <is>
          <t>なし</t>
        </is>
      </c>
      <c r="G14" s="102" t="inlineStr">
        <is>
          <t>なし</t>
        </is>
      </c>
      <c r="H14" s="116" t="inlineStr">
        <is>
          <t>-</t>
        </is>
      </c>
      <c r="I14" s="102" t="inlineStr">
        <is>
          <t>なし</t>
        </is>
      </c>
      <c r="J14" s="103" t="inlineStr">
        <is>
          <t>階層構造の参考情報</t>
        </is>
      </c>
      <c r="K14" s="103" t="inlineStr">
        <is>
          <t>親値の階層レベルを指定</t>
        </is>
      </c>
      <c r="L14" s="104" t="inlineStr">
        <is>
          <t>1～9</t>
        </is>
      </c>
      <c r="M14" s="103" t="inlineStr">
        <is>
          <t>1</t>
        </is>
      </c>
      <c r="N14" s="104" t="n"/>
      <c r="O14" s="103" t="n"/>
      <c r="P14" s="103" t="n"/>
      <c r="Q14" s="105" t="inlineStr">
        <is>
          <t>各社</t>
        </is>
      </c>
    </row>
    <row r="15" ht="66" customHeight="1">
      <c r="A15" s="101" t="n">
        <v>9</v>
      </c>
      <c r="B15" s="78" t="inlineStr">
        <is>
          <t>親値のみ</t>
        </is>
      </c>
      <c r="C15" s="102" t="inlineStr">
        <is>
          <t>半角英数</t>
        </is>
      </c>
      <c r="D15" s="102" t="n">
        <v>1</v>
      </c>
      <c r="E15" s="102" t="inlineStr">
        <is>
          <t>条件付き必須</t>
        </is>
      </c>
      <c r="F15" s="102" t="inlineStr">
        <is>
          <t>なし</t>
        </is>
      </c>
      <c r="G15" s="102" t="inlineStr">
        <is>
          <t>なし</t>
        </is>
      </c>
      <c r="H15" s="116" t="inlineStr">
        <is>
          <t>①「親」が「Y」（親値）のとき必須
③「親」が「N」（子値）のとき入力不可</t>
        </is>
      </c>
      <c r="I15" s="102" t="inlineStr">
        <is>
          <t>なし</t>
        </is>
      </c>
      <c r="J15" s="103" t="inlineStr">
        <is>
          <t>集計する対象を指定</t>
        </is>
      </c>
      <c r="K15" s="103" t="inlineStr">
        <is>
          <t>集計する対象を指定。
C:子値
P:親値
※「親」が「Y」（親値）のとき必須</t>
        </is>
      </c>
      <c r="L15" s="104" t="inlineStr">
        <is>
          <t>C,P</t>
        </is>
      </c>
      <c r="M15" s="103" t="inlineStr">
        <is>
          <t>C</t>
        </is>
      </c>
      <c r="N15" s="104" t="n"/>
      <c r="O15" s="103" t="n"/>
      <c r="P15" s="103" t="n"/>
      <c r="Q15" s="105" t="inlineStr">
        <is>
          <t>各社</t>
        </is>
      </c>
    </row>
    <row r="16" ht="87" customHeight="1">
      <c r="A16" s="101" t="n">
        <v>10</v>
      </c>
      <c r="B16" s="78" t="inlineStr">
        <is>
          <t>集計範囲（FROM）</t>
        </is>
      </c>
      <c r="C16" s="102" t="inlineStr">
        <is>
          <t>半角英数</t>
        </is>
      </c>
      <c r="D16" s="102" t="n">
        <v>10</v>
      </c>
      <c r="E16" s="102" t="inlineStr">
        <is>
          <t>条件付き必須</t>
        </is>
      </c>
      <c r="F16" s="102" t="inlineStr">
        <is>
          <t>なし</t>
        </is>
      </c>
      <c r="G16" s="102" t="inlineStr">
        <is>
          <t>なし</t>
        </is>
      </c>
      <c r="H16" s="103" t="inlineStr">
        <is>
          <t>①「親」が「Y」（親値）のとき必須
③「親」が「N」（子値）のとき入力不可
③集計範囲（FROM）≦集計範囲（TO）であること。
③集計範囲属性が「P:親値のみ」の場合、
　　自身の値が集計範囲(FROM)～集計範囲(TO)
　　に含まれないこと。</t>
        </is>
      </c>
      <c r="I16" s="102" t="inlineStr">
        <is>
          <t>なし</t>
        </is>
      </c>
      <c r="J16" s="103" t="inlineStr">
        <is>
          <t>集計する値の開始値を判断</t>
        </is>
      </c>
      <c r="K16" s="103" t="inlineStr">
        <is>
          <t>子値／親値の集計範囲を指定する場合の開始値を指定。
※「親」が「Y」（親値）のとき必須</t>
        </is>
      </c>
      <c r="L16" s="104" t="n"/>
      <c r="M16" s="103" t="inlineStr">
        <is>
          <t>1000000000</t>
        </is>
      </c>
      <c r="N16" s="104" t="n"/>
      <c r="O16" s="103" t="n"/>
      <c r="P16" s="103" t="n"/>
      <c r="Q16" s="105" t="inlineStr">
        <is>
          <t>各社</t>
        </is>
      </c>
    </row>
    <row r="17" ht="87.75" customHeight="1">
      <c r="A17" s="101" t="n">
        <v>11</v>
      </c>
      <c r="B17" s="78" t="inlineStr">
        <is>
          <t>集計範囲（TO）</t>
        </is>
      </c>
      <c r="C17" s="102" t="inlineStr">
        <is>
          <t>半角英数</t>
        </is>
      </c>
      <c r="D17" s="102" t="n">
        <v>10</v>
      </c>
      <c r="E17" s="102" t="inlineStr">
        <is>
          <t>条件付き必須</t>
        </is>
      </c>
      <c r="F17" s="102" t="inlineStr">
        <is>
          <t>なし</t>
        </is>
      </c>
      <c r="G17" s="102" t="inlineStr">
        <is>
          <t>なし</t>
        </is>
      </c>
      <c r="H17" s="103" t="inlineStr">
        <is>
          <t>①「親」が「Y」（親値）のとき必須
③「親」が「N」（子値）のとき入力不可
③集計範囲（FROM）≦集計範囲（TO）であること。
③集計範囲属性が「P:親値のみ」の場合、
　　自身の値が集計範囲(FROM)～集計範囲(TO)
　　に含まれないこと。</t>
        </is>
      </c>
      <c r="I17" s="102" t="inlineStr">
        <is>
          <t>なし</t>
        </is>
      </c>
      <c r="J17" s="103" t="inlineStr">
        <is>
          <t>集計する値の終了値を判断</t>
        </is>
      </c>
      <c r="K17" s="103" t="inlineStr">
        <is>
          <t>子値／親値の集計範囲を指定する場合の終了値を指定。
※「親」が「Y」（親値）のとき必須</t>
        </is>
      </c>
      <c r="L17" s="104" t="n"/>
      <c r="M17" s="103" t="inlineStr">
        <is>
          <t>1999999999</t>
        </is>
      </c>
      <c r="N17" s="104" t="n"/>
      <c r="O17" s="103" t="n"/>
      <c r="P17" s="103" t="n"/>
      <c r="Q17" s="105" t="inlineStr">
        <is>
          <t>各社</t>
        </is>
      </c>
    </row>
    <row r="18" ht="63.75" customHeight="1">
      <c r="A18" s="101" t="n">
        <v>12</v>
      </c>
      <c r="B18" s="78" t="inlineStr">
        <is>
          <t>費用仕訳レベル</t>
        </is>
      </c>
      <c r="C18" s="102" t="inlineStr">
        <is>
          <t>半角英数</t>
        </is>
      </c>
      <c r="D18" s="102" t="n">
        <v>10</v>
      </c>
      <c r="E18" s="102" t="inlineStr">
        <is>
          <t>条件付き必須</t>
        </is>
      </c>
      <c r="F18" s="102" t="inlineStr">
        <is>
          <t>なし</t>
        </is>
      </c>
      <c r="G18" s="102" t="inlineStr">
        <is>
          <t>あり</t>
        </is>
      </c>
      <c r="H18" s="116" t="inlineStr">
        <is>
          <t xml:space="preserve">①「親」が「N」（子値）のとき必須
③「親」が「Y」（親値）のとき入力不可
③「費用仕訳レベル」が入力されている場合、
　　 「サービスコード（値）」＝「費用仕訳レベル」であること。
</t>
        </is>
      </c>
      <c r="I18" s="102" t="inlineStr">
        <is>
          <t>なし</t>
        </is>
      </c>
      <c r="J18" s="103" t="inlineStr">
        <is>
          <t>費用仕訳に設定する粒度のサービスコード</t>
        </is>
      </c>
      <c r="K18" s="103" t="inlineStr">
        <is>
          <t>サービス別収支管理を行う場合、費用仕訳のサービスを指定
※「親」が「N」（子値）のとき必須</t>
        </is>
      </c>
      <c r="L18" s="104" t="n"/>
      <c r="M18" s="103" t="n"/>
      <c r="N18" s="104" t="n"/>
      <c r="O18" s="103" t="n"/>
      <c r="P18" s="103" t="n"/>
      <c r="Q18" s="105" t="inlineStr">
        <is>
          <t>各社</t>
        </is>
      </c>
    </row>
    <row r="19" ht="238.5" customHeight="1">
      <c r="A19" s="101" t="n">
        <v>13</v>
      </c>
      <c r="B19" s="78" t="inlineStr">
        <is>
          <t>事業区分レベル</t>
        </is>
      </c>
      <c r="C19" s="102" t="inlineStr">
        <is>
          <t>半角英数</t>
        </is>
      </c>
      <c r="D19" s="102" t="n">
        <v>10</v>
      </c>
      <c r="E19" s="102" t="inlineStr">
        <is>
          <t>任意</t>
        </is>
      </c>
      <c r="F19" s="102" t="inlineStr">
        <is>
          <t>なし</t>
        </is>
      </c>
      <c r="G19" s="102" t="inlineStr">
        <is>
          <t>あり</t>
        </is>
      </c>
      <c r="H19" s="116" t="inlineStr">
        <is>
          <t>③「親」が「Y」（親値）のとき入力不可
③「会社コード」が持株/東/西/ドコモＢ/LJ/ドコモの場合
　　　　「固定資産フラグ」＝Yの場合、
　　　　　　　「サービスコード（値）」＝「事業区分レベル」であること。
　　　　「固定資産フラグ」が未設定の場合、
　　　　　　　「事業区分レベル」が設定されていること。
　　　　　　　「事業区分レベル」に設定された「サービスコード」が
　　　　　　　他の行に存在し、
　　　　　　　　　　「使用可能」＝「Y]　かつ
　　　　　　　　　　「親」＝「N」　　　　　かつ
　　　　　　　　　　「固定資産フラグ」＝「Y」であること。
　　　　　　ただし、「サービスコード」＝「0000000000」の場合、
　　　　　　「事業区分レベル」は未設定、または「0000000000」は許容する。
③「会社コード」が持株/東/西/ドコモＢ/LJ/ドコモ以外の場合、
　　　　「サービスコード」＝「0000000000」の場合、
　　　　　　　「事業区分レベル」は未設定であること。
　　　　「サービスコード」≠「0000000000」、かつ、親＝「N」の場合、
　　　　　　　「事業区分レベル」＝「0000000000」であること。</t>
        </is>
      </c>
      <c r="I19" s="102" t="inlineStr">
        <is>
          <t>なし</t>
        </is>
      </c>
      <c r="J19" s="103" t="inlineStr">
        <is>
          <t>プロセス/事業区分の組み合わせなどに利用予定</t>
        </is>
      </c>
      <c r="K19" s="103" t="inlineStr">
        <is>
          <t>事業区分に対応するサービスを設定</t>
        </is>
      </c>
      <c r="L19" s="104" t="n"/>
      <c r="M19" s="103" t="n"/>
      <c r="N19" s="104" t="n"/>
      <c r="O19" s="103" t="n"/>
      <c r="P19" s="103" t="n"/>
      <c r="Q19" s="105" t="inlineStr">
        <is>
          <t>各社</t>
        </is>
      </c>
    </row>
    <row r="20" ht="70.95" customHeight="1">
      <c r="A20" s="101" t="n">
        <v>14</v>
      </c>
      <c r="B20" s="78" t="inlineStr">
        <is>
          <t>収益フラグ</t>
        </is>
      </c>
      <c r="C20" s="102" t="inlineStr">
        <is>
          <t>半角英数</t>
        </is>
      </c>
      <c r="D20" s="102" t="n">
        <v>1</v>
      </c>
      <c r="E20" s="102" t="inlineStr">
        <is>
          <t>任意</t>
        </is>
      </c>
      <c r="F20" s="102" t="inlineStr">
        <is>
          <t>なし</t>
        </is>
      </c>
      <c r="G20" s="102" t="inlineStr">
        <is>
          <t>あり</t>
        </is>
      </c>
      <c r="H20" s="116" t="inlineStr">
        <is>
          <t>③「親」が「Y」（親値）のとき入力不可
③「サービスコード」＝「0000000000」の場合、
　　　　「収益フラグ」は未設定であること。
③「親」＝「N」かつ「区分経理フラグ」＝「Y」以外の場合
　　　　「収益フラグ」と「費用フラグ」のどちらかが「Y」であること。</t>
        </is>
      </c>
      <c r="I20" s="102" t="inlineStr">
        <is>
          <t>なし</t>
        </is>
      </c>
      <c r="J20" s="103" t="inlineStr">
        <is>
          <t>フラグありの場合収入科目を計上する際に利用可能</t>
        </is>
      </c>
      <c r="K20" s="103" t="inlineStr">
        <is>
          <t>売上仕訳で利用可能なサービスコードの場合"Y"を設定</t>
        </is>
      </c>
      <c r="L20" s="104" t="inlineStr">
        <is>
          <t>Y</t>
        </is>
      </c>
      <c r="M20" s="103" t="n"/>
      <c r="N20" s="104" t="n"/>
      <c r="O20" s="103" t="n"/>
      <c r="P20" s="103" t="n"/>
      <c r="Q20" s="105" t="inlineStr">
        <is>
          <t>各社</t>
        </is>
      </c>
    </row>
    <row r="21" ht="81" customHeight="1">
      <c r="A21" s="101" t="n">
        <v>15</v>
      </c>
      <c r="B21" s="78" t="inlineStr">
        <is>
          <t>費用フラグ</t>
        </is>
      </c>
      <c r="C21" s="102" t="inlineStr">
        <is>
          <t>半角英数</t>
        </is>
      </c>
      <c r="D21" s="102" t="n">
        <v>1</v>
      </c>
      <c r="E21" s="102" t="inlineStr">
        <is>
          <t>任意</t>
        </is>
      </c>
      <c r="F21" s="102" t="inlineStr">
        <is>
          <t>なし</t>
        </is>
      </c>
      <c r="G21" s="102" t="inlineStr">
        <is>
          <t>あり</t>
        </is>
      </c>
      <c r="H21" s="116" t="inlineStr">
        <is>
          <t>③「親」が「Y」（親値）のとき入力不可
③「サービスコード」＝「0000000000」の場合、
　　　　「費用フラグ」＝「Y]であること。
③「親」＝「N」かつ「区分経理フラグ」＝「Y」以外の場合
　　　　「収益フラグ」と「費用フラグ」のどちらかが「Y」であること。</t>
        </is>
      </c>
      <c r="I21" s="102" t="inlineStr">
        <is>
          <t>なし</t>
        </is>
      </c>
      <c r="J21" s="103" t="inlineStr">
        <is>
          <t>フラグありの場合費用科目を計上する際に利用可能</t>
        </is>
      </c>
      <c r="K21" s="103" t="inlineStr">
        <is>
          <t>費用仕訳で利用可能なサービスコードの場合"Y"を設定</t>
        </is>
      </c>
      <c r="L21" s="104" t="inlineStr">
        <is>
          <t>Y</t>
        </is>
      </c>
      <c r="M21" s="103" t="n"/>
      <c r="N21" s="104" t="n"/>
      <c r="O21" s="103" t="n"/>
      <c r="P21" s="103" t="n"/>
      <c r="Q21" s="105" t="inlineStr">
        <is>
          <t>各社</t>
        </is>
      </c>
    </row>
    <row r="22" ht="114.75" customHeight="1">
      <c r="A22" s="101" t="n">
        <v>16</v>
      </c>
      <c r="B22" s="78" t="inlineStr">
        <is>
          <t>固定資産フラグ</t>
        </is>
      </c>
      <c r="C22" s="102" t="inlineStr">
        <is>
          <t>半角英数</t>
        </is>
      </c>
      <c r="D22" s="102" t="n">
        <v>1</v>
      </c>
      <c r="E22" s="102" t="inlineStr">
        <is>
          <t>任意</t>
        </is>
      </c>
      <c r="F22" s="102" t="inlineStr">
        <is>
          <t>なし</t>
        </is>
      </c>
      <c r="G22" s="102" t="inlineStr">
        <is>
          <t>あり</t>
        </is>
      </c>
      <c r="H22" s="116" t="inlineStr">
        <is>
          <t xml:space="preserve">③「親」が「Y」（親値）のとき入力不可
③「サービスコード」＝「0000000000」の場合、
　　　　「固定資産フラグ」は未設定であること。
③「会社コード」が持株、東、西、ドコモＢ、LJ、インフラ、ドコモ以外の場合
　　　　「サービスコード」＝「9988999999」の場合、
　　　　　　　　「固定資産フラグ」＝「Y」であること。
　　　　「サービスコード」≠「9988999999」の場合、
　　　　　　　　「固定資産フラグ」が未設定であること。
</t>
        </is>
      </c>
      <c r="I22" s="102" t="inlineStr">
        <is>
          <t>なし</t>
        </is>
      </c>
      <c r="J22" s="103" t="inlineStr">
        <is>
          <t>フラグありの場合固定資産に付与する際に利用</t>
        </is>
      </c>
      <c r="K22" s="103" t="inlineStr">
        <is>
          <t>固定資産で利用可能なサービスコードの場合"Y"を設定</t>
        </is>
      </c>
      <c r="L22" s="104" t="inlineStr">
        <is>
          <t>Y</t>
        </is>
      </c>
      <c r="M22" s="103" t="n"/>
      <c r="N22" s="104" t="n"/>
      <c r="O22" s="103" t="n"/>
      <c r="P22" s="103" t="n"/>
      <c r="Q22" s="105" t="inlineStr">
        <is>
          <t>各社</t>
        </is>
      </c>
    </row>
    <row r="23" ht="123" customHeight="1">
      <c r="A23" s="101" t="n">
        <v>17</v>
      </c>
      <c r="B23" s="78" t="inlineStr">
        <is>
          <t>区分経理フラグ</t>
        </is>
      </c>
      <c r="C23" s="102" t="inlineStr">
        <is>
          <t>半角英数</t>
        </is>
      </c>
      <c r="D23" s="102" t="n">
        <v>1</v>
      </c>
      <c r="E23" s="102" t="inlineStr">
        <is>
          <t>任意</t>
        </is>
      </c>
      <c r="F23" s="102" t="inlineStr">
        <is>
          <t>なし</t>
        </is>
      </c>
      <c r="G23" s="102" t="inlineStr">
        <is>
          <t>あり</t>
        </is>
      </c>
      <c r="H23" s="116" t="inlineStr">
        <is>
          <t>③「親」が「Y」（親値）のとき入力不可
③「サービスコード」＝「0000000000」の場合、
　　　　　「区分経理フラグ」は未設定であること。
③「会社コード」が東、西、ドコモＢ、LJ、ドコモ以外の場合
　　　　　「区分経理フラグ」が未設定であること。
③「会社コード」が東西ドコモＢ＋LJ　かつ
　　「固定資産フラグ」＝「Y」　かつ
　　「サービスコード」≠9999100002の場合、
　　　　　「区分経理フラグ」＝「Y」であること。</t>
        </is>
      </c>
      <c r="I23" s="102" t="inlineStr">
        <is>
          <t>なし</t>
        </is>
      </c>
      <c r="J23" s="103" t="inlineStr">
        <is>
          <t>フラグありの場合区分経理配賦で使用する際に利用</t>
        </is>
      </c>
      <c r="K23" s="103" t="inlineStr">
        <is>
          <t>区分経理で利用可能なサービスコードの場合"Y"を設定</t>
        </is>
      </c>
      <c r="L23" s="104" t="inlineStr">
        <is>
          <t>Y</t>
        </is>
      </c>
      <c r="M23" s="103" t="n"/>
      <c r="N23" s="104" t="n"/>
      <c r="O23" s="103" t="n"/>
      <c r="P23" s="103" t="n"/>
      <c r="Q23" s="105" t="inlineStr">
        <is>
          <t>各社</t>
        </is>
      </c>
    </row>
    <row r="24" ht="129.75" customHeight="1">
      <c r="A24" s="101" t="n">
        <v>18</v>
      </c>
      <c r="B24" s="78" t="inlineStr">
        <is>
          <t>税金グループ</t>
        </is>
      </c>
      <c r="C24" s="102" t="inlineStr">
        <is>
          <t>半角英数</t>
        </is>
      </c>
      <c r="D24" s="102" t="n">
        <v>3</v>
      </c>
      <c r="E24" s="102" t="inlineStr">
        <is>
          <t>条件付き必須</t>
        </is>
      </c>
      <c r="F24" s="102" t="inlineStr">
        <is>
          <t>なし</t>
        </is>
      </c>
      <c r="G24" s="102" t="inlineStr">
        <is>
          <t>あり</t>
        </is>
      </c>
      <c r="H24" s="116" t="inlineStr">
        <is>
          <t>①「収益フラグ」＝「Y」の場合、入力必須
③「親」が「Y」（親値）のとき入力不可
③「サービスコード」＝「0000000000」の場合、
　　　　　「税金グループ」は未設定であること。
③「収益フラグ」＝「Y」の場合、
　　　　　「税金グループ」の3桁目が「A」(売上用の税金G)であること。
　　「収益フラグ」≠「Y」の場合、
　　　　　「税金グループ」は未設定であること。</t>
        </is>
      </c>
      <c r="I24" s="102" t="inlineStr">
        <is>
          <t>なし</t>
        </is>
      </c>
      <c r="J24" s="103" t="inlineStr">
        <is>
          <t>税金コードを束ねる税金グループコード</t>
        </is>
      </c>
      <c r="K24" s="103" t="inlineStr">
        <is>
          <t>税金グループマスタに登録されている値を設定
※「収益フラグ」＝「Y」のとき必須</t>
        </is>
      </c>
      <c r="L24" s="104" t="inlineStr">
        <is>
          <t>03A,04A,06A,10A,11A,12A,13A,14A,15A,16A,17A,20A,21A,22A,23A,24A,25A,26A,27A,28A,30A,31A,32A,33A,34A,35A,36A,37A,40A,41A,42A,43A,44A,45A,46A,47A,60A,61A,62A,63A,64A,65A,66A,67A,70A,71A,72A,73A,74A,75A,76A,77A,78A,79A,80A,81A,82A,83A,84A,85A,86A,87A,88A,89A,90A,91A,92A,93A,94A,95A,96A,97A,04B,05B,20B,22B,24B,26B,40B,42B,44B,46B,60B,62B,64B,66B,K0B,K2B,K4B,K6B,04C,04D,44D,64D</t>
        </is>
      </c>
      <c r="M24" s="103" t="inlineStr">
        <is>
          <t>04A,77A,64A　等</t>
        </is>
      </c>
      <c r="N24" s="104" t="n"/>
      <c r="O24" s="103" t="inlineStr">
        <is>
          <t>税金グループ／税金コード組合せマスタ</t>
        </is>
      </c>
      <c r="P24" s="103" t="n"/>
      <c r="Q24" s="105" t="inlineStr">
        <is>
          <t>各社</t>
        </is>
      </c>
    </row>
    <row r="25" ht="92.25" customHeight="1">
      <c r="A25" s="101" t="n">
        <v>19</v>
      </c>
      <c r="B25" s="78" t="inlineStr">
        <is>
          <t>WBSマスタ登録可否フラグ</t>
        </is>
      </c>
      <c r="C25" s="102" t="inlineStr">
        <is>
          <t>半角英数</t>
        </is>
      </c>
      <c r="D25" s="102" t="n">
        <v>1</v>
      </c>
      <c r="E25" s="102" t="inlineStr">
        <is>
          <t>任意</t>
        </is>
      </c>
      <c r="F25" s="102" t="inlineStr">
        <is>
          <t>なし</t>
        </is>
      </c>
      <c r="G25" s="102" t="inlineStr">
        <is>
          <t>あり</t>
        </is>
      </c>
      <c r="H25" s="116" t="inlineStr">
        <is>
          <t>③「親」が「Y」（親値）のとき入力不可
③「サービスコード」＝「0000000000」の場合、
　　　　　「WBSマスタ登録可否フラグ」＝「Y」であること。
③「収益フラグ」＝「Y」 または 「費用フラグ」＝「Y」の場合、
　　　　　「WBSマスタ登録可否フラグ」＝「Y」であること。
　 「収益フラグ」が未設定 かつ 「費用フラグ」が未設定の場合、
　　　　　「WBSマスタ登録可否フラグ」は未設定であること。</t>
        </is>
      </c>
      <c r="I25" s="102" t="inlineStr">
        <is>
          <t>なし</t>
        </is>
      </c>
      <c r="J25" s="103" t="inlineStr">
        <is>
          <t>WBSマスタに登録できるか否かの制御フラグ</t>
        </is>
      </c>
      <c r="K25" s="103" t="inlineStr">
        <is>
          <t>WBSマスタに登録可能なサービス値は"Y"を設定</t>
        </is>
      </c>
      <c r="L25" s="104" t="inlineStr">
        <is>
          <t>Y</t>
        </is>
      </c>
      <c r="M25" s="103" t="n"/>
      <c r="N25" s="104" t="n"/>
      <c r="O25" s="103" t="n"/>
      <c r="P25" s="103" t="n"/>
      <c r="Q25" s="105" t="inlineStr">
        <is>
          <t>各社</t>
        </is>
      </c>
    </row>
    <row r="26" ht="27" customHeight="1">
      <c r="A26" s="101" t="n">
        <v>20</v>
      </c>
      <c r="B26" s="78" t="inlineStr">
        <is>
          <t>旧プロダクト</t>
        </is>
      </c>
      <c r="C26" s="102" t="inlineStr">
        <is>
          <t>半角英数</t>
        </is>
      </c>
      <c r="D26" s="102" t="n">
        <v>6</v>
      </c>
      <c r="E26" s="102" t="inlineStr">
        <is>
          <t>任意</t>
        </is>
      </c>
      <c r="F26" s="102" t="inlineStr">
        <is>
          <t>なし</t>
        </is>
      </c>
      <c r="G26" s="102" t="inlineStr">
        <is>
          <t>なし</t>
        </is>
      </c>
      <c r="H26" s="116" t="inlineStr">
        <is>
          <t>-</t>
        </is>
      </c>
      <c r="I26" s="102" t="inlineStr">
        <is>
          <t>なし</t>
        </is>
      </c>
      <c r="J26" s="103" t="inlineStr">
        <is>
          <t>データHUBにおける旧新コード変換に利用</t>
        </is>
      </c>
      <c r="K26" s="103" t="inlineStr">
        <is>
          <t>プロダクトコード</t>
        </is>
      </c>
      <c r="L26" s="104" t="n"/>
      <c r="M26" s="103" t="inlineStr">
        <is>
          <t>123456</t>
        </is>
      </c>
      <c r="N26" s="104" t="n"/>
      <c r="O26" s="103" t="n"/>
      <c r="P26" s="103" t="n"/>
      <c r="Q26" s="105" t="inlineStr">
        <is>
          <t>各社</t>
        </is>
      </c>
    </row>
    <row r="27" ht="27" customHeight="1">
      <c r="A27" s="101" t="n">
        <v>21</v>
      </c>
      <c r="B27" s="78" t="inlineStr">
        <is>
          <t>旧事業区分</t>
        </is>
      </c>
      <c r="C27" s="102" t="inlineStr">
        <is>
          <t>半角英数</t>
        </is>
      </c>
      <c r="D27" s="102" t="n">
        <v>5</v>
      </c>
      <c r="E27" s="102" t="inlineStr">
        <is>
          <t>任意</t>
        </is>
      </c>
      <c r="F27" s="102" t="inlineStr">
        <is>
          <t>なし</t>
        </is>
      </c>
      <c r="G27" s="102" t="inlineStr">
        <is>
          <t>なし</t>
        </is>
      </c>
      <c r="H27" s="116" t="inlineStr">
        <is>
          <t>-</t>
        </is>
      </c>
      <c r="I27" s="102" t="inlineStr">
        <is>
          <t>なし</t>
        </is>
      </c>
      <c r="J27" s="103" t="inlineStr">
        <is>
          <t>データHUBにおける旧新コード変換に利用</t>
        </is>
      </c>
      <c r="K27" s="103" t="inlineStr">
        <is>
          <t>事業区分コード</t>
        </is>
      </c>
      <c r="L27" s="104" t="n"/>
      <c r="M27" s="103" t="inlineStr">
        <is>
          <t>12345</t>
        </is>
      </c>
      <c r="N27" s="104" t="n"/>
      <c r="O27" s="103" t="n"/>
      <c r="P27" s="103" t="n"/>
      <c r="Q27" s="105" t="inlineStr">
        <is>
          <t>各社</t>
        </is>
      </c>
    </row>
    <row r="28" ht="54.75" customHeight="1" thickBot="1">
      <c r="A28" s="106" t="n">
        <v>22</v>
      </c>
      <c r="B28" s="108" t="inlineStr">
        <is>
          <t>更新区分</t>
        </is>
      </c>
      <c r="C28" s="107" t="inlineStr">
        <is>
          <t>全半角</t>
        </is>
      </c>
      <c r="D28" s="107" t="inlineStr">
        <is>
          <t>1～</t>
        </is>
      </c>
      <c r="E28" s="107" t="inlineStr">
        <is>
          <t>条件付き必須</t>
        </is>
      </c>
      <c r="F28" s="107" t="inlineStr">
        <is>
          <t>なし</t>
        </is>
      </c>
      <c r="G28" s="107" t="inlineStr">
        <is>
          <t>なし</t>
        </is>
      </c>
      <c r="H28" s="108" t="inlineStr">
        <is>
          <t>①前回報告から変更がある場合は変更内容が設定されていること</t>
        </is>
      </c>
      <c r="I28" s="107" t="inlineStr">
        <is>
          <t>なし</t>
        </is>
      </c>
      <c r="J28" s="108" t="inlineStr">
        <is>
          <t>前回報告時（原本）との差分内容を比較する際に利用します。</t>
        </is>
      </c>
      <c r="K28" s="108" t="inlineStr">
        <is>
          <t>前回報告からの変更内容を設定してください。
1:変更
2:追加
-:データあり</t>
        </is>
      </c>
      <c r="L28" s="146" t="inlineStr">
        <is>
          <t>1:変更,2:追加,-:データあり</t>
        </is>
      </c>
      <c r="M28" s="122" t="inlineStr">
        <is>
          <t>1:変更</t>
        </is>
      </c>
      <c r="N28" s="122" t="n"/>
      <c r="O28" s="122" t="n"/>
      <c r="P28" s="122" t="n"/>
      <c r="Q28" s="109" t="inlineStr">
        <is>
          <t>各社</t>
        </is>
      </c>
      <c r="W28" s="91" t="n"/>
      <c r="X28" s="91" t="n"/>
      <c r="Y28" s="91" t="n"/>
    </row>
  </sheetData>
  <sheetProtection selectLockedCells="0" selectUnlockedCells="0" algorithmName="SHA-512" sheet="1" objects="0" insertRows="1" insertHyperlinks="1" autoFilter="0" scenarios="0" formatColumns="1" deleteColumns="1" insertColumns="1" pivotTables="1" deleteRows="1" formatCells="1" saltValue="ogkdL7SUR/C06jLr3ZaJvg==" formatRows="1" sort="1" spinCount="100000" hashValue="ehmwR4lC2Vs6Ub7zCiA3VN8Z4waWPWOUZM3Y6GBCVica7J4nFO9/qIAFRH+NctrjbBWJlfVdo3z/Nw5pEBk9Og=="/>
  <autoFilter ref="A5:Y28">
    <filterColumn colId="13" hiddenButton="0" showButton="0"/>
    <filterColumn colId="14" hiddenButton="0" showButton="0"/>
  </autoFilter>
  <mergeCells count="1">
    <mergeCell ref="N5:P5"/>
  </mergeCells>
  <dataValidations count="3">
    <dataValidation sqref="F7:G28 I7:I28" showDropDown="0" showInputMessage="1" showErrorMessage="1" allowBlank="1" type="list">
      <formula1>"あり,なし"</formula1>
    </dataValidation>
    <dataValidation sqref="E7:E28" showDropDown="0" showInputMessage="1" showErrorMessage="1" allowBlank="1" type="list">
      <formula1>"必須,条件付き必須,任意"</formula1>
    </dataValidation>
    <dataValidation sqref="C7:C28" showDropDown="0" showInputMessage="1" showErrorMessage="1" allowBlank="1" type="list">
      <formula1>"数値,通貨,全半角,全角,全角英数,半角,半角英数,郵便番号,電話番号,日付（スラッシュなし）,半角英数大文字・半角スペース,半角英数・半角ハイフン,全半角英数カナ,全角英数カナ,半角英数カナ,全角カナ,半角カナ,全銀協,事業所コード,半角英数・半角アンダーバー,日付（スラッシュあり）,全角英数"</formula1>
    </dataValidation>
  </dataValidations>
  <pageMargins left="0.1574803149606299" right="0.1574803149606299" top="0.7874015748031497" bottom="0.5905511811023623" header="0.5118110236220472" footer="0.5118110236220472"/>
  <pageSetup orientation="landscape" paperSize="9" scale="33" fitToHeight="0" horizontalDpi="300" verticalDpi="300"/>
  <headerFooter alignWithMargins="0">
    <oddHeader>&amp;L&amp;F</oddHeader>
    <oddFooter>&amp;L&amp;C&amp;R</oddFooter>
    <evenHeader/>
    <evenFooter/>
    <firstHeader/>
    <firstFooter/>
  </headerFooter>
</worksheet>
</file>

<file path=xl/worksheets/sheet3.xml><?xml version="1.0" encoding="utf-8"?>
<worksheet xmlns="http://schemas.openxmlformats.org/spreadsheetml/2006/main">
  <sheetPr codeName="CheckSheet">
    <outlinePr summaryBelow="1" summaryRight="1"/>
    <pageSetUpPr/>
  </sheetPr>
  <dimension ref="A1:BL35"/>
  <sheetViews>
    <sheetView zoomScale="70" workbookViewId="0">
      <pane xSplit="4" ySplit="2" topLeftCell="E3" activePane="bottomRight" state="frozen"/>
      <selection pane="topRight" activeCell="E1" sqref="E1"/>
      <selection pane="bottomLeft" activeCell="A3" sqref="A3"/>
      <selection pane="bottomRight" activeCell="E7" sqref="E7"/>
    </sheetView>
  </sheetViews>
  <sheetFormatPr baseColWidth="8" defaultRowHeight="13.2"/>
  <cols>
    <col width="18.44140625" bestFit="1" customWidth="1" style="2" min="1" max="1"/>
    <col width="5.6640625" customWidth="1" style="2" min="2" max="2"/>
    <col width="15" customWidth="1" style="2" min="3" max="3"/>
    <col width="25.44140625" customWidth="1" min="4" max="4"/>
    <col width="22" customWidth="1" min="5" max="5"/>
    <col width="23.88671875" bestFit="1" customWidth="1" style="71" min="6" max="6"/>
    <col width="10.21875" customWidth="1" style="2" min="7" max="7"/>
    <col width="3.44140625" customWidth="1" min="8" max="9"/>
    <col width="3.44140625" bestFit="1" customWidth="1" min="10" max="11"/>
    <col width="4" customWidth="1" min="12" max="12"/>
    <col width="3.44140625" bestFit="1" customWidth="1" min="13" max="13"/>
    <col width="3.88671875" bestFit="1" customWidth="1" min="14" max="14"/>
    <col width="4.6640625" bestFit="1" customWidth="1" min="15" max="15"/>
    <col width="4.44140625" bestFit="1" customWidth="1" min="16" max="16"/>
    <col width="7.21875" bestFit="1" customWidth="1" min="17" max="17"/>
    <col width="3.44140625" bestFit="1" customWidth="1" min="18" max="18"/>
    <col width="5.109375" customWidth="1" min="19" max="19"/>
    <col width="25.6640625" customWidth="1" min="20" max="20"/>
    <col width="7.33203125" customWidth="1" min="21" max="21"/>
    <col width="3.44140625" bestFit="1" customWidth="1" min="22" max="23"/>
    <col width="3.44140625" customWidth="1" style="41" min="24" max="24"/>
    <col width="5.44140625" bestFit="1" customWidth="1" style="41" min="25" max="25"/>
    <col width="5.44140625" customWidth="1" style="41" min="26" max="33"/>
    <col width="5.88671875" bestFit="1" customWidth="1" style="41" min="34" max="34"/>
    <col width="5.88671875" customWidth="1" style="41" min="35" max="36"/>
    <col width="5.6640625" customWidth="1" min="37" max="37"/>
    <col width="6.6640625" customWidth="1" min="38" max="41"/>
    <col width="6.6640625" customWidth="1" style="75" min="42" max="42"/>
    <col width="62" customWidth="1" min="43" max="43"/>
    <col hidden="1" min="44" max="47"/>
    <col hidden="1" width="46.33203125" customWidth="1" min="48" max="48"/>
    <col width="3.44140625" bestFit="1" customWidth="1" min="49" max="57"/>
    <col width="3.44140625" customWidth="1" min="58" max="59"/>
  </cols>
  <sheetData>
    <row r="1" ht="13.8" customHeight="1" thickBot="1">
      <c r="A1" s="123" t="inlineStr">
        <is>
          <t>会社コードチェック不要</t>
        </is>
      </c>
      <c r="B1" s="124" t="n"/>
      <c r="C1" s="125" t="inlineStr">
        <is>
          <t>最終チェック日時</t>
        </is>
      </c>
      <c r="D1" s="126" t="n">
        <v>46084.67001157408</v>
      </c>
      <c r="E1" s="127" t="inlineStr">
        <is>
          <t>ファイルバージョン：21.08</t>
        </is>
      </c>
      <c r="F1" s="128" t="inlineStr">
        <is>
          <t>管理番号：9.00</t>
        </is>
      </c>
      <c r="G1" s="43" t="n"/>
      <c r="H1" s="44" t="inlineStr">
        <is>
          <t>00</t>
        </is>
      </c>
      <c r="I1" s="44" t="inlineStr">
        <is>
          <t>11</t>
        </is>
      </c>
      <c r="J1" s="44" t="inlineStr">
        <is>
          <t>12</t>
        </is>
      </c>
      <c r="K1" s="44" t="inlineStr">
        <is>
          <t>13</t>
        </is>
      </c>
      <c r="L1" s="44" t="inlineStr">
        <is>
          <t>14</t>
        </is>
      </c>
      <c r="M1" s="44" t="inlineStr">
        <is>
          <t>15</t>
        </is>
      </c>
      <c r="N1" s="44" t="inlineStr">
        <is>
          <t>16</t>
        </is>
      </c>
      <c r="O1" s="86" t="inlineStr">
        <is>
          <t>17</t>
        </is>
      </c>
      <c r="P1" s="86" t="inlineStr">
        <is>
          <t>18</t>
        </is>
      </c>
      <c r="Q1" s="44" t="inlineStr">
        <is>
          <t>19</t>
        </is>
      </c>
      <c r="R1" s="44" t="inlineStr">
        <is>
          <t>20</t>
        </is>
      </c>
      <c r="S1" s="44" t="inlineStr">
        <is>
          <t>21</t>
        </is>
      </c>
      <c r="T1" s="44" t="inlineStr">
        <is>
          <t>22</t>
        </is>
      </c>
      <c r="U1" s="44" t="inlineStr">
        <is>
          <t>23</t>
        </is>
      </c>
      <c r="V1" s="44" t="inlineStr">
        <is>
          <t>24</t>
        </is>
      </c>
      <c r="W1" s="44" t="inlineStr">
        <is>
          <t>25</t>
        </is>
      </c>
      <c r="X1" s="37" t="inlineStr">
        <is>
          <t>26</t>
        </is>
      </c>
      <c r="Y1" s="37" t="inlineStr">
        <is>
          <t>27</t>
        </is>
      </c>
      <c r="Z1" s="37" t="inlineStr">
        <is>
          <t>28</t>
        </is>
      </c>
      <c r="AA1" s="37" t="inlineStr">
        <is>
          <t>29</t>
        </is>
      </c>
      <c r="AB1" s="37" t="inlineStr">
        <is>
          <t>30</t>
        </is>
      </c>
      <c r="AC1" s="37" t="inlineStr">
        <is>
          <t>31</t>
        </is>
      </c>
      <c r="AD1" s="37" t="inlineStr">
        <is>
          <t>32</t>
        </is>
      </c>
      <c r="AE1" s="37" t="inlineStr">
        <is>
          <t>33</t>
        </is>
      </c>
      <c r="AF1" s="37" t="inlineStr">
        <is>
          <t>34</t>
        </is>
      </c>
      <c r="AG1" s="37" t="inlineStr">
        <is>
          <t>35</t>
        </is>
      </c>
      <c r="AH1" s="37" t="inlineStr">
        <is>
          <t>36</t>
        </is>
      </c>
      <c r="AI1" s="37" t="inlineStr">
        <is>
          <t>37</t>
        </is>
      </c>
      <c r="AJ1" s="37" t="inlineStr">
        <is>
          <t>38</t>
        </is>
      </c>
      <c r="AK1" s="298" t="inlineStr">
        <is>
          <t>91</t>
        </is>
      </c>
      <c r="AL1" s="298" t="inlineStr">
        <is>
          <t>92</t>
        </is>
      </c>
      <c r="AM1" s="298" t="inlineStr">
        <is>
          <t>93</t>
        </is>
      </c>
      <c r="AN1" s="298" t="inlineStr">
        <is>
          <t>96</t>
        </is>
      </c>
      <c r="AO1" s="298" t="inlineStr">
        <is>
          <t>97</t>
        </is>
      </c>
      <c r="AP1" s="45" t="n">
        <v>99</v>
      </c>
      <c r="AQ1" s="129" t="n"/>
      <c r="AR1" s="298" t="inlineStr">
        <is>
          <t>見直し作業履歴</t>
        </is>
      </c>
      <c r="AS1" s="327" t="n"/>
      <c r="AT1" s="327" t="n"/>
      <c r="AU1" s="328" t="n"/>
      <c r="AV1" s="130" t="n"/>
      <c r="AW1" s="46" t="inlineStr">
        <is>
          <t>Ж</t>
        </is>
      </c>
      <c r="AX1" s="46" t="n">
        <v>91</v>
      </c>
      <c r="AY1" s="46" t="n">
        <v>91</v>
      </c>
      <c r="AZ1" s="46" t="n">
        <v>93</v>
      </c>
      <c r="BA1" s="46" t="n">
        <v>93</v>
      </c>
      <c r="BB1" s="46" t="n">
        <v>93</v>
      </c>
      <c r="BC1" s="46" t="n">
        <v>96</v>
      </c>
      <c r="BD1" s="46" t="n">
        <v>96</v>
      </c>
      <c r="BE1" s="46" t="n">
        <v>96</v>
      </c>
      <c r="BF1" s="110" t="n"/>
      <c r="BG1" s="110" t="n"/>
      <c r="BH1" s="86" t="n"/>
      <c r="BI1" s="86" t="n"/>
      <c r="BJ1" s="86" t="n"/>
      <c r="BK1" s="86" t="n"/>
      <c r="BL1" s="86" t="n"/>
    </row>
    <row r="2" ht="238.8" customHeight="1">
      <c r="A2" s="47" t="inlineStr">
        <is>
          <t>No.</t>
        </is>
      </c>
      <c r="B2" s="48" t="inlineStr">
        <is>
          <t>列</t>
        </is>
      </c>
      <c r="C2" s="49" t="inlineStr">
        <is>
          <t>情報</t>
        </is>
      </c>
      <c r="D2" s="50" t="inlineStr">
        <is>
          <t>1行：チェックID
2行：チェック内容
3列：項目名</t>
        </is>
      </c>
      <c r="E2" s="51" t="inlineStr">
        <is>
          <t>入力規則
種別</t>
        </is>
      </c>
      <c r="F2" s="52" t="inlineStr">
        <is>
          <t>入力規則
設定値</t>
        </is>
      </c>
      <c r="G2" s="53" t="inlineStr">
        <is>
          <t>固定値</t>
        </is>
      </c>
      <c r="H2" s="54" t="inlineStr">
        <is>
          <t>必須チェック</t>
        </is>
      </c>
      <c r="I2" s="54" t="inlineStr">
        <is>
          <t>数字チェック</t>
        </is>
      </c>
      <c r="J2" s="54" t="inlineStr">
        <is>
          <t>電話番号チェック</t>
        </is>
      </c>
      <c r="K2" s="54" t="inlineStr">
        <is>
          <t>郵便番号チェック</t>
        </is>
      </c>
      <c r="L2" s="54" t="inlineStr">
        <is>
          <t>日付チェック（スラッシュなし）</t>
        </is>
      </c>
      <c r="M2" s="54" t="inlineStr">
        <is>
          <t>半角英数チェック</t>
        </is>
      </c>
      <c r="N2" s="55" t="inlineStr">
        <is>
          <t>最小バイト長チェック</t>
        </is>
      </c>
      <c r="O2" s="87" t="inlineStr">
        <is>
          <t>最大文字長チェック</t>
        </is>
      </c>
      <c r="P2" s="87" t="inlineStr">
        <is>
          <t>最大バイト長チェック</t>
        </is>
      </c>
      <c r="Q2" s="54" t="inlineStr">
        <is>
          <t>固定長チェック</t>
        </is>
      </c>
      <c r="R2" s="54" t="inlineStr">
        <is>
          <t>全角チェック</t>
        </is>
      </c>
      <c r="S2" s="56" t="inlineStr">
        <is>
          <t>全角カナチェック</t>
        </is>
      </c>
      <c r="T2" s="56" t="inlineStr">
        <is>
          <t>有効値チェック
（リスト）</t>
        </is>
      </c>
      <c r="U2" s="54" t="inlineStr">
        <is>
          <t>有効値チェック（範囲）</t>
        </is>
      </c>
      <c r="V2" s="54" t="inlineStr">
        <is>
          <t>禁則文字チェック</t>
        </is>
      </c>
      <c r="W2" s="54" t="inlineStr">
        <is>
          <t>全銀協チェック</t>
        </is>
      </c>
      <c r="X2" s="38" t="inlineStr">
        <is>
          <t>事業所妥当性チェック</t>
        </is>
      </c>
      <c r="Y2" s="38" t="inlineStr">
        <is>
          <t>半角英数大文字・半角スペースチェック</t>
        </is>
      </c>
      <c r="Z2" s="38" t="inlineStr">
        <is>
          <t>半角英数・半角ハイフンチェック</t>
        </is>
      </c>
      <c r="AA2" s="57" t="inlineStr">
        <is>
          <t>全角英数カナチェック</t>
        </is>
      </c>
      <c r="AB2" s="57" t="inlineStr">
        <is>
          <t>半角英数カナチェック</t>
        </is>
      </c>
      <c r="AC2" s="57" t="inlineStr">
        <is>
          <t>全半角英数カナチェック</t>
        </is>
      </c>
      <c r="AD2" s="57" t="inlineStr">
        <is>
          <t>通貨形式チェック</t>
        </is>
      </c>
      <c r="AE2" s="57" t="inlineStr">
        <is>
          <t>半角チェック</t>
        </is>
      </c>
      <c r="AF2" s="57" t="inlineStr">
        <is>
          <t>半角カナチェック</t>
        </is>
      </c>
      <c r="AG2" s="57" t="inlineStr">
        <is>
          <t>半角英数・半角アンダーバーチェック</t>
        </is>
      </c>
      <c r="AH2" s="57" t="inlineStr">
        <is>
          <t>日付チェック（スラッシュあり）</t>
        </is>
      </c>
      <c r="AI2" s="57" t="inlineStr">
        <is>
          <t>全角英数チェック</t>
        </is>
      </c>
      <c r="AJ2" s="57" t="inlineStr">
        <is>
          <t>最大文字数チェック</t>
        </is>
      </c>
      <c r="AK2" s="58" t="inlineStr">
        <is>
          <t>重複チェック</t>
        </is>
      </c>
      <c r="AL2" s="59" t="inlineStr">
        <is>
          <t>条件付
必須／入力不可チェック
（申請区分）</t>
        </is>
      </c>
      <c r="AM2" s="60" t="inlineStr">
        <is>
          <t>条件付
必須／入力不可チェック
（その他）</t>
        </is>
      </c>
      <c r="AN2" s="58" t="inlineStr">
        <is>
          <t>項目相関チェック</t>
        </is>
      </c>
      <c r="AO2" s="58" t="inlineStr">
        <is>
          <t>マスタ相関チェック</t>
        </is>
      </c>
      <c r="AP2" s="58" t="inlineStr">
        <is>
          <t>例外処理</t>
        </is>
      </c>
      <c r="AQ2" s="61" t="inlineStr">
        <is>
          <t>処理内容</t>
        </is>
      </c>
      <c r="AR2" s="62" t="inlineStr">
        <is>
          <t>入力シートより</t>
        </is>
      </c>
      <c r="AS2" s="62" t="inlineStr">
        <is>
          <t>事前チェックより</t>
        </is>
      </c>
      <c r="AT2" s="62" t="inlineStr">
        <is>
          <t>ＱＡ分析より</t>
        </is>
      </c>
      <c r="AU2" s="62" t="inlineStr">
        <is>
          <t>その他</t>
        </is>
      </c>
      <c r="AV2" s="63" t="inlineStr">
        <is>
          <t>備考</t>
        </is>
      </c>
      <c r="AW2" s="64" t="inlineStr">
        <is>
          <t>本カラム削除修正厳禁</t>
        </is>
      </c>
      <c r="AX2" s="65" t="inlineStr">
        <is>
          <t>重複チェック論理式</t>
        </is>
      </c>
      <c r="AY2" s="65" t="inlineStr">
        <is>
          <t>重複チェック論理式</t>
        </is>
      </c>
      <c r="AZ2" s="65" t="inlineStr">
        <is>
          <t>条件付必須論理式１</t>
        </is>
      </c>
      <c r="BA2" s="65" t="inlineStr">
        <is>
          <t>条件付必須論理式２</t>
        </is>
      </c>
      <c r="BB2" s="65" t="inlineStr">
        <is>
          <t>条件付必須論理式３</t>
        </is>
      </c>
      <c r="BC2" s="65" t="inlineStr">
        <is>
          <t>項目相関チェック１</t>
        </is>
      </c>
      <c r="BD2" s="65" t="inlineStr">
        <is>
          <t>項目相関チェック２</t>
        </is>
      </c>
      <c r="BE2" s="65" t="inlineStr">
        <is>
          <t>項目相関チェック３</t>
        </is>
      </c>
      <c r="BF2" s="111" t="inlineStr">
        <is>
          <t>バイト長拡張係数</t>
        </is>
      </c>
      <c r="BG2" s="111" t="inlineStr">
        <is>
          <t>SJIS表記</t>
        </is>
      </c>
      <c r="BH2" s="157" t="inlineStr">
        <is>
          <t>【参考】バイト数欄の文字長</t>
        </is>
      </c>
      <c r="BI2" s="157" t="inlineStr">
        <is>
          <t>【参考】(文字位置
※最大文字数チェック対象の場合</t>
        </is>
      </c>
      <c r="BJ2" s="157" t="inlineStr">
        <is>
          <t>【参考】)文字位置
※最大文字数チェック対象の場合</t>
        </is>
      </c>
      <c r="BK2" s="157" t="inlineStr">
        <is>
          <t>～文字有無
（0：なし、1：以下、2：以上、
3：範囲）</t>
        </is>
      </c>
      <c r="BL2" s="157" t="inlineStr">
        <is>
          <t>【参考】～文字位置
※最大／最小バイト長チェック対象の場合</t>
        </is>
      </c>
    </row>
    <row r="3" customFormat="1" s="4">
      <c r="A3" s="132">
        <f>ROW()-2</f>
        <v/>
      </c>
      <c r="B3" s="133">
        <f>SUBSTITUTE(ADDRESS(1,ROW()-1,2),"$1","")</f>
        <v/>
      </c>
      <c r="C3" s="134" t="n"/>
      <c r="D3" s="135">
        <f>VLOOKUP($A3,'サービスコードマスタ（入力シート説明）'!$A$7:$B$109,2,$A3)</f>
        <v/>
      </c>
      <c r="E3" s="134" t="n"/>
      <c r="F3" s="136">
        <f>$T3</f>
        <v/>
      </c>
      <c r="G3" s="42" t="n"/>
      <c r="H3" s="137">
        <f>IF(EXACT(T('サービスコードマスタ（入力シート説明）'!$E7),"必須"),"○","")</f>
        <v/>
      </c>
      <c r="I3" s="137">
        <f>IF(EXACT(T('サービスコードマスタ（入力シート説明）'!$C7),"数値"),"○","")</f>
        <v/>
      </c>
      <c r="J3" s="137">
        <f>IF(EXACT(T('サービスコードマスタ（入力シート説明）'!$C7),"電話番号"),"○","")</f>
        <v/>
      </c>
      <c r="K3" s="137">
        <f>IF(EXACT(T('サービスコードマスタ（入力シート説明）'!$C7),"郵便番号"),"○","")</f>
        <v/>
      </c>
      <c r="L3" s="137">
        <f>IF(EXACT(T('サービスコードマスタ（入力シート説明）'!$C7),"日付（スラッシュなし）"),"○","")</f>
        <v/>
      </c>
      <c r="M3" s="137">
        <f>IF(EXACT(T('サービスコードマスタ（入力シート説明）'!$C7),"半角英数"),"○","")</f>
        <v/>
      </c>
      <c r="N3" s="137">
        <f>IF(ISBLANK('サービスコードマスタ（入力シート説明）'!$D7),"", IF(ISERROR(FIND("～", 'サービスコードマスタ（入力シート説明）'!$D7, 1)), "", IF(EXACT('サービスコードマスタ（入力シート説明）'!$D7,"～"), "", IF(LEN(LEFT('サービスコードマスタ（入力シート説明）'!$D7, FIND("～", 'サービスコードマスタ（入力シート説明）'!$D7, 1) - 1)) &gt;= 1, LEFT('サービスコードマスタ（入力シート説明）'!$D7, FIND("～", 'サービスコードマスタ（入力シート説明）'!$D7, 1) - 1), ""))))</f>
        <v/>
      </c>
      <c r="O3" s="137">
        <f>IF(T3&lt;&gt;"","",IF(OR('サービスコードマスタ（入力シート説明）'!C7="全半角",'サービスコードマスタ（入力シート説明）'!C7="全角",'サービスコードマスタ（入力シート説明）'!C7="全角英数",'サービスコードマスタ（入力シート説明）'!C7="全半角英数カナ",'サービスコードマスタ（入力シート説明）'!C7="全角英数カナ",'サービスコードマスタ（入力シート説明）'!C7="全角カナ",'サービスコードマスタ（入力シート説明）'!C7="半角カナ",'サービスコードマスタ（入力シート説明）'!C7="全銀協"),IF(OR(P3&lt;&gt;"",Q3&lt;&gt;""),TRUNC(IF(P3="",Q3/BF3,P3/BF3),0),""),IF(OR(P3&lt;&gt;"",Q3&lt;&gt;""),IF(P3="",Q3,P3),"")))</f>
        <v/>
      </c>
      <c r="P3" s="137">
        <f>IF(ISBLANK('サービスコードマスタ（入力シート説明）'!$D7),"",IF($BK3=0,"",IF(OR($BK3=1,$BK3=3),MID('サービスコードマスタ（入力シート説明）'!$D7,$BL3+1,IF($BI3="",$BH3,$BI3-1)-$BL3)*IF($BG3&lt;&gt;"",$BF3,1),"")))</f>
        <v/>
      </c>
      <c r="Q3" s="137">
        <f>IF(ISBLANK('サービスコードマスタ（入力シート説明）'!$D7), "", IF($BK3=0, IF($BI3="",'サービスコードマスタ（入力シート説明）'!$D7,LEFT('サービスコードマスタ（入力シート説明）'!$D7,$BI3-1))*IF(BG3&lt;&gt;"",BF3,1),""))</f>
        <v/>
      </c>
      <c r="R3" s="137">
        <f>IF(EXACT(T('サービスコードマスタ（入力シート説明）'!$C7),"全角"),"○","")</f>
        <v/>
      </c>
      <c r="S3" s="137">
        <f>IF(EXACT(T('サービスコードマスタ（入力シート説明）'!$C7),"全角カナ"),"○","")</f>
        <v/>
      </c>
      <c r="T3" s="136">
        <f>IF(ISBLANK('サービスコードマスタ（入力シート説明）'!$L7),"",IF(ISERROR(FIND("～",'サービスコードマスタ（入力シート説明）'!$L7,1)), 'サービスコードマスタ（入力シート説明）'!$L7, ""))</f>
        <v/>
      </c>
      <c r="U3" s="137">
        <f>IF(ISBLANK('サービスコードマスタ（入力シート説明）'!$L7),"",IF(ISERROR(FIND("～",'サービスコードマスタ（入力シート説明）'!$L7,1)), "", 'サービスコードマスタ（入力シート説明）'!$L7))</f>
        <v/>
      </c>
      <c r="V3" s="137">
        <f>IF(EXACT(T('サービスコードマスタ（入力シート説明）'!$I7),"あり"),"○","")</f>
        <v/>
      </c>
      <c r="W3" s="137">
        <f>IF(EXACT(T('サービスコードマスタ（入力シート説明）'!$C7),"全銀協"),"○","")</f>
        <v/>
      </c>
      <c r="X3" s="137">
        <f>IF(EXACT(T('サービスコードマスタ（入力シート説明）'!$C7),"事業所コード"),"○","")</f>
        <v/>
      </c>
      <c r="Y3" s="137">
        <f>IF(EXACT(T('サービスコードマスタ（入力シート説明）'!$C7),"半角英数大文字・半角スペース"),"○","")</f>
        <v/>
      </c>
      <c r="Z3" s="137">
        <f>IF(EXACT(T('サービスコードマスタ（入力シート説明）'!$C7),"半角英数・半角ハイフン"),"○","")</f>
        <v/>
      </c>
      <c r="AA3" s="137">
        <f>IF(EXACT(T('サービスコードマスタ（入力シート説明）'!$C7),"全角英数カナ"),"○","")</f>
        <v/>
      </c>
      <c r="AB3" s="137">
        <f>IF(EXACT(T('サービスコードマスタ（入力シート説明）'!$C7),"半角英数カナ"),"○","")</f>
        <v/>
      </c>
      <c r="AC3" s="137">
        <f>IF(EXACT(T('サービスコードマスタ（入力シート説明）'!$C7),"全半角英数カナ"),"○","")</f>
        <v/>
      </c>
      <c r="AD3" s="137">
        <f>IF(EXACT(T('サービスコードマスタ（入力シート説明）'!$C7),"通貨"),"○","")</f>
        <v/>
      </c>
      <c r="AE3" s="137">
        <f>IF(EXACT(T('サービスコードマスタ（入力シート説明）'!$C7),"半角"),"○","")</f>
        <v/>
      </c>
      <c r="AF3" s="137">
        <f>IF(EXACT(T('サービスコードマスタ（入力シート説明）'!$C7),"半角カナ"),"○","")</f>
        <v/>
      </c>
      <c r="AG3" s="137">
        <f>IF(EXACT(T('サービスコードマスタ（入力シート説明）'!$C7),"半角英数・半角アンダーバー"),"○","")</f>
        <v/>
      </c>
      <c r="AH3" s="137">
        <f>IF(EXACT(T('サービスコードマスタ（入力シート説明）'!$C7),"日付（スラッシュあり）"),"○","")</f>
        <v/>
      </c>
      <c r="AI3" s="137">
        <f>IF(EXACT(T('サービスコードマスタ（入力シート説明）'!$C7),"全角英数"),"○","")</f>
        <v/>
      </c>
      <c r="AJ3" s="137">
        <f>IF(ISBLANK('サービスコードマスタ（入力シート説明）'!$D7),"",IF(ISERROR(FIND("(", 'サービスコードマスタ（入力シート説明）'!$D7, 1)),"",MID('サービスコードマスタ（入力シート説明）'!$D7,$BI3+1,$BJ3-$BI3-1)))</f>
        <v/>
      </c>
      <c r="AK3" s="137">
        <f>IF(EXACT(T('サービスコードマスタ（入力シート説明）'!$F7),"あり"),"○","")</f>
        <v/>
      </c>
      <c r="AL3" s="138" t="n"/>
      <c r="AM3" s="137">
        <f>IF(EXACT(T('サービスコードマスタ（入力シート説明）'!$E7),"条件付き必須"),"○","")</f>
        <v/>
      </c>
      <c r="AN3" s="137">
        <f>IF(EXACT(T('サービスコードマスタ（入力シート説明）'!$G7),"あり"),"○","")</f>
        <v/>
      </c>
      <c r="AO3" s="137">
        <f>IF(ISBLANK('サービスコードマスタ（入力シート説明）'!$N7),"","○")</f>
        <v/>
      </c>
      <c r="AP3" s="42" t="n"/>
      <c r="AQ3" s="66">
        <f>T('サービスコードマスタ（入力シート説明）'!$H7)</f>
        <v/>
      </c>
      <c r="AR3" s="67" t="n"/>
      <c r="AS3" s="67" t="n"/>
      <c r="AT3" s="67" t="n"/>
      <c r="AU3" s="67" t="n"/>
      <c r="AV3" s="68" t="n"/>
      <c r="AW3" s="69" t="n"/>
      <c r="AX3" s="114" t="n"/>
      <c r="AY3" s="70" t="n"/>
      <c r="AZ3" s="69" t="n"/>
      <c r="BA3" s="69" t="n"/>
      <c r="BB3" s="69" t="n"/>
      <c r="BC3" s="69" t="n"/>
      <c r="BD3" s="69" t="n"/>
      <c r="BE3" s="69" t="n"/>
      <c r="BF3" s="68" t="n">
        <v>1.5</v>
      </c>
      <c r="BG3" s="112" t="n"/>
      <c r="BH3" s="137">
        <f>IF(ISBLANK('サービスコードマスタ（入力シート説明）'!$D7),"",LEN('サービスコードマスタ（入力シート説明）'!$D7))</f>
        <v/>
      </c>
      <c r="BI3" s="137">
        <f>IF(ISBLANK('サービスコードマスタ（入力シート説明）'!$D7),"",IF(ISERROR(FIND("(",'サービスコードマスタ（入力シート説明）'!$D7,1)),"",FIND("(",'サービスコードマスタ（入力シート説明）'!$D7,1)))</f>
        <v/>
      </c>
      <c r="BJ3" s="137">
        <f>IF(ISBLANK('サービスコードマスタ（入力シート説明）'!$D7),"",IF(ISERROR(FIND("(",'サービスコードマスタ（入力シート説明）'!$D7,1)),"",FIND(")",'サービスコードマスタ（入力シート説明）'!$D7,1)))</f>
        <v/>
      </c>
      <c r="BK3" s="137">
        <f>IF(ISBLANK('サービスコードマスタ（入力シート説明）'!$D7),"",IF($BL3="",0,IF($BL3=1,1,IF((IF($BI3="",$BH3,$BI3-1))=$BL3,2,3))))</f>
        <v/>
      </c>
      <c r="BL3" s="137">
        <f>IF(ISBLANK('サービスコードマスタ（入力シート説明）'!$D7),"",IF(ISERROR(FIND("～",'サービスコードマスタ（入力シート説明）'!$D7,1)),"",FIND("～",'サービスコードマスタ（入力シート説明）'!$D7,1)))</f>
        <v/>
      </c>
    </row>
    <row r="4" ht="26.4" customFormat="1" customHeight="1" s="4">
      <c r="A4" s="132">
        <f>ROW()-2</f>
        <v/>
      </c>
      <c r="B4" s="133">
        <f>SUBSTITUTE(ADDRESS(1,ROW()-1,2),"$1","")</f>
        <v/>
      </c>
      <c r="C4" s="134" t="n"/>
      <c r="D4" s="135">
        <f>VLOOKUP($A4,'サービスコードマスタ（入力シート説明）'!$A$7:$B$109,2,$A4)</f>
        <v/>
      </c>
      <c r="E4" s="134" t="n"/>
      <c r="F4" s="136">
        <f>$T4</f>
        <v/>
      </c>
      <c r="G4" s="42" t="n"/>
      <c r="H4" s="137">
        <f>IF(EXACT(T('サービスコードマスタ（入力シート説明）'!$E8),"必須"),"○","")</f>
        <v/>
      </c>
      <c r="I4" s="137">
        <f>IF(EXACT(T('サービスコードマスタ（入力シート説明）'!$C8),"数値"),"○","")</f>
        <v/>
      </c>
      <c r="J4" s="137">
        <f>IF(EXACT(T('サービスコードマスタ（入力シート説明）'!$C8),"電話番号"),"○","")</f>
        <v/>
      </c>
      <c r="K4" s="137">
        <f>IF(EXACT(T('サービスコードマスタ（入力シート説明）'!$C8),"郵便番号"),"○","")</f>
        <v/>
      </c>
      <c r="L4" s="137">
        <f>IF(EXACT(T('サービスコードマスタ（入力シート説明）'!$C8),"日付（スラッシュなし）"),"○","")</f>
        <v/>
      </c>
      <c r="M4" s="137">
        <f>IF(EXACT(T('サービスコードマスタ（入力シート説明）'!$C8),"半角英数"),"○","")</f>
        <v/>
      </c>
      <c r="N4" s="137">
        <f>IF(ISBLANK('サービスコードマスタ（入力シート説明）'!$D8),"", IF(ISERROR(FIND("～", 'サービスコードマスタ（入力シート説明）'!$D8, 1)), "", IF(EXACT('サービスコードマスタ（入力シート説明）'!$D8,"～"), "", IF(LEN(LEFT('サービスコードマスタ（入力シート説明）'!$D8, FIND("～", 'サービスコードマスタ（入力シート説明）'!$D8, 1) - 1)) &gt;= 1, LEFT('サービスコードマスタ（入力シート説明）'!$D8, FIND("～", 'サービスコードマスタ（入力シート説明）'!$D8, 1) - 1), ""))))</f>
        <v/>
      </c>
      <c r="O4" s="137">
        <f>IF(T4&lt;&gt;"","",IF(OR('サービスコードマスタ（入力シート説明）'!C8="全半角",'サービスコードマスタ（入力シート説明）'!C8="全角",'サービスコードマスタ（入力シート説明）'!C8="全角英数",'サービスコードマスタ（入力シート説明）'!C8="全半角英数カナ",'サービスコードマスタ（入力シート説明）'!C8="全角英数カナ",'サービスコードマスタ（入力シート説明）'!C8="全角カナ",'サービスコードマスタ（入力シート説明）'!C8="半角カナ",'サービスコードマスタ（入力シート説明）'!C8="全銀協"),IF(OR(P4&lt;&gt;"",Q4&lt;&gt;""),TRUNC(IF(P4="",Q4/BF4,P4/BF4),0),""),IF(OR(P4&lt;&gt;"",Q4&lt;&gt;""),IF(P4="",Q4,P4),"")))</f>
        <v/>
      </c>
      <c r="P4" s="137">
        <f>IF(ISBLANK('サービスコードマスタ（入力シート説明）'!$D8),"",IF($BK4=0,"",IF(OR($BK4=1,$BK4=3),MID('サービスコードマスタ（入力シート説明）'!$D8,$BL4+1,IF($BI4="",$BH4,$BI4-1)-$BL4)*IF($BG4&lt;&gt;"",$BF4,1),"")))</f>
        <v/>
      </c>
      <c r="Q4" s="137">
        <f>IF(ISBLANK('サービスコードマスタ（入力シート説明）'!$D8), "", IF($BK4=0, IF($BI4="",'サービスコードマスタ（入力シート説明）'!$D8,LEFT('サービスコードマスタ（入力シート説明）'!$D8,$BI4-1))*IF(BG4&lt;&gt;"",BF4,1),""))</f>
        <v/>
      </c>
      <c r="R4" s="137">
        <f>IF(EXACT(T('サービスコードマスタ（入力シート説明）'!$C8),"全角"),"○","")</f>
        <v/>
      </c>
      <c r="S4" s="137">
        <f>IF(EXACT(T('サービスコードマスタ（入力シート説明）'!$C8),"全角カナ"),"○","")</f>
        <v/>
      </c>
      <c r="T4" s="136">
        <f>IF(ISBLANK('サービスコードマスタ（入力シート説明）'!$L8),"",IF(ISERROR(FIND("～",'サービスコードマスタ（入力シート説明）'!$L8,1)), 'サービスコードマスタ（入力シート説明）'!$L8, ""))</f>
        <v/>
      </c>
      <c r="U4" s="137">
        <f>IF(ISBLANK('サービスコードマスタ（入力シート説明）'!$L8),"",IF(ISERROR(FIND("～",'サービスコードマスタ（入力シート説明）'!$L8,1)), "", 'サービスコードマスタ（入力シート説明）'!$L8))</f>
        <v/>
      </c>
      <c r="V4" s="137">
        <f>IF(EXACT(T('サービスコードマスタ（入力シート説明）'!$I8),"あり"),"○","")</f>
        <v/>
      </c>
      <c r="W4" s="137">
        <f>IF(EXACT(T('サービスコードマスタ（入力シート説明）'!$C8),"全銀協"),"○","")</f>
        <v/>
      </c>
      <c r="X4" s="137">
        <f>IF(EXACT(T('サービスコードマスタ（入力シート説明）'!$C8),"事業所コード"),"○","")</f>
        <v/>
      </c>
      <c r="Y4" s="137">
        <f>IF(EXACT(T('サービスコードマスタ（入力シート説明）'!$C8),"半角英数大文字・半角スペース"),"○","")</f>
        <v/>
      </c>
      <c r="Z4" s="137">
        <f>IF(EXACT(T('サービスコードマスタ（入力シート説明）'!$C8),"半角英数・半角ハイフン"),"○","")</f>
        <v/>
      </c>
      <c r="AA4" s="137">
        <f>IF(EXACT(T('サービスコードマスタ（入力シート説明）'!$C8),"全角英数カナ"),"○","")</f>
        <v/>
      </c>
      <c r="AB4" s="137">
        <f>IF(EXACT(T('サービスコードマスタ（入力シート説明）'!$C8),"半角英数カナ"),"○","")</f>
        <v/>
      </c>
      <c r="AC4" s="137">
        <f>IF(EXACT(T('サービスコードマスタ（入力シート説明）'!$C8),"全半角英数カナ"),"○","")</f>
        <v/>
      </c>
      <c r="AD4" s="137">
        <f>IF(EXACT(T('サービスコードマスタ（入力シート説明）'!$C8),"通貨"),"○","")</f>
        <v/>
      </c>
      <c r="AE4" s="137">
        <f>IF(EXACT(T('サービスコードマスタ（入力シート説明）'!$C8),"半角"),"○","")</f>
        <v/>
      </c>
      <c r="AF4" s="137">
        <f>IF(EXACT(T('サービスコードマスタ（入力シート説明）'!$C8),"半角カナ"),"○","")</f>
        <v/>
      </c>
      <c r="AG4" s="137">
        <f>IF(EXACT(T('サービスコードマスタ（入力シート説明）'!$C8),"半角英数・半角アンダーバー"),"○","")</f>
        <v/>
      </c>
      <c r="AH4" s="137">
        <f>IF(EXACT(T('サービスコードマスタ（入力シート説明）'!$C8),"日付（スラッシュあり）"),"○","")</f>
        <v/>
      </c>
      <c r="AI4" s="137">
        <f>IF(EXACT(T('サービスコードマスタ（入力シート説明）'!$C8),"全角英数"),"○","")</f>
        <v/>
      </c>
      <c r="AJ4" s="137">
        <f>IF(ISBLANK('サービスコードマスタ（入力シート説明）'!$D8),"",IF(ISERROR(FIND("(", 'サービスコードマスタ（入力シート説明）'!$D8, 1)),"",MID('サービスコードマスタ（入力シート説明）'!$D8,$BI4+1,$BJ4-$BI4-1)))</f>
        <v/>
      </c>
      <c r="AK4" s="137">
        <f>IF(EXACT(T('サービスコードマスタ（入力シート説明）'!$F8),"あり"),"○","")</f>
        <v/>
      </c>
      <c r="AL4" s="138" t="n"/>
      <c r="AM4" s="137">
        <f>IF(EXACT(T('サービスコードマスタ（入力シート説明）'!$E8),"条件付き必須"),"○","")</f>
        <v/>
      </c>
      <c r="AN4" s="137">
        <f>IF(EXACT(T('サービスコードマスタ（入力シート説明）'!$G8),"あり"),"○","")</f>
        <v/>
      </c>
      <c r="AO4" s="137">
        <f>IF(ISBLANK('サービスコードマスタ（入力シート説明）'!$N8),"","○")</f>
        <v/>
      </c>
      <c r="AP4" s="154" t="n"/>
      <c r="AQ4" s="66">
        <f>T('サービスコードマスタ（入力シート説明）'!$H8)</f>
        <v/>
      </c>
      <c r="AR4" s="67" t="n"/>
      <c r="AS4" s="67" t="n"/>
      <c r="AT4" s="67" t="n"/>
      <c r="AU4" s="67" t="n"/>
      <c r="AV4" s="68" t="n"/>
      <c r="AW4" s="69" t="n"/>
      <c r="AX4" s="114" t="inlineStr">
        <is>
          <t>=("|" &amp; $C7)~C</t>
        </is>
      </c>
      <c r="AY4" s="70" t="n"/>
      <c r="AZ4" s="69" t="n"/>
      <c r="BA4" s="69" t="n"/>
      <c r="BB4" s="69" t="n"/>
      <c r="BC4" s="69" t="n"/>
      <c r="BD4" s="69" t="n"/>
      <c r="BE4" s="69" t="n"/>
      <c r="BF4" s="68" t="n">
        <v>1.5</v>
      </c>
      <c r="BG4" s="112" t="n"/>
      <c r="BH4" s="137">
        <f>IF(ISBLANK('サービスコードマスタ（入力シート説明）'!$D8),"",LEN('サービスコードマスタ（入力シート説明）'!$D8))</f>
        <v/>
      </c>
      <c r="BI4" s="137">
        <f>IF(ISBLANK('サービスコードマスタ（入力シート説明）'!$D8),"",IF(ISERROR(FIND("(",'サービスコードマスタ（入力シート説明）'!$D8,1)),"",FIND("(",'サービスコードマスタ（入力シート説明）'!$D8,1)))</f>
        <v/>
      </c>
      <c r="BJ4" s="137">
        <f>IF(ISBLANK('サービスコードマスタ（入力シート説明）'!$D8),"",IF(ISERROR(FIND("(",'サービスコードマスタ（入力シート説明）'!$D8,1)),"",FIND(")",'サービスコードマスタ（入力シート説明）'!$D8,1)))</f>
        <v/>
      </c>
      <c r="BK4" s="137">
        <f>IF(ISBLANK('サービスコードマスタ（入力シート説明）'!$D8),"",IF($BL4="",0,IF($BL4=1,1,IF((IF($BI4="",$BH4,$BI4-1))=$BL4,2,3))))</f>
        <v/>
      </c>
      <c r="BL4" s="137">
        <f>IF(ISBLANK('サービスコードマスタ（入力シート説明）'!$D8),"",IF(ISERROR(FIND("～",'サービスコードマスタ（入力シート説明）'!$D8,1)),"",FIND("～",'サービスコードマスタ（入力シート説明）'!$D8,1)))</f>
        <v/>
      </c>
    </row>
    <row r="5" ht="26.4" customFormat="1" customHeight="1" s="4">
      <c r="A5" s="132">
        <f>ROW()-2</f>
        <v/>
      </c>
      <c r="B5" s="133">
        <f>SUBSTITUTE(ADDRESS(1,ROW()-1,2),"$1","")</f>
        <v/>
      </c>
      <c r="C5" s="134" t="n"/>
      <c r="D5" s="135">
        <f>VLOOKUP($A5,'サービスコードマスタ（入力シート説明）'!$A$7:$B$109,2,$A5)</f>
        <v/>
      </c>
      <c r="E5" s="134" t="n"/>
      <c r="F5" s="136">
        <f>$T5</f>
        <v/>
      </c>
      <c r="G5" s="42" t="n"/>
      <c r="H5" s="137">
        <f>IF(EXACT(T('サービスコードマスタ（入力シート説明）'!$E9),"必須"),"○","")</f>
        <v/>
      </c>
      <c r="I5" s="137">
        <f>IF(EXACT(T('サービスコードマスタ（入力シート説明）'!$C9),"数値"),"○","")</f>
        <v/>
      </c>
      <c r="J5" s="137">
        <f>IF(EXACT(T('サービスコードマスタ（入力シート説明）'!$C9),"電話番号"),"○","")</f>
        <v/>
      </c>
      <c r="K5" s="137">
        <f>IF(EXACT(T('サービスコードマスタ（入力シート説明）'!$C9),"郵便番号"),"○","")</f>
        <v/>
      </c>
      <c r="L5" s="137">
        <f>IF(EXACT(T('サービスコードマスタ（入力シート説明）'!$C9),"日付（スラッシュなし）"),"○","")</f>
        <v/>
      </c>
      <c r="M5" s="137">
        <f>IF(EXACT(T('サービスコードマスタ（入力シート説明）'!$C9),"半角英数"),"○","")</f>
        <v/>
      </c>
      <c r="N5" s="137">
        <f>IF(ISBLANK('サービスコードマスタ（入力シート説明）'!$D9),"", IF(ISERROR(FIND("～", 'サービスコードマスタ（入力シート説明）'!$D9, 1)), "", IF(EXACT('サービスコードマスタ（入力シート説明）'!$D9,"～"), "", IF(LEN(LEFT('サービスコードマスタ（入力シート説明）'!$D9, FIND("～", 'サービスコードマスタ（入力シート説明）'!$D9, 1) - 1)) &gt;= 1, LEFT('サービスコードマスタ（入力シート説明）'!$D9, FIND("～", 'サービスコードマスタ（入力シート説明）'!$D9, 1) - 1), ""))))</f>
        <v/>
      </c>
      <c r="O5" s="137">
        <f>IF(T5&lt;&gt;"","",IF(OR('サービスコードマスタ（入力シート説明）'!C9="全半角",'サービスコードマスタ（入力シート説明）'!C9="全角",'サービスコードマスタ（入力シート説明）'!C9="全角英数",'サービスコードマスタ（入力シート説明）'!C9="全半角英数カナ",'サービスコードマスタ（入力シート説明）'!C9="全角英数カナ",'サービスコードマスタ（入力シート説明）'!C9="全角カナ",'サービスコードマスタ（入力シート説明）'!C9="半角カナ",'サービスコードマスタ（入力シート説明）'!C9="全銀協"),IF(OR(P5&lt;&gt;"",Q5&lt;&gt;""),TRUNC(IF(P5="",Q5/BF5,P5/BF5),0),""),IF(OR(P5&lt;&gt;"",Q5&lt;&gt;""),IF(P5="",Q5,P5),"")))</f>
        <v/>
      </c>
      <c r="P5" s="137">
        <f>IF(ISBLANK('サービスコードマスタ（入力シート説明）'!$D9),"",IF($BK5=0,"",IF(OR($BK5=1,$BK5=3),MID('サービスコードマスタ（入力シート説明）'!$D9,$BL5+1,IF($BI5="",$BH5,$BI5-1)-$BL5)*IF($BG5&lt;&gt;"",$BF5,1),"")))</f>
        <v/>
      </c>
      <c r="Q5" s="137">
        <f>IF(ISBLANK('サービスコードマスタ（入力シート説明）'!$D9), "", IF($BK5=0, IF($BI5="",'サービスコードマスタ（入力シート説明）'!$D9,LEFT('サービスコードマスタ（入力シート説明）'!$D9,$BI5-1))*IF(BG5&lt;&gt;"",BF5,1),""))</f>
        <v/>
      </c>
      <c r="R5" s="137">
        <f>IF(EXACT(T('サービスコードマスタ（入力シート説明）'!$C9),"全角"),"○","")</f>
        <v/>
      </c>
      <c r="S5" s="137">
        <f>IF(EXACT(T('サービスコードマスタ（入力シート説明）'!$C9),"全角カナ"),"○","")</f>
        <v/>
      </c>
      <c r="T5" s="136">
        <f>IF(ISBLANK('サービスコードマスタ（入力シート説明）'!$L9),"",IF(ISERROR(FIND("～",'サービスコードマスタ（入力シート説明）'!$L9,1)), 'サービスコードマスタ（入力シート説明）'!$L9, ""))</f>
        <v/>
      </c>
      <c r="U5" s="137">
        <f>IF(ISBLANK('サービスコードマスタ（入力シート説明）'!$L9),"",IF(ISERROR(FIND("～",'サービスコードマスタ（入力シート説明）'!$L9,1)), "", 'サービスコードマスタ（入力シート説明）'!$L9))</f>
        <v/>
      </c>
      <c r="V5" s="137">
        <f>IF(EXACT(T('サービスコードマスタ（入力シート説明）'!$I9),"あり"),"○","")</f>
        <v/>
      </c>
      <c r="W5" s="137">
        <f>IF(EXACT(T('サービスコードマスタ（入力シート説明）'!$C9),"全銀協"),"○","")</f>
        <v/>
      </c>
      <c r="X5" s="137">
        <f>IF(EXACT(T('サービスコードマスタ（入力シート説明）'!$C9),"事業所コード"),"○","")</f>
        <v/>
      </c>
      <c r="Y5" s="137">
        <f>IF(EXACT(T('サービスコードマスタ（入力シート説明）'!$C9),"半角英数大文字・半角スペース"),"○","")</f>
        <v/>
      </c>
      <c r="Z5" s="137">
        <f>IF(EXACT(T('サービスコードマスタ（入力シート説明）'!$C9),"半角英数・半角ハイフン"),"○","")</f>
        <v/>
      </c>
      <c r="AA5" s="137">
        <f>IF(EXACT(T('サービスコードマスタ（入力シート説明）'!$C9),"全角英数カナ"),"○","")</f>
        <v/>
      </c>
      <c r="AB5" s="137">
        <f>IF(EXACT(T('サービスコードマスタ（入力シート説明）'!$C9),"半角英数カナ"),"○","")</f>
        <v/>
      </c>
      <c r="AC5" s="137">
        <f>IF(EXACT(T('サービスコードマスタ（入力シート説明）'!$C9),"全半角英数カナ"),"○","")</f>
        <v/>
      </c>
      <c r="AD5" s="137">
        <f>IF(EXACT(T('サービスコードマスタ（入力シート説明）'!$C9),"通貨"),"○","")</f>
        <v/>
      </c>
      <c r="AE5" s="137">
        <f>IF(EXACT(T('サービスコードマスタ（入力シート説明）'!$C9),"半角"),"○","")</f>
        <v/>
      </c>
      <c r="AF5" s="137">
        <f>IF(EXACT(T('サービスコードマスタ（入力シート説明）'!$C9),"半角カナ"),"○","")</f>
        <v/>
      </c>
      <c r="AG5" s="137">
        <f>IF(EXACT(T('サービスコードマスタ（入力シート説明）'!$C9),"半角英数・半角アンダーバー"),"○","")</f>
        <v/>
      </c>
      <c r="AH5" s="137">
        <f>IF(EXACT(T('サービスコードマスタ（入力シート説明）'!$C9),"日付（スラッシュあり）"),"○","")</f>
        <v/>
      </c>
      <c r="AI5" s="137">
        <f>IF(EXACT(T('サービスコードマスタ（入力シート説明）'!$C9),"全角英数"),"○","")</f>
        <v/>
      </c>
      <c r="AJ5" s="137">
        <f>IF(ISBLANK('サービスコードマスタ（入力シート説明）'!$D9),"",IF(ISERROR(FIND("(", 'サービスコードマスタ（入力シート説明）'!$D9, 1)),"",MID('サービスコードマスタ（入力シート説明）'!$D9,$BI5+1,$BJ5-$BI5-1)))</f>
        <v/>
      </c>
      <c r="AK5" s="137">
        <f>IF(EXACT(T('サービスコードマスタ（入力シート説明）'!$F9),"あり"),"○","")</f>
        <v/>
      </c>
      <c r="AL5" s="138" t="n"/>
      <c r="AM5" s="137">
        <f>IF(EXACT(T('サービスコードマスタ（入力シート説明）'!$E9),"条件付き必須"),"○","")</f>
        <v/>
      </c>
      <c r="AN5" s="137">
        <f>IF(EXACT(T('サービスコードマスタ（入力シート説明）'!$G9),"あり"),"○","")</f>
        <v/>
      </c>
      <c r="AO5" s="137">
        <f>IF(ISBLANK('サービスコードマスタ（入力シート説明）'!$N9),"","○")</f>
        <v/>
      </c>
      <c r="AP5" s="42" t="n"/>
      <c r="AQ5" s="66">
        <f>T('サービスコードマスタ（入力シート説明）'!$H9)</f>
        <v/>
      </c>
      <c r="AR5" s="67" t="n"/>
      <c r="AS5" s="67" t="n"/>
      <c r="AT5" s="67" t="n"/>
      <c r="AU5" s="67" t="n"/>
      <c r="AV5" s="68" t="n"/>
      <c r="AW5" s="69" t="n"/>
      <c r="AX5" s="114" t="n"/>
      <c r="AY5" s="70" t="n"/>
      <c r="AZ5" s="69" t="n"/>
      <c r="BA5" s="69" t="n"/>
      <c r="BB5" s="69" t="n"/>
      <c r="BC5" s="69" t="n"/>
      <c r="BD5" s="69" t="n"/>
      <c r="BE5" s="69" t="n"/>
      <c r="BF5" s="68" t="n">
        <v>1.5</v>
      </c>
      <c r="BG5" s="112" t="n"/>
      <c r="BH5" s="137">
        <f>IF(ISBLANK('サービスコードマスタ（入力シート説明）'!$D9),"",LEN('サービスコードマスタ（入力シート説明）'!$D9))</f>
        <v/>
      </c>
      <c r="BI5" s="137">
        <f>IF(ISBLANK('サービスコードマスタ（入力シート説明）'!$D9),"",IF(ISERROR(FIND("(",'サービスコードマスタ（入力シート説明）'!$D9,1)),"",FIND("(",'サービスコードマスタ（入力シート説明）'!$D9,1)))</f>
        <v/>
      </c>
      <c r="BJ5" s="137">
        <f>IF(ISBLANK('サービスコードマスタ（入力シート説明）'!$D9),"",IF(ISERROR(FIND("(",'サービスコードマスタ（入力シート説明）'!$D9,1)),"",FIND(")",'サービスコードマスタ（入力シート説明）'!$D9,1)))</f>
        <v/>
      </c>
      <c r="BK5" s="137">
        <f>IF(ISBLANK('サービスコードマスタ（入力シート説明）'!$D9),"",IF($BL5="",0,IF($BL5=1,1,IF((IF($BI5="",$BH5,$BI5-1))=$BL5,2,3))))</f>
        <v/>
      </c>
      <c r="BL5" s="137">
        <f>IF(ISBLANK('サービスコードマスタ（入力シート説明）'!$D9),"",IF(ISERROR(FIND("～",'サービスコードマスタ（入力シート説明）'!$D9,1)),"",FIND("～",'サービスコードマスタ（入力シート説明）'!$D9,1)))</f>
        <v/>
      </c>
    </row>
    <row r="6" customFormat="1" s="4">
      <c r="A6" s="132">
        <f>ROW()-2</f>
        <v/>
      </c>
      <c r="B6" s="133">
        <f>SUBSTITUTE(ADDRESS(1,ROW()-1,2),"$1","")</f>
        <v/>
      </c>
      <c r="C6" s="134" t="n"/>
      <c r="D6" s="135">
        <f>VLOOKUP($A6,'サービスコードマスタ（入力シート説明）'!$A$7:$B$109,2,$A6)</f>
        <v/>
      </c>
      <c r="E6" s="134" t="n"/>
      <c r="F6" s="136">
        <f>$T6</f>
        <v/>
      </c>
      <c r="G6" s="42" t="n"/>
      <c r="H6" s="137">
        <f>IF(EXACT(T('サービスコードマスタ（入力シート説明）'!$E10),"必須"),"○","")</f>
        <v/>
      </c>
      <c r="I6" s="137">
        <f>IF(EXACT(T('サービスコードマスタ（入力シート説明）'!$C10),"数値"),"○","")</f>
        <v/>
      </c>
      <c r="J6" s="137">
        <f>IF(EXACT(T('サービスコードマスタ（入力シート説明）'!$C10),"電話番号"),"○","")</f>
        <v/>
      </c>
      <c r="K6" s="137">
        <f>IF(EXACT(T('サービスコードマスタ（入力シート説明）'!$C10),"郵便番号"),"○","")</f>
        <v/>
      </c>
      <c r="L6" s="137">
        <f>IF(EXACT(T('サービスコードマスタ（入力シート説明）'!$C10),"日付（スラッシュなし）"),"○","")</f>
        <v/>
      </c>
      <c r="M6" s="137">
        <f>IF(EXACT(T('サービスコードマスタ（入力シート説明）'!$C10),"半角英数"),"○","")</f>
        <v/>
      </c>
      <c r="N6" s="137">
        <f>IF(ISBLANK('サービスコードマスタ（入力シート説明）'!$D10),"", IF(ISERROR(FIND("～", 'サービスコードマスタ（入力シート説明）'!$D10, 1)), "", IF(EXACT('サービスコードマスタ（入力シート説明）'!$D10,"～"), "", IF(LEN(LEFT('サービスコードマスタ（入力シート説明）'!$D10, FIND("～", 'サービスコードマスタ（入力シート説明）'!$D10, 1) - 1)) &gt;= 1, LEFT('サービスコードマスタ（入力シート説明）'!$D10, FIND("～", 'サービスコードマスタ（入力シート説明）'!$D10, 1) - 1), ""))))</f>
        <v/>
      </c>
      <c r="O6" s="137">
        <f>IF(T6&lt;&gt;"","",IF(OR('サービスコードマスタ（入力シート説明）'!C10="全半角",'サービスコードマスタ（入力シート説明）'!C10="全角",'サービスコードマスタ（入力シート説明）'!C10="全角英数",'サービスコードマスタ（入力シート説明）'!C10="全半角英数カナ",'サービスコードマスタ（入力シート説明）'!C10="全角英数カナ",'サービスコードマスタ（入力シート説明）'!C10="全角カナ",'サービスコードマスタ（入力シート説明）'!C10="半角カナ",'サービスコードマスタ（入力シート説明）'!C10="全銀協"),IF(OR(P6&lt;&gt;"",Q6&lt;&gt;""),TRUNC(IF(P6="",Q6/BF6,P6/BF6),0),""),IF(OR(P6&lt;&gt;"",Q6&lt;&gt;""),IF(P6="",Q6,P6),"")))</f>
        <v/>
      </c>
      <c r="P6" s="137">
        <f>IF(ISBLANK('サービスコードマスタ（入力シート説明）'!$D10),"",IF($BK6=0,"",IF(OR($BK6=1,$BK6=3),MID('サービスコードマスタ（入力シート説明）'!$D10,$BL6+1,IF($BI6="",$BH6,$BI6-1)-$BL6)*IF($BG6&lt;&gt;"",$BF6,1),"")))</f>
        <v/>
      </c>
      <c r="Q6" s="137">
        <f>IF(ISBLANK('サービスコードマスタ（入力シート説明）'!$D10), "", IF($BK6=0, IF($BI6="",'サービスコードマスタ（入力シート説明）'!$D10,LEFT('サービスコードマスタ（入力シート説明）'!$D10,$BI6-1))*IF(BG6&lt;&gt;"",BF6,1),""))</f>
        <v/>
      </c>
      <c r="R6" s="137">
        <f>IF(EXACT(T('サービスコードマスタ（入力シート説明）'!$C10),"全角"),"○","")</f>
        <v/>
      </c>
      <c r="S6" s="137">
        <f>IF(EXACT(T('サービスコードマスタ（入力シート説明）'!$C10),"全角カナ"),"○","")</f>
        <v/>
      </c>
      <c r="T6" s="136">
        <f>IF(ISBLANK('サービスコードマスタ（入力シート説明）'!$L10),"",IF(ISERROR(FIND("～",'サービスコードマスタ（入力シート説明）'!$L10,1)), 'サービスコードマスタ（入力シート説明）'!$L10, ""))</f>
        <v/>
      </c>
      <c r="U6" s="137">
        <f>IF(ISBLANK('サービスコードマスタ（入力シート説明）'!$L10),"",IF(ISERROR(FIND("～",'サービスコードマスタ（入力シート説明）'!$L10,1)), "", 'サービスコードマスタ（入力シート説明）'!$L10))</f>
        <v/>
      </c>
      <c r="V6" s="137">
        <f>IF(EXACT(T('サービスコードマスタ（入力シート説明）'!$I10),"あり"),"○","")</f>
        <v/>
      </c>
      <c r="W6" s="137">
        <f>IF(EXACT(T('サービスコードマスタ（入力シート説明）'!$C10),"全銀協"),"○","")</f>
        <v/>
      </c>
      <c r="X6" s="137">
        <f>IF(EXACT(T('サービスコードマスタ（入力シート説明）'!$C10),"事業所コード"),"○","")</f>
        <v/>
      </c>
      <c r="Y6" s="137">
        <f>IF(EXACT(T('サービスコードマスタ（入力シート説明）'!$C10),"半角英数大文字・半角スペース"),"○","")</f>
        <v/>
      </c>
      <c r="Z6" s="137">
        <f>IF(EXACT(T('サービスコードマスタ（入力シート説明）'!$C10),"半角英数・半角ハイフン"),"○","")</f>
        <v/>
      </c>
      <c r="AA6" s="137">
        <f>IF(EXACT(T('サービスコードマスタ（入力シート説明）'!$C10),"全角英数カナ"),"○","")</f>
        <v/>
      </c>
      <c r="AB6" s="137">
        <f>IF(EXACT(T('サービスコードマスタ（入力シート説明）'!$C10),"半角英数カナ"),"○","")</f>
        <v/>
      </c>
      <c r="AC6" s="137">
        <f>IF(EXACT(T('サービスコードマスタ（入力シート説明）'!$C10),"全半角英数カナ"),"○","")</f>
        <v/>
      </c>
      <c r="AD6" s="137">
        <f>IF(EXACT(T('サービスコードマスタ（入力シート説明）'!$C10),"通貨"),"○","")</f>
        <v/>
      </c>
      <c r="AE6" s="137">
        <f>IF(EXACT(T('サービスコードマスタ（入力シート説明）'!$C10),"半角"),"○","")</f>
        <v/>
      </c>
      <c r="AF6" s="137">
        <f>IF(EXACT(T('サービスコードマスタ（入力シート説明）'!$C10),"半角カナ"),"○","")</f>
        <v/>
      </c>
      <c r="AG6" s="137">
        <f>IF(EXACT(T('サービスコードマスタ（入力シート説明）'!$C10),"半角英数・半角アンダーバー"),"○","")</f>
        <v/>
      </c>
      <c r="AH6" s="137">
        <f>IF(EXACT(T('サービスコードマスタ（入力シート説明）'!$C10),"日付（スラッシュあり）"),"○","")</f>
        <v/>
      </c>
      <c r="AI6" s="137">
        <f>IF(EXACT(T('サービスコードマスタ（入力シート説明）'!$C10),"全角英数"),"○","")</f>
        <v/>
      </c>
      <c r="AJ6" s="137">
        <f>IF(ISBLANK('サービスコードマスタ（入力シート説明）'!$D10),"",IF(ISERROR(FIND("(", 'サービスコードマスタ（入力シート説明）'!$D10, 1)),"",MID('サービスコードマスタ（入力シート説明）'!$D10,$BI6+1,$BJ6-$BI6-1)))</f>
        <v/>
      </c>
      <c r="AK6" s="137">
        <f>IF(EXACT(T('サービスコードマスタ（入力シート説明）'!$F10),"あり"),"○","")</f>
        <v/>
      </c>
      <c r="AL6" s="138" t="n"/>
      <c r="AM6" s="137">
        <f>IF(EXACT(T('サービスコードマスタ（入力シート説明）'!$E10),"条件付き必須"),"○","")</f>
        <v/>
      </c>
      <c r="AN6" s="137">
        <f>IF(EXACT(T('サービスコードマスタ（入力シート説明）'!$G10),"あり"),"○","")</f>
        <v/>
      </c>
      <c r="AO6" s="137">
        <f>IF(ISBLANK('サービスコードマスタ（入力シート説明）'!$N10),"","○")</f>
        <v/>
      </c>
      <c r="AP6" s="42" t="n"/>
      <c r="AQ6" s="66">
        <f>T('サービスコードマスタ（入力シート説明）'!$H10)</f>
        <v/>
      </c>
      <c r="AR6" s="67" t="n"/>
      <c r="AS6" s="67" t="n"/>
      <c r="AT6" s="67" t="n"/>
      <c r="AU6" s="67" t="n"/>
      <c r="AV6" s="68" t="n"/>
      <c r="AW6" s="69" t="n"/>
      <c r="AX6" s="114" t="n"/>
      <c r="AY6" s="70" t="n"/>
      <c r="AZ6" s="69" t="n"/>
      <c r="BA6" s="69" t="n"/>
      <c r="BB6" s="69" t="n"/>
      <c r="BC6" s="69" t="n"/>
      <c r="BD6" s="69" t="n"/>
      <c r="BE6" s="69" t="n"/>
      <c r="BF6" s="68" t="n">
        <v>1.5</v>
      </c>
      <c r="BG6" s="112" t="n"/>
      <c r="BH6" s="137">
        <f>IF(ISBLANK('サービスコードマスタ（入力シート説明）'!$D10),"",LEN('サービスコードマスタ（入力シート説明）'!$D10))</f>
        <v/>
      </c>
      <c r="BI6" s="137">
        <f>IF(ISBLANK('サービスコードマスタ（入力シート説明）'!$D10),"",IF(ISERROR(FIND("(",'サービスコードマスタ（入力シート説明）'!$D10,1)),"",FIND("(",'サービスコードマスタ（入力シート説明）'!$D10,1)))</f>
        <v/>
      </c>
      <c r="BJ6" s="137">
        <f>IF(ISBLANK('サービスコードマスタ（入力シート説明）'!$D10),"",IF(ISERROR(FIND("(",'サービスコードマスタ（入力シート説明）'!$D10,1)),"",FIND(")",'サービスコードマスタ（入力シート説明）'!$D10,1)))</f>
        <v/>
      </c>
      <c r="BK6" s="137">
        <f>IF(ISBLANK('サービスコードマスタ（入力シート説明）'!$D10),"",IF($BL6="",0,IF($BL6=1,1,IF((IF($BI6="",$BH6,$BI6-1))=$BL6,2,3))))</f>
        <v/>
      </c>
      <c r="BL6" s="137">
        <f>IF(ISBLANK('サービスコードマスタ（入力シート説明）'!$D10),"",IF(ISERROR(FIND("～",'サービスコードマスタ（入力シート説明）'!$D10,1)),"",FIND("～",'サービスコードマスタ（入力シート説明）'!$D10,1)))</f>
        <v/>
      </c>
    </row>
    <row r="7" customFormat="1" s="4">
      <c r="A7" s="132">
        <f>ROW()-2</f>
        <v/>
      </c>
      <c r="B7" s="133">
        <f>SUBSTITUTE(ADDRESS(1,ROW()-1,2),"$1","")</f>
        <v/>
      </c>
      <c r="C7" s="134" t="n"/>
      <c r="D7" s="135">
        <f>VLOOKUP($A7,'サービスコードマスタ（入力シート説明）'!$A$7:$B$109,2,$A7)</f>
        <v/>
      </c>
      <c r="E7" s="134" t="n"/>
      <c r="F7" s="136">
        <f>$T7</f>
        <v/>
      </c>
      <c r="G7" s="42" t="n"/>
      <c r="H7" s="137">
        <f>IF(EXACT(T('サービスコードマスタ（入力シート説明）'!$E11),"必須"),"○","")</f>
        <v/>
      </c>
      <c r="I7" s="137">
        <f>IF(EXACT(T('サービスコードマスタ（入力シート説明）'!$C11),"数値"),"○","")</f>
        <v/>
      </c>
      <c r="J7" s="137">
        <f>IF(EXACT(T('サービスコードマスタ（入力シート説明）'!$C11),"電話番号"),"○","")</f>
        <v/>
      </c>
      <c r="K7" s="137">
        <f>IF(EXACT(T('サービスコードマスタ（入力シート説明）'!$C11),"郵便番号"),"○","")</f>
        <v/>
      </c>
      <c r="L7" s="137">
        <f>IF(EXACT(T('サービスコードマスタ（入力シート説明）'!$C11),"日付（スラッシュなし）"),"○","")</f>
        <v/>
      </c>
      <c r="M7" s="137">
        <f>IF(EXACT(T('サービスコードマスタ（入力シート説明）'!$C11),"半角英数"),"○","")</f>
        <v/>
      </c>
      <c r="N7" s="137">
        <f>IF(ISBLANK('サービスコードマスタ（入力シート説明）'!$D11),"", IF(ISERROR(FIND("～", 'サービスコードマスタ（入力シート説明）'!$D11, 1)), "", IF(EXACT('サービスコードマスタ（入力シート説明）'!$D11,"～"), "", IF(LEN(LEFT('サービスコードマスタ（入力シート説明）'!$D11, FIND("～", 'サービスコードマスタ（入力シート説明）'!$D11, 1) - 1)) &gt;= 1, LEFT('サービスコードマスタ（入力シート説明）'!$D11, FIND("～", 'サービスコードマスタ（入力シート説明）'!$D11, 1) - 1), ""))))</f>
        <v/>
      </c>
      <c r="O7" s="137">
        <f>IF(T7&lt;&gt;"","",IF(OR('サービスコードマスタ（入力シート説明）'!C11="全半角",'サービスコードマスタ（入力シート説明）'!C11="全角",'サービスコードマスタ（入力シート説明）'!C11="全角英数",'サービスコードマスタ（入力シート説明）'!C11="全半角英数カナ",'サービスコードマスタ（入力シート説明）'!C11="全角英数カナ",'サービスコードマスタ（入力シート説明）'!C11="全角カナ",'サービスコードマスタ（入力シート説明）'!C11="半角カナ",'サービスコードマスタ（入力シート説明）'!C11="全銀協"),IF(OR(P7&lt;&gt;"",Q7&lt;&gt;""),TRUNC(IF(P7="",Q7/BF7,P7/BF7),0),""),IF(OR(P7&lt;&gt;"",Q7&lt;&gt;""),IF(P7="",Q7,P7),"")))</f>
        <v/>
      </c>
      <c r="P7" s="137">
        <f>IF(ISBLANK('サービスコードマスタ（入力シート説明）'!$D11),"",IF($BK7=0,"",IF(OR($BK7=1,$BK7=3),MID('サービスコードマスタ（入力シート説明）'!$D11,$BL7+1,IF($BI7="",$BH7,$BI7-1)-$BL7)*IF($BG7&lt;&gt;"",$BF7,1),"")))</f>
        <v/>
      </c>
      <c r="Q7" s="137">
        <f>IF(ISBLANK('サービスコードマスタ（入力シート説明）'!$D11), "", IF($BK7=0, IF($BI7="",'サービスコードマスタ（入力シート説明）'!$D11,LEFT('サービスコードマスタ（入力シート説明）'!$D11,$BI7-1))*IF(BG7&lt;&gt;"",BF7,1),""))</f>
        <v/>
      </c>
      <c r="R7" s="137">
        <f>IF(EXACT(T('サービスコードマスタ（入力シート説明）'!$C11),"全角"),"○","")</f>
        <v/>
      </c>
      <c r="S7" s="137">
        <f>IF(EXACT(T('サービスコードマスタ（入力シート説明）'!$C11),"全角カナ"),"○","")</f>
        <v/>
      </c>
      <c r="T7" s="136">
        <f>IF(ISBLANK('サービスコードマスタ（入力シート説明）'!$L11),"",IF(ISERROR(FIND("～",'サービスコードマスタ（入力シート説明）'!$L11,1)), 'サービスコードマスタ（入力シート説明）'!$L11, ""))</f>
        <v/>
      </c>
      <c r="U7" s="137">
        <f>IF(ISBLANK('サービスコードマスタ（入力シート説明）'!$L11),"",IF(ISERROR(FIND("～",'サービスコードマスタ（入力シート説明）'!$L11,1)), "", 'サービスコードマスタ（入力シート説明）'!$L11))</f>
        <v/>
      </c>
      <c r="V7" s="137">
        <f>IF(EXACT(T('サービスコードマスタ（入力シート説明）'!$I11),"あり"),"○","")</f>
        <v/>
      </c>
      <c r="W7" s="137">
        <f>IF(EXACT(T('サービスコードマスタ（入力シート説明）'!$C11),"全銀協"),"○","")</f>
        <v/>
      </c>
      <c r="X7" s="137">
        <f>IF(EXACT(T('サービスコードマスタ（入力シート説明）'!$C11),"事業所コード"),"○","")</f>
        <v/>
      </c>
      <c r="Y7" s="137">
        <f>IF(EXACT(T('サービスコードマスタ（入力シート説明）'!$C11),"半角英数大文字・半角スペース"),"○","")</f>
        <v/>
      </c>
      <c r="Z7" s="137">
        <f>IF(EXACT(T('サービスコードマスタ（入力シート説明）'!$C11),"半角英数・半角ハイフン"),"○","")</f>
        <v/>
      </c>
      <c r="AA7" s="137">
        <f>IF(EXACT(T('サービスコードマスタ（入力シート説明）'!$C11),"全角英数カナ"),"○","")</f>
        <v/>
      </c>
      <c r="AB7" s="137">
        <f>IF(EXACT(T('サービスコードマスタ（入力シート説明）'!$C11),"半角英数カナ"),"○","")</f>
        <v/>
      </c>
      <c r="AC7" s="137">
        <f>IF(EXACT(T('サービスコードマスタ（入力シート説明）'!$C11),"全半角英数カナ"),"○","")</f>
        <v/>
      </c>
      <c r="AD7" s="137">
        <f>IF(EXACT(T('サービスコードマスタ（入力シート説明）'!$C11),"通貨"),"○","")</f>
        <v/>
      </c>
      <c r="AE7" s="137">
        <f>IF(EXACT(T('サービスコードマスタ（入力シート説明）'!$C11),"半角"),"○","")</f>
        <v/>
      </c>
      <c r="AF7" s="137">
        <f>IF(EXACT(T('サービスコードマスタ（入力シート説明）'!$C11),"半角カナ"),"○","")</f>
        <v/>
      </c>
      <c r="AG7" s="137">
        <f>IF(EXACT(T('サービスコードマスタ（入力シート説明）'!$C11),"半角英数・半角アンダーバー"),"○","")</f>
        <v/>
      </c>
      <c r="AH7" s="137">
        <f>IF(EXACT(T('サービスコードマスタ（入力シート説明）'!$C11),"日付（スラッシュあり）"),"○","")</f>
        <v/>
      </c>
      <c r="AI7" s="137">
        <f>IF(EXACT(T('サービスコードマスタ（入力シート説明）'!$C11),"全角英数"),"○","")</f>
        <v/>
      </c>
      <c r="AJ7" s="137">
        <f>IF(ISBLANK('サービスコードマスタ（入力シート説明）'!$D11),"",IF(ISERROR(FIND("(", 'サービスコードマスタ（入力シート説明）'!$D11, 1)),"",MID('サービスコードマスタ（入力シート説明）'!$D11,$BI7+1,$BJ7-$BI7-1)))</f>
        <v/>
      </c>
      <c r="AK7" s="137">
        <f>IF(EXACT(T('サービスコードマスタ（入力シート説明）'!$F11),"あり"),"○","")</f>
        <v/>
      </c>
      <c r="AL7" s="138" t="n"/>
      <c r="AM7" s="137">
        <f>IF(EXACT(T('サービスコードマスタ（入力シート説明）'!$E11),"条件付き必須"),"○","")</f>
        <v/>
      </c>
      <c r="AN7" s="137">
        <f>IF(EXACT(T('サービスコードマスタ（入力シート説明）'!$G11),"あり"),"○","")</f>
        <v/>
      </c>
      <c r="AO7" s="137">
        <f>IF(ISBLANK('サービスコードマスタ（入力シート説明）'!$N11),"","○")</f>
        <v/>
      </c>
      <c r="AP7" s="42" t="n"/>
      <c r="AQ7" s="66">
        <f>T('サービスコードマスタ（入力シート説明）'!$H11)</f>
        <v/>
      </c>
      <c r="AR7" s="67" t="n"/>
      <c r="AS7" s="67" t="n"/>
      <c r="AT7" s="67" t="n"/>
      <c r="AU7" s="67" t="n"/>
      <c r="AV7" s="68" t="n"/>
      <c r="AW7" s="69" t="n"/>
      <c r="AX7" s="114" t="n"/>
      <c r="AY7" s="70" t="n"/>
      <c r="AZ7" s="114" t="inlineStr">
        <is>
          <t>=IF(EXACT($E7,"Y"),LEN($F7)&gt;0,TRUE)</t>
        </is>
      </c>
      <c r="BA7" s="69" t="n"/>
      <c r="BB7" s="69" t="n"/>
      <c r="BC7" s="69" t="n"/>
      <c r="BD7" s="69" t="n"/>
      <c r="BE7" s="69" t="n"/>
      <c r="BF7" s="68" t="n">
        <v>1.5</v>
      </c>
      <c r="BG7" s="112" t="n"/>
      <c r="BH7" s="137">
        <f>IF(ISBLANK('サービスコードマスタ（入力シート説明）'!$D11),"",LEN('サービスコードマスタ（入力シート説明）'!$D11))</f>
        <v/>
      </c>
      <c r="BI7" s="137">
        <f>IF(ISBLANK('サービスコードマスタ（入力シート説明）'!$D11),"",IF(ISERROR(FIND("(",'サービスコードマスタ（入力シート説明）'!$D11,1)),"",FIND("(",'サービスコードマスタ（入力シート説明）'!$D11,1)))</f>
        <v/>
      </c>
      <c r="BJ7" s="137">
        <f>IF(ISBLANK('サービスコードマスタ（入力シート説明）'!$D11),"",IF(ISERROR(FIND("(",'サービスコードマスタ（入力シート説明）'!$D11,1)),"",FIND(")",'サービスコードマスタ（入力シート説明）'!$D11,1)))</f>
        <v/>
      </c>
      <c r="BK7" s="137">
        <f>IF(ISBLANK('サービスコードマスタ（入力シート説明）'!$D11),"",IF($BL7="",0,IF($BL7=1,1,IF((IF($BI7="",$BH7,$BI7-1))=$BL7,2,3))))</f>
        <v/>
      </c>
      <c r="BL7" s="137">
        <f>IF(ISBLANK('サービスコードマスタ（入力シート説明）'!$D11),"",IF(ISERROR(FIND("～",'サービスコードマスタ（入力シート説明）'!$D11,1)),"",FIND("～",'サービスコードマスタ（入力シート説明）'!$D11,1)))</f>
        <v/>
      </c>
    </row>
    <row r="8" customFormat="1" s="4">
      <c r="A8" s="132">
        <f>ROW()-2</f>
        <v/>
      </c>
      <c r="B8" s="133">
        <f>SUBSTITUTE(ADDRESS(1,ROW()-1,2),"$1","")</f>
        <v/>
      </c>
      <c r="C8" s="134" t="n"/>
      <c r="D8" s="135">
        <f>VLOOKUP($A8,'サービスコードマスタ（入力シート説明）'!$A$7:$B$109,2,$A8)</f>
        <v/>
      </c>
      <c r="E8" s="134" t="n"/>
      <c r="F8" s="136">
        <f>$T8</f>
        <v/>
      </c>
      <c r="G8" s="42" t="n"/>
      <c r="H8" s="137">
        <f>IF(EXACT(T('サービスコードマスタ（入力シート説明）'!$E12),"必須"),"○","")</f>
        <v/>
      </c>
      <c r="I8" s="137">
        <f>IF(EXACT(T('サービスコードマスタ（入力シート説明）'!$C12),"数値"),"○","")</f>
        <v/>
      </c>
      <c r="J8" s="137">
        <f>IF(EXACT(T('サービスコードマスタ（入力シート説明）'!$C12),"電話番号"),"○","")</f>
        <v/>
      </c>
      <c r="K8" s="137">
        <f>IF(EXACT(T('サービスコードマスタ（入力シート説明）'!$C12),"郵便番号"),"○","")</f>
        <v/>
      </c>
      <c r="L8" s="137">
        <f>IF(EXACT(T('サービスコードマスタ（入力シート説明）'!$C12),"日付（スラッシュなし）"),"○","")</f>
        <v/>
      </c>
      <c r="M8" s="137">
        <f>IF(EXACT(T('サービスコードマスタ（入力シート説明）'!$C12),"半角英数"),"○","")</f>
        <v/>
      </c>
      <c r="N8" s="137">
        <f>IF(ISBLANK('サービスコードマスタ（入力シート説明）'!$D12),"", IF(ISERROR(FIND("～", 'サービスコードマスタ（入力シート説明）'!$D12, 1)), "", IF(EXACT('サービスコードマスタ（入力シート説明）'!$D12,"～"), "", IF(LEN(LEFT('サービスコードマスタ（入力シート説明）'!$D12, FIND("～", 'サービスコードマスタ（入力シート説明）'!$D12, 1) - 1)) &gt;= 1, LEFT('サービスコードマスタ（入力シート説明）'!$D12, FIND("～", 'サービスコードマスタ（入力シート説明）'!$D12, 1) - 1), ""))))</f>
        <v/>
      </c>
      <c r="O8" s="137">
        <f>IF(T8&lt;&gt;"","",IF(OR('サービスコードマスタ（入力シート説明）'!C12="全半角",'サービスコードマスタ（入力シート説明）'!C12="全角",'サービスコードマスタ（入力シート説明）'!C12="全角英数",'サービスコードマスタ（入力シート説明）'!C12="全半角英数カナ",'サービスコードマスタ（入力シート説明）'!C12="全角英数カナ",'サービスコードマスタ（入力シート説明）'!C12="全角カナ",'サービスコードマスタ（入力シート説明）'!C12="半角カナ",'サービスコードマスタ（入力シート説明）'!C12="全銀協"),IF(OR(P8&lt;&gt;"",Q8&lt;&gt;""),TRUNC(IF(P8="",Q8/BF8,P8/BF8),0),""),IF(OR(P8&lt;&gt;"",Q8&lt;&gt;""),IF(P8="",Q8,P8),"")))</f>
        <v/>
      </c>
      <c r="P8" s="137">
        <f>IF(ISBLANK('サービスコードマスタ（入力シート説明）'!$D12),"",IF($BK8=0,"",IF(OR($BK8=1,$BK8=3),MID('サービスコードマスタ（入力シート説明）'!$D12,$BL8+1,IF($BI8="",$BH8,$BI8-1)-$BL8)*IF($BG8&lt;&gt;"",$BF8,1),"")))</f>
        <v/>
      </c>
      <c r="Q8" s="137">
        <f>IF(ISBLANK('サービスコードマスタ（入力シート説明）'!$D12), "", IF($BK8=0, IF($BI8="",'サービスコードマスタ（入力シート説明）'!$D12,LEFT('サービスコードマスタ（入力シート説明）'!$D12,$BI8-1))*IF(BG8&lt;&gt;"",BF8,1),""))</f>
        <v/>
      </c>
      <c r="R8" s="137">
        <f>IF(EXACT(T('サービスコードマスタ（入力シート説明）'!$C12),"全角"),"○","")</f>
        <v/>
      </c>
      <c r="S8" s="137">
        <f>IF(EXACT(T('サービスコードマスタ（入力シート説明）'!$C12),"全角カナ"),"○","")</f>
        <v/>
      </c>
      <c r="T8" s="136">
        <f>IF(ISBLANK('サービスコードマスタ（入力シート説明）'!$L12),"",IF(ISERROR(FIND("～",'サービスコードマスタ（入力シート説明）'!$L12,1)), 'サービスコードマスタ（入力シート説明）'!$L12, ""))</f>
        <v/>
      </c>
      <c r="U8" s="137">
        <f>IF(ISBLANK('サービスコードマスタ（入力シート説明）'!$L12),"",IF(ISERROR(FIND("～",'サービスコードマスタ（入力シート説明）'!$L12,1)), "", 'サービスコードマスタ（入力シート説明）'!$L12))</f>
        <v/>
      </c>
      <c r="V8" s="137">
        <f>IF(EXACT(T('サービスコードマスタ（入力シート説明）'!$I12),"あり"),"○","")</f>
        <v/>
      </c>
      <c r="W8" s="137">
        <f>IF(EXACT(T('サービスコードマスタ（入力シート説明）'!$C12),"全銀協"),"○","")</f>
        <v/>
      </c>
      <c r="X8" s="137">
        <f>IF(EXACT(T('サービスコードマスタ（入力シート説明）'!$C12),"事業所コード"),"○","")</f>
        <v/>
      </c>
      <c r="Y8" s="137">
        <f>IF(EXACT(T('サービスコードマスタ（入力シート説明）'!$C12),"半角英数大文字・半角スペース"),"○","")</f>
        <v/>
      </c>
      <c r="Z8" s="137">
        <f>IF(EXACT(T('サービスコードマスタ（入力シート説明）'!$C12),"半角英数・半角ハイフン"),"○","")</f>
        <v/>
      </c>
      <c r="AA8" s="137">
        <f>IF(EXACT(T('サービスコードマスタ（入力シート説明）'!$C12),"全角英数カナ"),"○","")</f>
        <v/>
      </c>
      <c r="AB8" s="137">
        <f>IF(EXACT(T('サービスコードマスタ（入力シート説明）'!$C12),"半角英数カナ"),"○","")</f>
        <v/>
      </c>
      <c r="AC8" s="137">
        <f>IF(EXACT(T('サービスコードマスタ（入力シート説明）'!$C12),"全半角英数カナ"),"○","")</f>
        <v/>
      </c>
      <c r="AD8" s="137">
        <f>IF(EXACT(T('サービスコードマスタ（入力シート説明）'!$C12),"通貨"),"○","")</f>
        <v/>
      </c>
      <c r="AE8" s="137">
        <f>IF(EXACT(T('サービスコードマスタ（入力シート説明）'!$C12),"半角"),"○","")</f>
        <v/>
      </c>
      <c r="AF8" s="137">
        <f>IF(EXACT(T('サービスコードマスタ（入力シート説明）'!$C12),"半角カナ"),"○","")</f>
        <v/>
      </c>
      <c r="AG8" s="137">
        <f>IF(EXACT(T('サービスコードマスタ（入力シート説明）'!$C12),"半角英数・半角アンダーバー"),"○","")</f>
        <v/>
      </c>
      <c r="AH8" s="137">
        <f>IF(EXACT(T('サービスコードマスタ（入力シート説明）'!$C12),"日付（スラッシュあり）"),"○","")</f>
        <v/>
      </c>
      <c r="AI8" s="137">
        <f>IF(EXACT(T('サービスコードマスタ（入力シート説明）'!$C12),"全角英数"),"○","")</f>
        <v/>
      </c>
      <c r="AJ8" s="137">
        <f>IF(ISBLANK('サービスコードマスタ（入力シート説明）'!$D12),"",IF(ISERROR(FIND("(", 'サービスコードマスタ（入力シート説明）'!$D12, 1)),"",MID('サービスコードマスタ（入力シート説明）'!$D12,$BI8+1,$BJ8-$BI8-1)))</f>
        <v/>
      </c>
      <c r="AK8" s="137">
        <f>IF(EXACT(T('サービスコードマスタ（入力シート説明）'!$F12),"あり"),"○","")</f>
        <v/>
      </c>
      <c r="AL8" s="138" t="n"/>
      <c r="AM8" s="137">
        <f>IF(EXACT(T('サービスコードマスタ（入力シート説明）'!$E12),"条件付き必須"),"○","")</f>
        <v/>
      </c>
      <c r="AN8" s="137">
        <f>IF(EXACT(T('サービスコードマスタ（入力シート説明）'!$G12),"あり"),"○","")</f>
        <v/>
      </c>
      <c r="AO8" s="137">
        <f>IF(ISBLANK('サービスコードマスタ（入力シート説明）'!$N12),"","○")</f>
        <v/>
      </c>
      <c r="AP8" s="42" t="n"/>
      <c r="AQ8" s="66">
        <f>T('サービスコードマスタ（入力シート説明）'!$H12)</f>
        <v/>
      </c>
      <c r="AR8" s="67" t="n"/>
      <c r="AS8" s="67" t="n"/>
      <c r="AT8" s="67" t="n"/>
      <c r="AU8" s="67" t="n"/>
      <c r="AV8" s="68" t="n"/>
      <c r="AW8" s="69" t="n"/>
      <c r="AX8" s="114" t="n"/>
      <c r="AY8" s="70" t="n"/>
      <c r="AZ8" s="69" t="n"/>
      <c r="BA8" s="69" t="n"/>
      <c r="BB8" s="69" t="n"/>
      <c r="BC8" s="114" t="inlineStr">
        <is>
          <t>=IF(ISERR(IF(LEN($F7) &lt;= 0, TRUE, IF(LEN($G7) &lt;= 0, TRUE, $F7 &lt;= $G7))), FALSE, IF(LEN($F7) &lt;= 0, TRUE, IF(LEN($G7) &lt;= 0, TRUE, $F7 &lt;= $G7)))</t>
        </is>
      </c>
      <c r="BD8" s="69" t="n"/>
      <c r="BE8" s="69" t="n"/>
      <c r="BF8" s="68" t="n">
        <v>1.5</v>
      </c>
      <c r="BG8" s="112" t="n"/>
      <c r="BH8" s="137">
        <f>IF(ISBLANK('サービスコードマスタ（入力シート説明）'!$D12),"",LEN('サービスコードマスタ（入力シート説明）'!$D12))</f>
        <v/>
      </c>
      <c r="BI8" s="137">
        <f>IF(ISBLANK('サービスコードマスタ（入力シート説明）'!$D12),"",IF(ISERROR(FIND("(",'サービスコードマスタ（入力シート説明）'!$D12,1)),"",FIND("(",'サービスコードマスタ（入力シート説明）'!$D12,1)))</f>
        <v/>
      </c>
      <c r="BJ8" s="137">
        <f>IF(ISBLANK('サービスコードマスタ（入力シート説明）'!$D12),"",IF(ISERROR(FIND("(",'サービスコードマスタ（入力シート説明）'!$D12,1)),"",FIND(")",'サービスコードマスタ（入力シート説明）'!$D12,1)))</f>
        <v/>
      </c>
      <c r="BK8" s="137">
        <f>IF(ISBLANK('サービスコードマスタ（入力シート説明）'!$D12),"",IF($BL8="",0,IF($BL8=1,1,IF((IF($BI8="",$BH8,$BI8-1))=$BL8,2,3))))</f>
        <v/>
      </c>
      <c r="BL8" s="137">
        <f>IF(ISBLANK('サービスコードマスタ（入力シート説明）'!$D12),"",IF(ISERROR(FIND("～",'サービスコードマスタ（入力シート説明）'!$D12,1)),"",FIND("～",'サービスコードマスタ（入力シート説明）'!$D12,1)))</f>
        <v/>
      </c>
    </row>
    <row r="9" customFormat="1" s="4">
      <c r="A9" s="132">
        <f>ROW()-2</f>
        <v/>
      </c>
      <c r="B9" s="133">
        <f>SUBSTITUTE(ADDRESS(1,ROW()-1,2),"$1","")</f>
        <v/>
      </c>
      <c r="C9" s="134" t="n"/>
      <c r="D9" s="135">
        <f>VLOOKUP($A9,'サービスコードマスタ（入力シート説明）'!$A$7:$B$109,2,$A9)</f>
        <v/>
      </c>
      <c r="E9" s="134" t="n"/>
      <c r="F9" s="136">
        <f>$T9</f>
        <v/>
      </c>
      <c r="G9" s="42" t="n"/>
      <c r="H9" s="137">
        <f>IF(EXACT(T('サービスコードマスタ（入力シート説明）'!$E13),"必須"),"○","")</f>
        <v/>
      </c>
      <c r="I9" s="137">
        <f>IF(EXACT(T('サービスコードマスタ（入力シート説明）'!$C13),"数値"),"○","")</f>
        <v/>
      </c>
      <c r="J9" s="137">
        <f>IF(EXACT(T('サービスコードマスタ（入力シート説明）'!$C13),"電話番号"),"○","")</f>
        <v/>
      </c>
      <c r="K9" s="137">
        <f>IF(EXACT(T('サービスコードマスタ（入力シート説明）'!$C13),"郵便番号"),"○","")</f>
        <v/>
      </c>
      <c r="L9" s="137">
        <f>IF(EXACT(T('サービスコードマスタ（入力シート説明）'!$C13),"日付（スラッシュなし）"),"○","")</f>
        <v/>
      </c>
      <c r="M9" s="137">
        <f>IF(EXACT(T('サービスコードマスタ（入力シート説明）'!$C13),"半角英数"),"○","")</f>
        <v/>
      </c>
      <c r="N9" s="137">
        <f>IF(ISBLANK('サービスコードマスタ（入力シート説明）'!$D13),"", IF(ISERROR(FIND("～", 'サービスコードマスタ（入力シート説明）'!$D13, 1)), "", IF(EXACT('サービスコードマスタ（入力シート説明）'!$D13,"～"), "", IF(LEN(LEFT('サービスコードマスタ（入力シート説明）'!$D13, FIND("～", 'サービスコードマスタ（入力シート説明）'!$D13, 1) - 1)) &gt;= 1, LEFT('サービスコードマスタ（入力シート説明）'!$D13, FIND("～", 'サービスコードマスタ（入力シート説明）'!$D13, 1) - 1), ""))))</f>
        <v/>
      </c>
      <c r="O9" s="137">
        <f>IF(T9&lt;&gt;"","",IF(OR('サービスコードマスタ（入力シート説明）'!C13="全半角",'サービスコードマスタ（入力シート説明）'!C13="全角",'サービスコードマスタ（入力シート説明）'!C13="全角英数",'サービスコードマスタ（入力シート説明）'!C13="全半角英数カナ",'サービスコードマスタ（入力シート説明）'!C13="全角英数カナ",'サービスコードマスタ（入力シート説明）'!C13="全角カナ",'サービスコードマスタ（入力シート説明）'!C13="半角カナ",'サービスコードマスタ（入力シート説明）'!C13="全銀協"),IF(OR(P9&lt;&gt;"",Q9&lt;&gt;""),TRUNC(IF(P9="",Q9/BF9,P9/BF9),0),""),IF(OR(P9&lt;&gt;"",Q9&lt;&gt;""),IF(P9="",Q9,P9),"")))</f>
        <v/>
      </c>
      <c r="P9" s="137">
        <f>IF(ISBLANK('サービスコードマスタ（入力シート説明）'!$D13),"",IF($BK9=0,"",IF(OR($BK9=1,$BK9=3),MID('サービスコードマスタ（入力シート説明）'!$D13,$BL9+1,IF($BI9="",$BH9,$BI9-1)-$BL9)*IF($BG9&lt;&gt;"",$BF9,1),"")))</f>
        <v/>
      </c>
      <c r="Q9" s="137">
        <f>IF(ISBLANK('サービスコードマスタ（入力シート説明）'!$D13), "", IF($BK9=0, IF($BI9="",'サービスコードマスタ（入力シート説明）'!$D13,LEFT('サービスコードマスタ（入力シート説明）'!$D13,$BI9-1))*IF(BG9&lt;&gt;"",BF9,1),""))</f>
        <v/>
      </c>
      <c r="R9" s="137">
        <f>IF(EXACT(T('サービスコードマスタ（入力シート説明）'!$C13),"全角"),"○","")</f>
        <v/>
      </c>
      <c r="S9" s="137">
        <f>IF(EXACT(T('サービスコードマスタ（入力シート説明）'!$C13),"全角カナ"),"○","")</f>
        <v/>
      </c>
      <c r="T9" s="136">
        <f>IF(ISBLANK('サービスコードマスタ（入力シート説明）'!$L13),"",IF(ISERROR(FIND("～",'サービスコードマスタ（入力シート説明）'!$L13,1)), 'サービスコードマスタ（入力シート説明）'!$L13, ""))</f>
        <v/>
      </c>
      <c r="U9" s="137">
        <f>IF(ISBLANK('サービスコードマスタ（入力シート説明）'!$L13),"",IF(ISERROR(FIND("～",'サービスコードマスタ（入力シート説明）'!$L13,1)), "", 'サービスコードマスタ（入力シート説明）'!$L13))</f>
        <v/>
      </c>
      <c r="V9" s="137">
        <f>IF(EXACT(T('サービスコードマスタ（入力シート説明）'!$I13),"あり"),"○","")</f>
        <v/>
      </c>
      <c r="W9" s="137">
        <f>IF(EXACT(T('サービスコードマスタ（入力シート説明）'!$C13),"全銀協"),"○","")</f>
        <v/>
      </c>
      <c r="X9" s="137">
        <f>IF(EXACT(T('サービスコードマスタ（入力シート説明）'!$C13),"事業所コード"),"○","")</f>
        <v/>
      </c>
      <c r="Y9" s="137">
        <f>IF(EXACT(T('サービスコードマスタ（入力シート説明）'!$C13),"半角英数大文字・半角スペース"),"○","")</f>
        <v/>
      </c>
      <c r="Z9" s="137">
        <f>IF(EXACT(T('サービスコードマスタ（入力シート説明）'!$C13),"半角英数・半角ハイフン"),"○","")</f>
        <v/>
      </c>
      <c r="AA9" s="137">
        <f>IF(EXACT(T('サービスコードマスタ（入力シート説明）'!$C13),"全角英数カナ"),"○","")</f>
        <v/>
      </c>
      <c r="AB9" s="137">
        <f>IF(EXACT(T('サービスコードマスタ（入力シート説明）'!$C13),"半角英数カナ"),"○","")</f>
        <v/>
      </c>
      <c r="AC9" s="137">
        <f>IF(EXACT(T('サービスコードマスタ（入力シート説明）'!$C13),"全半角英数カナ"),"○","")</f>
        <v/>
      </c>
      <c r="AD9" s="137">
        <f>IF(EXACT(T('サービスコードマスタ（入力シート説明）'!$C13),"通貨"),"○","")</f>
        <v/>
      </c>
      <c r="AE9" s="137">
        <f>IF(EXACT(T('サービスコードマスタ（入力シート説明）'!$C13),"半角"),"○","")</f>
        <v/>
      </c>
      <c r="AF9" s="137">
        <f>IF(EXACT(T('サービスコードマスタ（入力シート説明）'!$C13),"半角カナ"),"○","")</f>
        <v/>
      </c>
      <c r="AG9" s="137">
        <f>IF(EXACT(T('サービスコードマスタ（入力シート説明）'!$C13),"半角英数・半角アンダーバー"),"○","")</f>
        <v/>
      </c>
      <c r="AH9" s="137">
        <f>IF(EXACT(T('サービスコードマスタ（入力シート説明）'!$C13),"日付（スラッシュあり）"),"○","")</f>
        <v/>
      </c>
      <c r="AI9" s="137">
        <f>IF(EXACT(T('サービスコードマスタ（入力シート説明）'!$C13),"全角英数"),"○","")</f>
        <v/>
      </c>
      <c r="AJ9" s="137">
        <f>IF(ISBLANK('サービスコードマスタ（入力シート説明）'!$D13),"",IF(ISERROR(FIND("(", 'サービスコードマスタ（入力シート説明）'!$D13, 1)),"",MID('サービスコードマスタ（入力シート説明）'!$D13,$BI9+1,$BJ9-$BI9-1)))</f>
        <v/>
      </c>
      <c r="AK9" s="137">
        <f>IF(EXACT(T('サービスコードマスタ（入力シート説明）'!$F13),"あり"),"○","")</f>
        <v/>
      </c>
      <c r="AL9" s="138" t="n"/>
      <c r="AM9" s="137">
        <f>IF(EXACT(T('サービスコードマスタ（入力シート説明）'!$E13),"条件付き必須"),"○","")</f>
        <v/>
      </c>
      <c r="AN9" s="137">
        <f>IF(EXACT(T('サービスコードマスタ（入力シート説明）'!$G13),"あり"),"○","")</f>
        <v/>
      </c>
      <c r="AO9" s="137">
        <f>IF(ISBLANK('サービスコードマスタ（入力シート説明）'!$N13),"","○")</f>
        <v/>
      </c>
      <c r="AP9" s="42" t="n"/>
      <c r="AQ9" s="66">
        <f>T('サービスコードマスタ（入力シート説明）'!$H13)</f>
        <v/>
      </c>
      <c r="AR9" s="67" t="n"/>
      <c r="AS9" s="67" t="n"/>
      <c r="AT9" s="67" t="n"/>
      <c r="AU9" s="67" t="n"/>
      <c r="AV9" s="68" t="n"/>
      <c r="AW9" s="69" t="n"/>
      <c r="AX9" s="114" t="n"/>
      <c r="AY9" s="70" t="n"/>
      <c r="AZ9" s="69" t="n"/>
      <c r="BA9" s="69" t="n"/>
      <c r="BB9" s="69" t="n"/>
      <c r="BC9" s="69" t="n"/>
      <c r="BD9" s="69" t="n"/>
      <c r="BE9" s="69" t="n"/>
      <c r="BF9" s="68" t="n">
        <v>1.5</v>
      </c>
      <c r="BG9" s="112" t="n"/>
      <c r="BH9" s="137">
        <f>IF(ISBLANK('サービスコードマスタ（入力シート説明）'!$D13),"",LEN('サービスコードマスタ（入力シート説明）'!$D13))</f>
        <v/>
      </c>
      <c r="BI9" s="137">
        <f>IF(ISBLANK('サービスコードマスタ（入力シート説明）'!$D13),"",IF(ISERROR(FIND("(",'サービスコードマスタ（入力シート説明）'!$D13,1)),"",FIND("(",'サービスコードマスタ（入力シート説明）'!$D13,1)))</f>
        <v/>
      </c>
      <c r="BJ9" s="137">
        <f>IF(ISBLANK('サービスコードマスタ（入力シート説明）'!$D13),"",IF(ISERROR(FIND("(",'サービスコードマスタ（入力シート説明）'!$D13,1)),"",FIND(")",'サービスコードマスタ（入力シート説明）'!$D13,1)))</f>
        <v/>
      </c>
      <c r="BK9" s="137">
        <f>IF(ISBLANK('サービスコードマスタ（入力シート説明）'!$D13),"",IF($BL9="",0,IF($BL9=1,1,IF((IF($BI9="",$BH9,$BI9-1))=$BL9,2,3))))</f>
        <v/>
      </c>
      <c r="BL9" s="137">
        <f>IF(ISBLANK('サービスコードマスタ（入力シート説明）'!$D13),"",IF(ISERROR(FIND("～",'サービスコードマスタ（入力シート説明）'!$D13,1)),"",FIND("～",'サービスコードマスタ（入力シート説明）'!$D13,1)))</f>
        <v/>
      </c>
    </row>
    <row r="10" customFormat="1" s="4">
      <c r="A10" s="132">
        <f>ROW()-2</f>
        <v/>
      </c>
      <c r="B10" s="133">
        <f>SUBSTITUTE(ADDRESS(1,ROW()-1,2),"$1","")</f>
        <v/>
      </c>
      <c r="C10" s="134" t="n"/>
      <c r="D10" s="135">
        <f>VLOOKUP($A10,'サービスコードマスタ（入力シート説明）'!$A$7:$B$109,2,$A10)</f>
        <v/>
      </c>
      <c r="E10" s="134" t="n"/>
      <c r="F10" s="136">
        <f>$T10</f>
        <v/>
      </c>
      <c r="G10" s="42" t="n"/>
      <c r="H10" s="137">
        <f>IF(EXACT(T('サービスコードマスタ（入力シート説明）'!$E14),"必須"),"○","")</f>
        <v/>
      </c>
      <c r="I10" s="137">
        <f>IF(EXACT(T('サービスコードマスタ（入力シート説明）'!$C14),"数値"),"○","")</f>
        <v/>
      </c>
      <c r="J10" s="137">
        <f>IF(EXACT(T('サービスコードマスタ（入力シート説明）'!$C14),"電話番号"),"○","")</f>
        <v/>
      </c>
      <c r="K10" s="137">
        <f>IF(EXACT(T('サービスコードマスタ（入力シート説明）'!$C14),"郵便番号"),"○","")</f>
        <v/>
      </c>
      <c r="L10" s="137">
        <f>IF(EXACT(T('サービスコードマスタ（入力シート説明）'!$C14),"日付（スラッシュなし）"),"○","")</f>
        <v/>
      </c>
      <c r="M10" s="137">
        <f>IF(EXACT(T('サービスコードマスタ（入力シート説明）'!$C14),"半角英数"),"○","")</f>
        <v/>
      </c>
      <c r="N10" s="137">
        <f>IF(ISBLANK('サービスコードマスタ（入力シート説明）'!$D14),"", IF(ISERROR(FIND("～", 'サービスコードマスタ（入力シート説明）'!$D14, 1)), "", IF(EXACT('サービスコードマスタ（入力シート説明）'!$D14,"～"), "", IF(LEN(LEFT('サービスコードマスタ（入力シート説明）'!$D14, FIND("～", 'サービスコードマスタ（入力シート説明）'!$D14, 1) - 1)) &gt;= 1, LEFT('サービスコードマスタ（入力シート説明）'!$D14, FIND("～", 'サービスコードマスタ（入力シート説明）'!$D14, 1) - 1), ""))))</f>
        <v/>
      </c>
      <c r="O10" s="137">
        <f>IF(T10&lt;&gt;"","",IF(OR('サービスコードマスタ（入力シート説明）'!C14="全半角",'サービスコードマスタ（入力シート説明）'!C14="全角",'サービスコードマスタ（入力シート説明）'!C14="全角英数",'サービスコードマスタ（入力シート説明）'!C14="全半角英数カナ",'サービスコードマスタ（入力シート説明）'!C14="全角英数カナ",'サービスコードマスタ（入力シート説明）'!C14="全角カナ",'サービスコードマスタ（入力シート説明）'!C14="半角カナ",'サービスコードマスタ（入力シート説明）'!C14="全銀協"),IF(OR(P10&lt;&gt;"",Q10&lt;&gt;""),TRUNC(IF(P10="",Q10/BF10,P10/BF10),0),""),IF(OR(P10&lt;&gt;"",Q10&lt;&gt;""),IF(P10="",Q10,P10),"")))</f>
        <v/>
      </c>
      <c r="P10" s="137">
        <f>IF(ISBLANK('サービスコードマスタ（入力シート説明）'!$D14),"",IF($BK10=0,"",IF(OR($BK10=1,$BK10=3),MID('サービスコードマスタ（入力シート説明）'!$D14,$BL10+1,IF($BI10="",$BH10,$BI10-1)-$BL10)*IF($BG10&lt;&gt;"",$BF10,1),"")))</f>
        <v/>
      </c>
      <c r="Q10" s="137">
        <f>IF(ISBLANK('サービスコードマスタ（入力シート説明）'!$D14), "", IF($BK10=0, IF($BI10="",'サービスコードマスタ（入力シート説明）'!$D14,LEFT('サービスコードマスタ（入力シート説明）'!$D14,$BI10-1))*IF(BG10&lt;&gt;"",BF10,1),""))</f>
        <v/>
      </c>
      <c r="R10" s="137">
        <f>IF(EXACT(T('サービスコードマスタ（入力シート説明）'!$C14),"全角"),"○","")</f>
        <v/>
      </c>
      <c r="S10" s="137">
        <f>IF(EXACT(T('サービスコードマスタ（入力シート説明）'!$C14),"全角カナ"),"○","")</f>
        <v/>
      </c>
      <c r="T10" s="136">
        <f>IF(ISBLANK('サービスコードマスタ（入力シート説明）'!$L14),"",IF(ISERROR(FIND("～",'サービスコードマスタ（入力シート説明）'!$L14,1)), 'サービスコードマスタ（入力シート説明）'!$L14, ""))</f>
        <v/>
      </c>
      <c r="U10" s="137">
        <f>IF(ISBLANK('サービスコードマスタ（入力シート説明）'!$L14),"",IF(ISERROR(FIND("～",'サービスコードマスタ（入力シート説明）'!$L14,1)), "", 'サービスコードマスタ（入力シート説明）'!$L14))</f>
        <v/>
      </c>
      <c r="V10" s="137">
        <f>IF(EXACT(T('サービスコードマスタ（入力シート説明）'!$I14),"あり"),"○","")</f>
        <v/>
      </c>
      <c r="W10" s="137">
        <f>IF(EXACT(T('サービスコードマスタ（入力シート説明）'!$C14),"全銀協"),"○","")</f>
        <v/>
      </c>
      <c r="X10" s="137">
        <f>IF(EXACT(T('サービスコードマスタ（入力シート説明）'!$C14),"事業所コード"),"○","")</f>
        <v/>
      </c>
      <c r="Y10" s="137">
        <f>IF(EXACT(T('サービスコードマスタ（入力シート説明）'!$C14),"半角英数大文字・半角スペース"),"○","")</f>
        <v/>
      </c>
      <c r="Z10" s="137">
        <f>IF(EXACT(T('サービスコードマスタ（入力シート説明）'!$C14),"半角英数・半角ハイフン"),"○","")</f>
        <v/>
      </c>
      <c r="AA10" s="137">
        <f>IF(EXACT(T('サービスコードマスタ（入力シート説明）'!$C14),"全角英数カナ"),"○","")</f>
        <v/>
      </c>
      <c r="AB10" s="137">
        <f>IF(EXACT(T('サービスコードマスタ（入力シート説明）'!$C14),"半角英数カナ"),"○","")</f>
        <v/>
      </c>
      <c r="AC10" s="137">
        <f>IF(EXACT(T('サービスコードマスタ（入力シート説明）'!$C14),"全半角英数カナ"),"○","")</f>
        <v/>
      </c>
      <c r="AD10" s="137">
        <f>IF(EXACT(T('サービスコードマスタ（入力シート説明）'!$C14),"通貨"),"○","")</f>
        <v/>
      </c>
      <c r="AE10" s="137">
        <f>IF(EXACT(T('サービスコードマスタ（入力シート説明）'!$C14),"半角"),"○","")</f>
        <v/>
      </c>
      <c r="AF10" s="137">
        <f>IF(EXACT(T('サービスコードマスタ（入力シート説明）'!$C14),"半角カナ"),"○","")</f>
        <v/>
      </c>
      <c r="AG10" s="137">
        <f>IF(EXACT(T('サービスコードマスタ（入力シート説明）'!$C14),"半角英数・半角アンダーバー"),"○","")</f>
        <v/>
      </c>
      <c r="AH10" s="137">
        <f>IF(EXACT(T('サービスコードマスタ（入力シート説明）'!$C14),"日付（スラッシュあり）"),"○","")</f>
        <v/>
      </c>
      <c r="AI10" s="137">
        <f>IF(EXACT(T('サービスコードマスタ（入力シート説明）'!$C14),"全角英数"),"○","")</f>
        <v/>
      </c>
      <c r="AJ10" s="137">
        <f>IF(ISBLANK('サービスコードマスタ（入力シート説明）'!$D14),"",IF(ISERROR(FIND("(", 'サービスコードマスタ（入力シート説明）'!$D14, 1)),"",MID('サービスコードマスタ（入力シート説明）'!$D14,$BI10+1,$BJ10-$BI10-1)))</f>
        <v/>
      </c>
      <c r="AK10" s="137">
        <f>IF(EXACT(T('サービスコードマスタ（入力シート説明）'!$F14),"あり"),"○","")</f>
        <v/>
      </c>
      <c r="AL10" s="138" t="n"/>
      <c r="AM10" s="137">
        <f>IF(EXACT(T('サービスコードマスタ（入力シート説明）'!$E14),"条件付き必須"),"○","")</f>
        <v/>
      </c>
      <c r="AN10" s="137">
        <f>IF(EXACT(T('サービスコードマスタ（入力シート説明）'!$G14),"あり"),"○","")</f>
        <v/>
      </c>
      <c r="AO10" s="137">
        <f>IF(ISBLANK('サービスコードマスタ（入力シート説明）'!$N14),"","○")</f>
        <v/>
      </c>
      <c r="AP10" s="42" t="n"/>
      <c r="AQ10" s="66">
        <f>T('サービスコードマスタ（入力シート説明）'!$H14)</f>
        <v/>
      </c>
      <c r="AR10" s="67" t="n"/>
      <c r="AS10" s="67" t="n"/>
      <c r="AT10" s="67" t="n"/>
      <c r="AU10" s="67" t="n"/>
      <c r="AV10" s="68" t="n"/>
      <c r="AW10" s="69" t="n"/>
      <c r="AX10" s="114" t="n"/>
      <c r="AY10" s="70" t="n"/>
      <c r="AZ10" s="69" t="n"/>
      <c r="BA10" s="69" t="n"/>
      <c r="BB10" s="69" t="n"/>
      <c r="BC10" s="69" t="n"/>
      <c r="BD10" s="69" t="n"/>
      <c r="BE10" s="69" t="n"/>
      <c r="BF10" s="68" t="n">
        <v>1.5</v>
      </c>
      <c r="BG10" s="112" t="n"/>
      <c r="BH10" s="137">
        <f>IF(ISBLANK('サービスコードマスタ（入力シート説明）'!$D14),"",LEN('サービスコードマスタ（入力シート説明）'!$D14))</f>
        <v/>
      </c>
      <c r="BI10" s="137">
        <f>IF(ISBLANK('サービスコードマスタ（入力シート説明）'!$D14),"",IF(ISERROR(FIND("(",'サービスコードマスタ（入力シート説明）'!$D14,1)),"",FIND("(",'サービスコードマスタ（入力シート説明）'!$D14,1)))</f>
        <v/>
      </c>
      <c r="BJ10" s="137">
        <f>IF(ISBLANK('サービスコードマスタ（入力シート説明）'!$D14),"",IF(ISERROR(FIND("(",'サービスコードマスタ（入力シート説明）'!$D14,1)),"",FIND(")",'サービスコードマスタ（入力シート説明）'!$D14,1)))</f>
        <v/>
      </c>
      <c r="BK10" s="137">
        <f>IF(ISBLANK('サービスコードマスタ（入力シート説明）'!$D14),"",IF($BL10="",0,IF($BL10=1,1,IF((IF($BI10="",$BH10,$BI10-1))=$BL10,2,3))))</f>
        <v/>
      </c>
      <c r="BL10" s="137">
        <f>IF(ISBLANK('サービスコードマスタ（入力シート説明）'!$D14),"",IF(ISERROR(FIND("～",'サービスコードマスタ（入力シート説明）'!$D14,1)),"",FIND("～",'サービスコードマスタ（入力シート説明）'!$D14,1)))</f>
        <v/>
      </c>
    </row>
    <row r="11" customFormat="1" s="4">
      <c r="A11" s="132">
        <f>ROW()-2</f>
        <v/>
      </c>
      <c r="B11" s="133">
        <f>SUBSTITUTE(ADDRESS(1,ROW()-1,2),"$1","")</f>
        <v/>
      </c>
      <c r="C11" s="134" t="n"/>
      <c r="D11" s="135">
        <f>VLOOKUP($A11,'サービスコードマスタ（入力シート説明）'!$A$7:$B$109,2,$A11)</f>
        <v/>
      </c>
      <c r="E11" s="134" t="n"/>
      <c r="F11" s="136">
        <f>$T11</f>
        <v/>
      </c>
      <c r="G11" s="42" t="n"/>
      <c r="H11" s="137">
        <f>IF(EXACT(T('サービスコードマスタ（入力シート説明）'!$E15),"必須"),"○","")</f>
        <v/>
      </c>
      <c r="I11" s="137">
        <f>IF(EXACT(T('サービスコードマスタ（入力シート説明）'!$C15),"数値"),"○","")</f>
        <v/>
      </c>
      <c r="J11" s="137">
        <f>IF(EXACT(T('サービスコードマスタ（入力シート説明）'!$C15),"電話番号"),"○","")</f>
        <v/>
      </c>
      <c r="K11" s="137">
        <f>IF(EXACT(T('サービスコードマスタ（入力シート説明）'!$C15),"郵便番号"),"○","")</f>
        <v/>
      </c>
      <c r="L11" s="137">
        <f>IF(EXACT(T('サービスコードマスタ（入力シート説明）'!$C15),"日付（スラッシュなし）"),"○","")</f>
        <v/>
      </c>
      <c r="M11" s="137">
        <f>IF(EXACT(T('サービスコードマスタ（入力シート説明）'!$C15),"半角英数"),"○","")</f>
        <v/>
      </c>
      <c r="N11" s="137">
        <f>IF(ISBLANK('サービスコードマスタ（入力シート説明）'!$D15),"", IF(ISERROR(FIND("～", 'サービスコードマスタ（入力シート説明）'!$D15, 1)), "", IF(EXACT('サービスコードマスタ（入力シート説明）'!$D15,"～"), "", IF(LEN(LEFT('サービスコードマスタ（入力シート説明）'!$D15, FIND("～", 'サービスコードマスタ（入力シート説明）'!$D15, 1) - 1)) &gt;= 1, LEFT('サービスコードマスタ（入力シート説明）'!$D15, FIND("～", 'サービスコードマスタ（入力シート説明）'!$D15, 1) - 1), ""))))</f>
        <v/>
      </c>
      <c r="O11" s="137">
        <f>IF(T11&lt;&gt;"","",IF(OR('サービスコードマスタ（入力シート説明）'!C15="全半角",'サービスコードマスタ（入力シート説明）'!C15="全角",'サービスコードマスタ（入力シート説明）'!C15="全角英数",'サービスコードマスタ（入力シート説明）'!C15="全半角英数カナ",'サービスコードマスタ（入力シート説明）'!C15="全角英数カナ",'サービスコードマスタ（入力シート説明）'!C15="全角カナ",'サービスコードマスタ（入力シート説明）'!C15="半角カナ",'サービスコードマスタ（入力シート説明）'!C15="全銀協"),IF(OR(P11&lt;&gt;"",Q11&lt;&gt;""),TRUNC(IF(P11="",Q11/BF11,P11/BF11),0),""),IF(OR(P11&lt;&gt;"",Q11&lt;&gt;""),IF(P11="",Q11,P11),"")))</f>
        <v/>
      </c>
      <c r="P11" s="137">
        <f>IF(ISBLANK('サービスコードマスタ（入力シート説明）'!$D15),"",IF($BK11=0,"",IF(OR($BK11=1,$BK11=3),MID('サービスコードマスタ（入力シート説明）'!$D15,$BL11+1,IF($BI11="",$BH11,$BI11-1)-$BL11)*IF($BG11&lt;&gt;"",$BF11,1),"")))</f>
        <v/>
      </c>
      <c r="Q11" s="137">
        <f>IF(ISBLANK('サービスコードマスタ（入力シート説明）'!$D15), "", IF($BK11=0, IF($BI11="",'サービスコードマスタ（入力シート説明）'!$D15,LEFT('サービスコードマスタ（入力シート説明）'!$D15,$BI11-1))*IF(BG11&lt;&gt;"",BF11,1),""))</f>
        <v/>
      </c>
      <c r="R11" s="137">
        <f>IF(EXACT(T('サービスコードマスタ（入力シート説明）'!$C15),"全角"),"○","")</f>
        <v/>
      </c>
      <c r="S11" s="137">
        <f>IF(EXACT(T('サービスコードマスタ（入力シート説明）'!$C15),"全角カナ"),"○","")</f>
        <v/>
      </c>
      <c r="T11" s="136">
        <f>IF(ISBLANK('サービスコードマスタ（入力シート説明）'!$L15),"",IF(ISERROR(FIND("～",'サービスコードマスタ（入力シート説明）'!$L15,1)), 'サービスコードマスタ（入力シート説明）'!$L15, ""))</f>
        <v/>
      </c>
      <c r="U11" s="137">
        <f>IF(ISBLANK('サービスコードマスタ（入力シート説明）'!$L15),"",IF(ISERROR(FIND("～",'サービスコードマスタ（入力シート説明）'!$L15,1)), "", 'サービスコードマスタ（入力シート説明）'!$L15))</f>
        <v/>
      </c>
      <c r="V11" s="137">
        <f>IF(EXACT(T('サービスコードマスタ（入力シート説明）'!$I15),"あり"),"○","")</f>
        <v/>
      </c>
      <c r="W11" s="137">
        <f>IF(EXACT(T('サービスコードマスタ（入力シート説明）'!$C15),"全銀協"),"○","")</f>
        <v/>
      </c>
      <c r="X11" s="137">
        <f>IF(EXACT(T('サービスコードマスタ（入力シート説明）'!$C15),"事業所コード"),"○","")</f>
        <v/>
      </c>
      <c r="Y11" s="137">
        <f>IF(EXACT(T('サービスコードマスタ（入力シート説明）'!$C15),"半角英数大文字・半角スペース"),"○","")</f>
        <v/>
      </c>
      <c r="Z11" s="137">
        <f>IF(EXACT(T('サービスコードマスタ（入力シート説明）'!$C15),"半角英数・半角ハイフン"),"○","")</f>
        <v/>
      </c>
      <c r="AA11" s="137">
        <f>IF(EXACT(T('サービスコードマスタ（入力シート説明）'!$C15),"全角英数カナ"),"○","")</f>
        <v/>
      </c>
      <c r="AB11" s="137">
        <f>IF(EXACT(T('サービスコードマスタ（入力シート説明）'!$C15),"半角英数カナ"),"○","")</f>
        <v/>
      </c>
      <c r="AC11" s="137">
        <f>IF(EXACT(T('サービスコードマスタ（入力シート説明）'!$C15),"全半角英数カナ"),"○","")</f>
        <v/>
      </c>
      <c r="AD11" s="137">
        <f>IF(EXACT(T('サービスコードマスタ（入力シート説明）'!$C15),"通貨"),"○","")</f>
        <v/>
      </c>
      <c r="AE11" s="137">
        <f>IF(EXACT(T('サービスコードマスタ（入力シート説明）'!$C15),"半角"),"○","")</f>
        <v/>
      </c>
      <c r="AF11" s="137">
        <f>IF(EXACT(T('サービスコードマスタ（入力シート説明）'!$C15),"半角カナ"),"○","")</f>
        <v/>
      </c>
      <c r="AG11" s="137">
        <f>IF(EXACT(T('サービスコードマスタ（入力シート説明）'!$C15),"半角英数・半角アンダーバー"),"○","")</f>
        <v/>
      </c>
      <c r="AH11" s="137">
        <f>IF(EXACT(T('サービスコードマスタ（入力シート説明）'!$C15),"日付（スラッシュあり）"),"○","")</f>
        <v/>
      </c>
      <c r="AI11" s="137">
        <f>IF(EXACT(T('サービスコードマスタ（入力シート説明）'!$C15),"全角英数"),"○","")</f>
        <v/>
      </c>
      <c r="AJ11" s="137">
        <f>IF(ISBLANK('サービスコードマスタ（入力シート説明）'!$D15),"",IF(ISERROR(FIND("(", 'サービスコードマスタ（入力シート説明）'!$D15, 1)),"",MID('サービスコードマスタ（入力シート説明）'!$D15,$BI11+1,$BJ11-$BI11-1)))</f>
        <v/>
      </c>
      <c r="AK11" s="137">
        <f>IF(EXACT(T('サービスコードマスタ（入力シート説明）'!$F15),"あり"),"○","")</f>
        <v/>
      </c>
      <c r="AL11" s="138" t="n"/>
      <c r="AM11" s="137">
        <f>IF(EXACT(T('サービスコードマスタ（入力シート説明）'!$E15),"条件付き必須"),"○","")</f>
        <v/>
      </c>
      <c r="AN11" s="137">
        <f>IF(EXACT(T('サービスコードマスタ（入力シート説明）'!$G15),"あり"),"○","")</f>
        <v/>
      </c>
      <c r="AO11" s="137">
        <f>IF(ISBLANK('サービスコードマスタ（入力シート説明）'!$N15),"","○")</f>
        <v/>
      </c>
      <c r="AP11" s="42" t="n"/>
      <c r="AQ11" s="66">
        <f>T('サービスコードマスタ（入力シート説明）'!$H15)</f>
        <v/>
      </c>
      <c r="AR11" s="67" t="n"/>
      <c r="AS11" s="67" t="n"/>
      <c r="AT11" s="67" t="n"/>
      <c r="AU11" s="67" t="n"/>
      <c r="AV11" s="68" t="n"/>
      <c r="AW11" s="69" t="n"/>
      <c r="AX11" s="114" t="n"/>
      <c r="AY11" s="70" t="n"/>
      <c r="AZ11" s="114" t="inlineStr">
        <is>
          <t>=IF(EXACT($H7,"Y"),LEN($J7)&gt;0,TRUE)</t>
        </is>
      </c>
      <c r="BA11" s="69" t="n"/>
      <c r="BB11" s="69" t="n"/>
      <c r="BC11" s="114" t="inlineStr">
        <is>
          <t>=IF(EXACT($H7,"N"),LEN($J7)=0,TRUE)</t>
        </is>
      </c>
      <c r="BD11" s="69" t="n"/>
      <c r="BE11" s="69" t="n"/>
      <c r="BF11" s="68" t="n">
        <v>1.5</v>
      </c>
      <c r="BG11" s="112" t="n"/>
      <c r="BH11" s="137">
        <f>IF(ISBLANK('サービスコードマスタ（入力シート説明）'!$D15),"",LEN('サービスコードマスタ（入力シート説明）'!$D15))</f>
        <v/>
      </c>
      <c r="BI11" s="137">
        <f>IF(ISBLANK('サービスコードマスタ（入力シート説明）'!$D15),"",IF(ISERROR(FIND("(",'サービスコードマスタ（入力シート説明）'!$D15,1)),"",FIND("(",'サービスコードマスタ（入力シート説明）'!$D15,1)))</f>
        <v/>
      </c>
      <c r="BJ11" s="137">
        <f>IF(ISBLANK('サービスコードマスタ（入力シート説明）'!$D15),"",IF(ISERROR(FIND("(",'サービスコードマスタ（入力シート説明）'!$D15,1)),"",FIND(")",'サービスコードマスタ（入力シート説明）'!$D15,1)))</f>
        <v/>
      </c>
      <c r="BK11" s="137">
        <f>IF(ISBLANK('サービスコードマスタ（入力シート説明）'!$D15),"",IF($BL11="",0,IF($BL11=1,1,IF((IF($BI11="",$BH11,$BI11-1))=$BL11,2,3))))</f>
        <v/>
      </c>
      <c r="BL11" s="137">
        <f>IF(ISBLANK('サービスコードマスタ（入力シート説明）'!$D15),"",IF(ISERROR(FIND("～",'サービスコードマスタ（入力シート説明）'!$D15,1)),"",FIND("～",'サービスコードマスタ（入力シート説明）'!$D15,1)))</f>
        <v/>
      </c>
    </row>
    <row r="12" ht="87" customFormat="1" customHeight="1" s="4">
      <c r="A12" s="132">
        <f>ROW()-2</f>
        <v/>
      </c>
      <c r="B12" s="133">
        <f>SUBSTITUTE(ADDRESS(1,ROW()-1,2),"$1","")</f>
        <v/>
      </c>
      <c r="C12" s="134" t="n"/>
      <c r="D12" s="135">
        <f>VLOOKUP($A12,'サービスコードマスタ（入力シート説明）'!$A$7:$B$109,2,$A12)</f>
        <v/>
      </c>
      <c r="E12" s="134" t="n"/>
      <c r="F12" s="136">
        <f>$T12</f>
        <v/>
      </c>
      <c r="G12" s="42" t="n"/>
      <c r="H12" s="137">
        <f>IF(EXACT(T('サービスコードマスタ（入力シート説明）'!$E16),"必須"),"○","")</f>
        <v/>
      </c>
      <c r="I12" s="137">
        <f>IF(EXACT(T('サービスコードマスタ（入力シート説明）'!$C16),"数値"),"○","")</f>
        <v/>
      </c>
      <c r="J12" s="137">
        <f>IF(EXACT(T('サービスコードマスタ（入力シート説明）'!$C16),"電話番号"),"○","")</f>
        <v/>
      </c>
      <c r="K12" s="137">
        <f>IF(EXACT(T('サービスコードマスタ（入力シート説明）'!$C16),"郵便番号"),"○","")</f>
        <v/>
      </c>
      <c r="L12" s="137">
        <f>IF(EXACT(T('サービスコードマスタ（入力シート説明）'!$C16),"日付（スラッシュなし）"),"○","")</f>
        <v/>
      </c>
      <c r="M12" s="137">
        <f>IF(EXACT(T('サービスコードマスタ（入力シート説明）'!$C16),"半角英数"),"○","")</f>
        <v/>
      </c>
      <c r="N12" s="137">
        <f>IF(ISBLANK('サービスコードマスタ（入力シート説明）'!$D16),"", IF(ISERROR(FIND("～", 'サービスコードマスタ（入力シート説明）'!$D16, 1)), "", IF(EXACT('サービスコードマスタ（入力シート説明）'!$D16,"～"), "", IF(LEN(LEFT('サービスコードマスタ（入力シート説明）'!$D16, FIND("～", 'サービスコードマスタ（入力シート説明）'!$D16, 1) - 1)) &gt;= 1, LEFT('サービスコードマスタ（入力シート説明）'!$D16, FIND("～", 'サービスコードマスタ（入力シート説明）'!$D16, 1) - 1), ""))))</f>
        <v/>
      </c>
      <c r="O12" s="137">
        <f>IF(T12&lt;&gt;"","",IF(OR('サービスコードマスタ（入力シート説明）'!C16="全半角",'サービスコードマスタ（入力シート説明）'!C16="全角",'サービスコードマスタ（入力シート説明）'!C16="全角英数",'サービスコードマスタ（入力シート説明）'!C16="全半角英数カナ",'サービスコードマスタ（入力シート説明）'!C16="全角英数カナ",'サービスコードマスタ（入力シート説明）'!C16="全角カナ",'サービスコードマスタ（入力シート説明）'!C16="半角カナ",'サービスコードマスタ（入力シート説明）'!C16="全銀協"),IF(OR(P12&lt;&gt;"",Q12&lt;&gt;""),TRUNC(IF(P12="",Q12/BF12,P12/BF12),0),""),IF(OR(P12&lt;&gt;"",Q12&lt;&gt;""),IF(P12="",Q12,P12),"")))</f>
        <v/>
      </c>
      <c r="P12" s="137">
        <f>IF(ISBLANK('サービスコードマスタ（入力シート説明）'!$D16),"",IF($BK12=0,"",IF(OR($BK12=1,$BK12=3),MID('サービスコードマスタ（入力シート説明）'!$D16,$BL12+1,IF($BI12="",$BH12,$BI12-1)-$BL12)*IF($BG12&lt;&gt;"",$BF12,1),"")))</f>
        <v/>
      </c>
      <c r="Q12" s="137">
        <f>IF(ISBLANK('サービスコードマスタ（入力シート説明）'!$D16), "", IF($BK12=0, IF($BI12="",'サービスコードマスタ（入力シート説明）'!$D16,LEFT('サービスコードマスタ（入力シート説明）'!$D16,$BI12-1))*IF(BG12&lt;&gt;"",BF12,1),""))</f>
        <v/>
      </c>
      <c r="R12" s="137">
        <f>IF(EXACT(T('サービスコードマスタ（入力シート説明）'!$C16),"全角"),"○","")</f>
        <v/>
      </c>
      <c r="S12" s="137">
        <f>IF(EXACT(T('サービスコードマスタ（入力シート説明）'!$C16),"全角カナ"),"○","")</f>
        <v/>
      </c>
      <c r="T12" s="136">
        <f>IF(ISBLANK('サービスコードマスタ（入力シート説明）'!$L16),"",IF(ISERROR(FIND("～",'サービスコードマスタ（入力シート説明）'!$L16,1)), 'サービスコードマスタ（入力シート説明）'!$L16, ""))</f>
        <v/>
      </c>
      <c r="U12" s="137">
        <f>IF(ISBLANK('サービスコードマスタ（入力シート説明）'!$L16),"",IF(ISERROR(FIND("～",'サービスコードマスタ（入力シート説明）'!$L16,1)), "", 'サービスコードマスタ（入力シート説明）'!$L16))</f>
        <v/>
      </c>
      <c r="V12" s="137">
        <f>IF(EXACT(T('サービスコードマスタ（入力シート説明）'!$I16),"あり"),"○","")</f>
        <v/>
      </c>
      <c r="W12" s="137">
        <f>IF(EXACT(T('サービスコードマスタ（入力シート説明）'!$C16),"全銀協"),"○","")</f>
        <v/>
      </c>
      <c r="X12" s="137">
        <f>IF(EXACT(T('サービスコードマスタ（入力シート説明）'!$C16),"事業所コード"),"○","")</f>
        <v/>
      </c>
      <c r="Y12" s="137">
        <f>IF(EXACT(T('サービスコードマスタ（入力シート説明）'!$C16),"半角英数大文字・半角スペース"),"○","")</f>
        <v/>
      </c>
      <c r="Z12" s="137">
        <f>IF(EXACT(T('サービスコードマスタ（入力シート説明）'!$C16),"半角英数・半角ハイフン"),"○","")</f>
        <v/>
      </c>
      <c r="AA12" s="137">
        <f>IF(EXACT(T('サービスコードマスタ（入力シート説明）'!$C16),"全角英数カナ"),"○","")</f>
        <v/>
      </c>
      <c r="AB12" s="137">
        <f>IF(EXACT(T('サービスコードマスタ（入力シート説明）'!$C16),"半角英数カナ"),"○","")</f>
        <v/>
      </c>
      <c r="AC12" s="137">
        <f>IF(EXACT(T('サービスコードマスタ（入力シート説明）'!$C16),"全半角英数カナ"),"○","")</f>
        <v/>
      </c>
      <c r="AD12" s="137">
        <f>IF(EXACT(T('サービスコードマスタ（入力シート説明）'!$C16),"通貨"),"○","")</f>
        <v/>
      </c>
      <c r="AE12" s="137">
        <f>IF(EXACT(T('サービスコードマスタ（入力シート説明）'!$C16),"半角"),"○","")</f>
        <v/>
      </c>
      <c r="AF12" s="137">
        <f>IF(EXACT(T('サービスコードマスタ（入力シート説明）'!$C16),"半角カナ"),"○","")</f>
        <v/>
      </c>
      <c r="AG12" s="137">
        <f>IF(EXACT(T('サービスコードマスタ（入力シート説明）'!$C16),"半角英数・半角アンダーバー"),"○","")</f>
        <v/>
      </c>
      <c r="AH12" s="137">
        <f>IF(EXACT(T('サービスコードマスタ（入力シート説明）'!$C16),"日付（スラッシュあり）"),"○","")</f>
        <v/>
      </c>
      <c r="AI12" s="137">
        <f>IF(EXACT(T('サービスコードマスタ（入力シート説明）'!$C16),"全角英数"),"○","")</f>
        <v/>
      </c>
      <c r="AJ12" s="137">
        <f>IF(ISBLANK('サービスコードマスタ（入力シート説明）'!$D16),"",IF(ISERROR(FIND("(", 'サービスコードマスタ（入力シート説明）'!$D16, 1)),"",MID('サービスコードマスタ（入力シート説明）'!$D16,$BI12+1,$BJ12-$BI12-1)))</f>
        <v/>
      </c>
      <c r="AK12" s="137">
        <f>IF(EXACT(T('サービスコードマスタ（入力シート説明）'!$F16),"あり"),"○","")</f>
        <v/>
      </c>
      <c r="AL12" s="138" t="n"/>
      <c r="AM12" s="137">
        <f>IF(EXACT(T('サービスコードマスタ（入力シート説明）'!$E16),"条件付き必須"),"○","")</f>
        <v/>
      </c>
      <c r="AN12" s="137">
        <f>IF(EXACT(T('サービスコードマスタ（入力シート説明）'!$G16),"あり"),"○","")</f>
        <v/>
      </c>
      <c r="AO12" s="137">
        <f>IF(ISBLANK('サービスコードマスタ（入力シート説明）'!$N16),"","○")</f>
        <v/>
      </c>
      <c r="AP12" s="42" t="inlineStr">
        <is>
          <t>○</t>
        </is>
      </c>
      <c r="AQ12" s="161">
        <f>T('サービスコードマスタ（入力シート説明）'!$H16)</f>
        <v/>
      </c>
      <c r="AR12" s="67" t="n"/>
      <c r="AS12" s="67" t="n"/>
      <c r="AT12" s="67" t="n"/>
      <c r="AU12" s="67" t="n"/>
      <c r="AV12" s="68" t="n"/>
      <c r="AW12" s="69" t="n"/>
      <c r="AX12" s="114" t="n"/>
      <c r="AY12" s="70" t="n"/>
      <c r="AZ12" s="114" t="inlineStr">
        <is>
          <t>=IF(EXACT($H7,"Y"),LEN($K7)&gt;0,TRUE)</t>
        </is>
      </c>
      <c r="BA12" s="69" t="n"/>
      <c r="BB12" s="69" t="n"/>
      <c r="BC12" s="114" t="inlineStr">
        <is>
          <t>=IF(EXACT($H7,"N"),LEN($K7)=0,TRUE)</t>
        </is>
      </c>
      <c r="BD12" s="114" t="n"/>
      <c r="BE12" s="114" t="n"/>
      <c r="BF12" s="68" t="n">
        <v>1.5</v>
      </c>
      <c r="BG12" s="112" t="n"/>
      <c r="BH12" s="137">
        <f>IF(ISBLANK('サービスコードマスタ（入力シート説明）'!$D16),"",LEN('サービスコードマスタ（入力シート説明）'!$D16))</f>
        <v/>
      </c>
      <c r="BI12" s="137">
        <f>IF(ISBLANK('サービスコードマスタ（入力シート説明）'!$D16),"",IF(ISERROR(FIND("(",'サービスコードマスタ（入力シート説明）'!$D16,1)),"",FIND("(",'サービスコードマスタ（入力シート説明）'!$D16,1)))</f>
        <v/>
      </c>
      <c r="BJ12" s="137">
        <f>IF(ISBLANK('サービスコードマスタ（入力シート説明）'!$D16),"",IF(ISERROR(FIND("(",'サービスコードマスタ（入力シート説明）'!$D16,1)),"",FIND(")",'サービスコードマスタ（入力シート説明）'!$D16,1)))</f>
        <v/>
      </c>
      <c r="BK12" s="137">
        <f>IF(ISBLANK('サービスコードマスタ（入力シート説明）'!$D16),"",IF($BL12="",0,IF($BL12=1,1,IF((IF($BI12="",$BH12,$BI12-1))=$BL12,2,3))))</f>
        <v/>
      </c>
      <c r="BL12" s="137">
        <f>IF(ISBLANK('サービスコードマスタ（入力シート説明）'!$D16),"",IF(ISERROR(FIND("～",'サービスコードマスタ（入力シート説明）'!$D16,1)),"",FIND("～",'サービスコードマスタ（入力シート説明）'!$D16,1)))</f>
        <v/>
      </c>
    </row>
    <row r="13" ht="87" customFormat="1" customHeight="1" s="4">
      <c r="A13" s="132">
        <f>ROW()-2</f>
        <v/>
      </c>
      <c r="B13" s="133">
        <f>SUBSTITUTE(ADDRESS(1,ROW()-1,2),"$1","")</f>
        <v/>
      </c>
      <c r="C13" s="134" t="n"/>
      <c r="D13" s="135">
        <f>VLOOKUP($A13,'サービスコードマスタ（入力シート説明）'!$A$7:$B$109,2,$A13)</f>
        <v/>
      </c>
      <c r="E13" s="134" t="n"/>
      <c r="F13" s="136">
        <f>$T13</f>
        <v/>
      </c>
      <c r="G13" s="42" t="n"/>
      <c r="H13" s="137">
        <f>IF(EXACT(T('サービスコードマスタ（入力シート説明）'!$E17),"必須"),"○","")</f>
        <v/>
      </c>
      <c r="I13" s="137">
        <f>IF(EXACT(T('サービスコードマスタ（入力シート説明）'!$C17),"数値"),"○","")</f>
        <v/>
      </c>
      <c r="J13" s="137">
        <f>IF(EXACT(T('サービスコードマスタ（入力シート説明）'!$C17),"電話番号"),"○","")</f>
        <v/>
      </c>
      <c r="K13" s="137">
        <f>IF(EXACT(T('サービスコードマスタ（入力シート説明）'!$C17),"郵便番号"),"○","")</f>
        <v/>
      </c>
      <c r="L13" s="137">
        <f>IF(EXACT(T('サービスコードマスタ（入力シート説明）'!$C17),"日付（スラッシュなし）"),"○","")</f>
        <v/>
      </c>
      <c r="M13" s="137">
        <f>IF(EXACT(T('サービスコードマスタ（入力シート説明）'!$C17),"半角英数"),"○","")</f>
        <v/>
      </c>
      <c r="N13" s="137">
        <f>IF(ISBLANK('サービスコードマスタ（入力シート説明）'!$D17),"", IF(ISERROR(FIND("～", 'サービスコードマスタ（入力シート説明）'!$D17, 1)), "", IF(EXACT('サービスコードマスタ（入力シート説明）'!$D17,"～"), "", IF(LEN(LEFT('サービスコードマスタ（入力シート説明）'!$D17, FIND("～", 'サービスコードマスタ（入力シート説明）'!$D17, 1) - 1)) &gt;= 1, LEFT('サービスコードマスタ（入力シート説明）'!$D17, FIND("～", 'サービスコードマスタ（入力シート説明）'!$D17, 1) - 1), ""))))</f>
        <v/>
      </c>
      <c r="O13" s="137">
        <f>IF(T13&lt;&gt;"","",IF(OR('サービスコードマスタ（入力シート説明）'!C17="全半角",'サービスコードマスタ（入力シート説明）'!C17="全角",'サービスコードマスタ（入力シート説明）'!C17="全角英数",'サービスコードマスタ（入力シート説明）'!C17="全半角英数カナ",'サービスコードマスタ（入力シート説明）'!C17="全角英数カナ",'サービスコードマスタ（入力シート説明）'!C17="全角カナ",'サービスコードマスタ（入力シート説明）'!C17="半角カナ",'サービスコードマスタ（入力シート説明）'!C17="全銀協"),IF(OR(P13&lt;&gt;"",Q13&lt;&gt;""),TRUNC(IF(P13="",Q13/BF13,P13/BF13),0),""),IF(OR(P13&lt;&gt;"",Q13&lt;&gt;""),IF(P13="",Q13,P13),"")))</f>
        <v/>
      </c>
      <c r="P13" s="137">
        <f>IF(ISBLANK('サービスコードマスタ（入力シート説明）'!$D17),"",IF($BK13=0,"",IF(OR($BK13=1,$BK13=3),MID('サービスコードマスタ（入力シート説明）'!$D17,$BL13+1,IF($BI13="",$BH13,$BI13-1)-$BL13)*IF($BG13&lt;&gt;"",$BF13,1),"")))</f>
        <v/>
      </c>
      <c r="Q13" s="137">
        <f>IF(ISBLANK('サービスコードマスタ（入力シート説明）'!$D17), "", IF($BK13=0, IF($BI13="",'サービスコードマスタ（入力シート説明）'!$D17,LEFT('サービスコードマスタ（入力シート説明）'!$D17,$BI13-1))*IF(BG13&lt;&gt;"",BF13,1),""))</f>
        <v/>
      </c>
      <c r="R13" s="137">
        <f>IF(EXACT(T('サービスコードマスタ（入力シート説明）'!$C17),"全角"),"○","")</f>
        <v/>
      </c>
      <c r="S13" s="137">
        <f>IF(EXACT(T('サービスコードマスタ（入力シート説明）'!$C17),"全角カナ"),"○","")</f>
        <v/>
      </c>
      <c r="T13" s="136">
        <f>IF(ISBLANK('サービスコードマスタ（入力シート説明）'!$L17),"",IF(ISERROR(FIND("～",'サービスコードマスタ（入力シート説明）'!$L17,1)), 'サービスコードマスタ（入力シート説明）'!$L17, ""))</f>
        <v/>
      </c>
      <c r="U13" s="137">
        <f>IF(ISBLANK('サービスコードマスタ（入力シート説明）'!$L17),"",IF(ISERROR(FIND("～",'サービスコードマスタ（入力シート説明）'!$L17,1)), "", 'サービスコードマスタ（入力シート説明）'!$L17))</f>
        <v/>
      </c>
      <c r="V13" s="137">
        <f>IF(EXACT(T('サービスコードマスタ（入力シート説明）'!$I17),"あり"),"○","")</f>
        <v/>
      </c>
      <c r="W13" s="137">
        <f>IF(EXACT(T('サービスコードマスタ（入力シート説明）'!$C17),"全銀協"),"○","")</f>
        <v/>
      </c>
      <c r="X13" s="137">
        <f>IF(EXACT(T('サービスコードマスタ（入力シート説明）'!$C17),"事業所コード"),"○","")</f>
        <v/>
      </c>
      <c r="Y13" s="137">
        <f>IF(EXACT(T('サービスコードマスタ（入力シート説明）'!$C17),"半角英数大文字・半角スペース"),"○","")</f>
        <v/>
      </c>
      <c r="Z13" s="137">
        <f>IF(EXACT(T('サービスコードマスタ（入力シート説明）'!$C17),"半角英数・半角ハイフン"),"○","")</f>
        <v/>
      </c>
      <c r="AA13" s="137">
        <f>IF(EXACT(T('サービスコードマスタ（入力シート説明）'!$C17),"全角英数カナ"),"○","")</f>
        <v/>
      </c>
      <c r="AB13" s="137">
        <f>IF(EXACT(T('サービスコードマスタ（入力シート説明）'!$C17),"半角英数カナ"),"○","")</f>
        <v/>
      </c>
      <c r="AC13" s="137">
        <f>IF(EXACT(T('サービスコードマスタ（入力シート説明）'!$C17),"全半角英数カナ"),"○","")</f>
        <v/>
      </c>
      <c r="AD13" s="137">
        <f>IF(EXACT(T('サービスコードマスタ（入力シート説明）'!$C17),"通貨"),"○","")</f>
        <v/>
      </c>
      <c r="AE13" s="137">
        <f>IF(EXACT(T('サービスコードマスタ（入力シート説明）'!$C17),"半角"),"○","")</f>
        <v/>
      </c>
      <c r="AF13" s="137">
        <f>IF(EXACT(T('サービスコードマスタ（入力シート説明）'!$C17),"半角カナ"),"○","")</f>
        <v/>
      </c>
      <c r="AG13" s="137">
        <f>IF(EXACT(T('サービスコードマスタ（入力シート説明）'!$C17),"半角英数・半角アンダーバー"),"○","")</f>
        <v/>
      </c>
      <c r="AH13" s="137">
        <f>IF(EXACT(T('サービスコードマスタ（入力シート説明）'!$C17),"日付（スラッシュあり）"),"○","")</f>
        <v/>
      </c>
      <c r="AI13" s="137">
        <f>IF(EXACT(T('サービスコードマスタ（入力シート説明）'!$C17),"全角英数"),"○","")</f>
        <v/>
      </c>
      <c r="AJ13" s="137">
        <f>IF(ISBLANK('サービスコードマスタ（入力シート説明）'!$D17),"",IF(ISERROR(FIND("(", 'サービスコードマスタ（入力シート説明）'!$D17, 1)),"",MID('サービスコードマスタ（入力シート説明）'!$D17,$BI13+1,$BJ13-$BI13-1)))</f>
        <v/>
      </c>
      <c r="AK13" s="137">
        <f>IF(EXACT(T('サービスコードマスタ（入力シート説明）'!$F17),"あり"),"○","")</f>
        <v/>
      </c>
      <c r="AL13" s="138" t="n"/>
      <c r="AM13" s="137">
        <f>IF(EXACT(T('サービスコードマスタ（入力シート説明）'!$E17),"条件付き必須"),"○","")</f>
        <v/>
      </c>
      <c r="AN13" s="137">
        <f>IF(EXACT(T('サービスコードマスタ（入力シート説明）'!$G17),"あり"),"○","")</f>
        <v/>
      </c>
      <c r="AO13" s="137">
        <f>IF(ISBLANK('サービスコードマスタ（入力シート説明）'!$N17),"","○")</f>
        <v/>
      </c>
      <c r="AP13" s="42" t="n"/>
      <c r="AQ13" s="161">
        <f>T('サービスコードマスタ（入力シート説明）'!$H17)</f>
        <v/>
      </c>
      <c r="AR13" s="67" t="n"/>
      <c r="AS13" s="67" t="n"/>
      <c r="AT13" s="67" t="n"/>
      <c r="AU13" s="67" t="n"/>
      <c r="AV13" s="68" t="n"/>
      <c r="AW13" s="69" t="n"/>
      <c r="AX13" s="114" t="n"/>
      <c r="AY13" s="70" t="n"/>
      <c r="AZ13" s="114" t="inlineStr">
        <is>
          <t>=IF(EXACT($H7,"Y"),LEN($L7)&gt;0,TRUE)</t>
        </is>
      </c>
      <c r="BA13" s="69" t="n"/>
      <c r="BB13" s="69" t="n"/>
      <c r="BC13" s="114" t="inlineStr">
        <is>
          <t>=IF(EXACT($H7,"N"),LEN($L7)=0,TRUE)</t>
        </is>
      </c>
      <c r="BD13" s="114" t="n"/>
      <c r="BE13" s="114" t="n"/>
      <c r="BF13" s="68" t="n">
        <v>1.5</v>
      </c>
      <c r="BG13" s="112" t="n"/>
      <c r="BH13" s="137">
        <f>IF(ISBLANK('サービスコードマスタ（入力シート説明）'!$D17),"",LEN('サービスコードマスタ（入力シート説明）'!$D17))</f>
        <v/>
      </c>
      <c r="BI13" s="137">
        <f>IF(ISBLANK('サービスコードマスタ（入力シート説明）'!$D17),"",IF(ISERROR(FIND("(",'サービスコードマスタ（入力シート説明）'!$D17,1)),"",FIND("(",'サービスコードマスタ（入力シート説明）'!$D17,1)))</f>
        <v/>
      </c>
      <c r="BJ13" s="137">
        <f>IF(ISBLANK('サービスコードマスタ（入力シート説明）'!$D17),"",IF(ISERROR(FIND("(",'サービスコードマスタ（入力シート説明）'!$D17,1)),"",FIND(")",'サービスコードマスタ（入力シート説明）'!$D17,1)))</f>
        <v/>
      </c>
      <c r="BK13" s="137">
        <f>IF(ISBLANK('サービスコードマスタ（入力シート説明）'!$D17),"",IF($BL13="",0,IF($BL13=1,1,IF((IF($BI13="",$BH13,$BI13-1))=$BL13,2,3))))</f>
        <v/>
      </c>
      <c r="BL13" s="137">
        <f>IF(ISBLANK('サービスコードマスタ（入力シート説明）'!$D17),"",IF(ISERROR(FIND("～",'サービスコードマスタ（入力シート説明）'!$D17,1)),"",FIND("～",'サービスコードマスタ（入力シート説明）'!$D17,1)))</f>
        <v/>
      </c>
    </row>
    <row r="14" ht="60" customFormat="1" customHeight="1" s="4">
      <c r="A14" s="132">
        <f>ROW()-2</f>
        <v/>
      </c>
      <c r="B14" s="133">
        <f>SUBSTITUTE(ADDRESS(1,ROW()-1,2),"$1","")</f>
        <v/>
      </c>
      <c r="C14" s="134" t="n"/>
      <c r="D14" s="135">
        <f>VLOOKUP($A14,'サービスコードマスタ（入力シート説明）'!$A$7:$B$109,2,$A14)</f>
        <v/>
      </c>
      <c r="E14" s="134" t="n"/>
      <c r="F14" s="136">
        <f>$T14</f>
        <v/>
      </c>
      <c r="G14" s="42" t="n"/>
      <c r="H14" s="137">
        <f>IF(EXACT(T('サービスコードマスタ（入力シート説明）'!$E18),"必須"),"○","")</f>
        <v/>
      </c>
      <c r="I14" s="137">
        <f>IF(EXACT(T('サービスコードマスタ（入力シート説明）'!$C18),"数値"),"○","")</f>
        <v/>
      </c>
      <c r="J14" s="137">
        <f>IF(EXACT(T('サービスコードマスタ（入力シート説明）'!$C18),"電話番号"),"○","")</f>
        <v/>
      </c>
      <c r="K14" s="137">
        <f>IF(EXACT(T('サービスコードマスタ（入力シート説明）'!$C18),"郵便番号"),"○","")</f>
        <v/>
      </c>
      <c r="L14" s="137">
        <f>IF(EXACT(T('サービスコードマスタ（入力シート説明）'!$C18),"日付（スラッシュなし）"),"○","")</f>
        <v/>
      </c>
      <c r="M14" s="137">
        <f>IF(EXACT(T('サービスコードマスタ（入力シート説明）'!$C18),"半角英数"),"○","")</f>
        <v/>
      </c>
      <c r="N14" s="137">
        <f>IF(ISBLANK('サービスコードマスタ（入力シート説明）'!$D18),"", IF(ISERROR(FIND("～", 'サービスコードマスタ（入力シート説明）'!$D18, 1)), "", IF(EXACT('サービスコードマスタ（入力シート説明）'!$D18,"～"), "", IF(LEN(LEFT('サービスコードマスタ（入力シート説明）'!$D18, FIND("～", 'サービスコードマスタ（入力シート説明）'!$D18, 1) - 1)) &gt;= 1, LEFT('サービスコードマスタ（入力シート説明）'!$D18, FIND("～", 'サービスコードマスタ（入力シート説明）'!$D18, 1) - 1), ""))))</f>
        <v/>
      </c>
      <c r="O14" s="137">
        <f>IF(T14&lt;&gt;"","",IF(OR('サービスコードマスタ（入力シート説明）'!C18="全半角",'サービスコードマスタ（入力シート説明）'!C18="全角",'サービスコードマスタ（入力シート説明）'!C18="全角英数",'サービスコードマスタ（入力シート説明）'!C18="全半角英数カナ",'サービスコードマスタ（入力シート説明）'!C18="全角英数カナ",'サービスコードマスタ（入力シート説明）'!C18="全角カナ",'サービスコードマスタ（入力シート説明）'!C18="半角カナ",'サービスコードマスタ（入力シート説明）'!C18="全銀協"),IF(OR(P14&lt;&gt;"",Q14&lt;&gt;""),TRUNC(IF(P14="",Q14/BF14,P14/BF14),0),""),IF(OR(P14&lt;&gt;"",Q14&lt;&gt;""),IF(P14="",Q14,P14),"")))</f>
        <v/>
      </c>
      <c r="P14" s="137">
        <f>IF(ISBLANK('サービスコードマスタ（入力シート説明）'!$D18),"",IF($BK14=0,"",IF(OR($BK14=1,$BK14=3),MID('サービスコードマスタ（入力シート説明）'!$D18,$BL14+1,IF($BI14="",$BH14,$BI14-1)-$BL14)*IF($BG14&lt;&gt;"",$BF14,1),"")))</f>
        <v/>
      </c>
      <c r="Q14" s="137">
        <f>IF(ISBLANK('サービスコードマスタ（入力シート説明）'!$D18), "", IF($BK14=0, IF($BI14="",'サービスコードマスタ（入力シート説明）'!$D18,LEFT('サービスコードマスタ（入力シート説明）'!$D18,$BI14-1))*IF(BG14&lt;&gt;"",BF14,1),""))</f>
        <v/>
      </c>
      <c r="R14" s="137">
        <f>IF(EXACT(T('サービスコードマスタ（入力シート説明）'!$C18),"全角"),"○","")</f>
        <v/>
      </c>
      <c r="S14" s="137">
        <f>IF(EXACT(T('サービスコードマスタ（入力シート説明）'!$C18),"全角カナ"),"○","")</f>
        <v/>
      </c>
      <c r="T14" s="136">
        <f>IF(ISBLANK('サービスコードマスタ（入力シート説明）'!$L18),"",IF(ISERROR(FIND("～",'サービスコードマスタ（入力シート説明）'!$L18,1)), 'サービスコードマスタ（入力シート説明）'!$L18, ""))</f>
        <v/>
      </c>
      <c r="U14" s="137">
        <f>IF(ISBLANK('サービスコードマスタ（入力シート説明）'!$L18),"",IF(ISERROR(FIND("～",'サービスコードマスタ（入力シート説明）'!$L18,1)), "", 'サービスコードマスタ（入力シート説明）'!$L18))</f>
        <v/>
      </c>
      <c r="V14" s="137">
        <f>IF(EXACT(T('サービスコードマスタ（入力シート説明）'!$I18),"あり"),"○","")</f>
        <v/>
      </c>
      <c r="W14" s="137">
        <f>IF(EXACT(T('サービスコードマスタ（入力シート説明）'!$C18),"全銀協"),"○","")</f>
        <v/>
      </c>
      <c r="X14" s="137">
        <f>IF(EXACT(T('サービスコードマスタ（入力シート説明）'!$C18),"事業所コード"),"○","")</f>
        <v/>
      </c>
      <c r="Y14" s="137">
        <f>IF(EXACT(T('サービスコードマスタ（入力シート説明）'!$C18),"半角英数大文字・半角スペース"),"○","")</f>
        <v/>
      </c>
      <c r="Z14" s="137">
        <f>IF(EXACT(T('サービスコードマスタ（入力シート説明）'!$C18),"半角英数・半角ハイフン"),"○","")</f>
        <v/>
      </c>
      <c r="AA14" s="137">
        <f>IF(EXACT(T('サービスコードマスタ（入力シート説明）'!$C18),"全角英数カナ"),"○","")</f>
        <v/>
      </c>
      <c r="AB14" s="137">
        <f>IF(EXACT(T('サービスコードマスタ（入力シート説明）'!$C18),"半角英数カナ"),"○","")</f>
        <v/>
      </c>
      <c r="AC14" s="137">
        <f>IF(EXACT(T('サービスコードマスタ（入力シート説明）'!$C18),"全半角英数カナ"),"○","")</f>
        <v/>
      </c>
      <c r="AD14" s="137">
        <f>IF(EXACT(T('サービスコードマスタ（入力シート説明）'!$C18),"通貨"),"○","")</f>
        <v/>
      </c>
      <c r="AE14" s="137">
        <f>IF(EXACT(T('サービスコードマスタ（入力シート説明）'!$C18),"半角"),"○","")</f>
        <v/>
      </c>
      <c r="AF14" s="137">
        <f>IF(EXACT(T('サービスコードマスタ（入力シート説明）'!$C18),"半角カナ"),"○","")</f>
        <v/>
      </c>
      <c r="AG14" s="137">
        <f>IF(EXACT(T('サービスコードマスタ（入力シート説明）'!$C18),"半角英数・半角アンダーバー"),"○","")</f>
        <v/>
      </c>
      <c r="AH14" s="137">
        <f>IF(EXACT(T('サービスコードマスタ（入力シート説明）'!$C18),"日付（スラッシュあり）"),"○","")</f>
        <v/>
      </c>
      <c r="AI14" s="137">
        <f>IF(EXACT(T('サービスコードマスタ（入力シート説明）'!$C18),"全角英数"),"○","")</f>
        <v/>
      </c>
      <c r="AJ14" s="137">
        <f>IF(ISBLANK('サービスコードマスタ（入力シート説明）'!$D18),"",IF(ISERROR(FIND("(", 'サービスコードマスタ（入力シート説明）'!$D18, 1)),"",MID('サービスコードマスタ（入力シート説明）'!$D18,$BI14+1,$BJ14-$BI14-1)))</f>
        <v/>
      </c>
      <c r="AK14" s="137">
        <f>IF(EXACT(T('サービスコードマスタ（入力シート説明）'!$F18),"あり"),"○","")</f>
        <v/>
      </c>
      <c r="AL14" s="138" t="n"/>
      <c r="AM14" s="137">
        <f>IF(EXACT(T('サービスコードマスタ（入力シート説明）'!$E18),"条件付き必須"),"○","")</f>
        <v/>
      </c>
      <c r="AN14" s="137">
        <f>IF(EXACT(T('サービスコードマスタ（入力シート説明）'!$G18),"あり"),"○","")</f>
        <v/>
      </c>
      <c r="AO14" s="137">
        <f>IF(ISBLANK('サービスコードマスタ（入力シート説明）'!$N18),"","○")</f>
        <v/>
      </c>
      <c r="AP14" s="42" t="n"/>
      <c r="AQ14" s="161">
        <f>T('サービスコードマスタ（入力シート説明）'!$H18)</f>
        <v/>
      </c>
      <c r="AR14" s="67" t="n"/>
      <c r="AS14" s="67" t="n"/>
      <c r="AT14" s="67" t="n"/>
      <c r="AU14" s="67" t="n"/>
      <c r="AV14" s="68" t="n"/>
      <c r="AW14" s="69" t="n"/>
      <c r="AX14" s="114" t="n"/>
      <c r="AY14" s="70" t="n"/>
      <c r="AZ14" s="114" t="inlineStr">
        <is>
          <t>=IF(EXACT($H7,"N"),LEN($M7)&gt;0,TRUE)</t>
        </is>
      </c>
      <c r="BA14" s="69" t="n"/>
      <c r="BB14" s="69" t="n"/>
      <c r="BC14" s="114" t="inlineStr">
        <is>
          <t>=IF(EXACT($H7,"Y"),LEN($M7)=0,TRUE)</t>
        </is>
      </c>
      <c r="BD14" s="114" t="inlineStr">
        <is>
          <t>=IF(AND(EXACT($H7,"N"),LEN($M7)&gt;0),EXACT($C7,$M7),TRUE)</t>
        </is>
      </c>
      <c r="BE14" s="69" t="n"/>
      <c r="BF14" s="68" t="n">
        <v>1.5</v>
      </c>
      <c r="BG14" s="112" t="n"/>
      <c r="BH14" s="137">
        <f>IF(ISBLANK('サービスコードマスタ（入力シート説明）'!$D18),"",LEN('サービスコードマスタ（入力シート説明）'!$D18))</f>
        <v/>
      </c>
      <c r="BI14" s="137">
        <f>IF(ISBLANK('サービスコードマスタ（入力シート説明）'!$D18),"",IF(ISERROR(FIND("(",'サービスコードマスタ（入力シート説明）'!$D18,1)),"",FIND("(",'サービスコードマスタ（入力シート説明）'!$D18,1)))</f>
        <v/>
      </c>
      <c r="BJ14" s="137">
        <f>IF(ISBLANK('サービスコードマスタ（入力シート説明）'!$D18),"",IF(ISERROR(FIND("(",'サービスコードマスタ（入力シート説明）'!$D18,1)),"",FIND(")",'サービスコードマスタ（入力シート説明）'!$D18,1)))</f>
        <v/>
      </c>
      <c r="BK14" s="137">
        <f>IF(ISBLANK('サービスコードマスタ（入力シート説明）'!$D18),"",IF($BL14="",0,IF($BL14=1,1,IF((IF($BI14="",$BH14,$BI14-1))=$BL14,2,3))))</f>
        <v/>
      </c>
      <c r="BL14" s="137">
        <f>IF(ISBLANK('サービスコードマスタ（入力シート説明）'!$D18),"",IF(ISERROR(FIND("～",'サービスコードマスタ（入力シート説明）'!$D18,1)),"",FIND("～",'サービスコードマスタ（入力シート説明）'!$D18,1)))</f>
        <v/>
      </c>
    </row>
    <row r="15" customFormat="1" s="4">
      <c r="A15" s="132">
        <f>ROW()-2</f>
        <v/>
      </c>
      <c r="B15" s="133">
        <f>SUBSTITUTE(ADDRESS(1,ROW()-1,2),"$1","")</f>
        <v/>
      </c>
      <c r="C15" s="134" t="n"/>
      <c r="D15" s="135">
        <f>VLOOKUP($A15,'サービスコードマスタ（入力シート説明）'!$A$7:$B$109,2,$A15)</f>
        <v/>
      </c>
      <c r="E15" s="134" t="n"/>
      <c r="F15" s="136">
        <f>$T15</f>
        <v/>
      </c>
      <c r="G15" s="42" t="n"/>
      <c r="H15" s="137">
        <f>IF(EXACT(T('サービスコードマスタ（入力シート説明）'!$E19),"必須"),"○","")</f>
        <v/>
      </c>
      <c r="I15" s="137">
        <f>IF(EXACT(T('サービスコードマスタ（入力シート説明）'!$C19),"数値"),"○","")</f>
        <v/>
      </c>
      <c r="J15" s="137">
        <f>IF(EXACT(T('サービスコードマスタ（入力シート説明）'!$C19),"電話番号"),"○","")</f>
        <v/>
      </c>
      <c r="K15" s="137">
        <f>IF(EXACT(T('サービスコードマスタ（入力シート説明）'!$C19),"郵便番号"),"○","")</f>
        <v/>
      </c>
      <c r="L15" s="137">
        <f>IF(EXACT(T('サービスコードマスタ（入力シート説明）'!$C19),"日付（スラッシュなし）"),"○","")</f>
        <v/>
      </c>
      <c r="M15" s="137">
        <f>IF(EXACT(T('サービスコードマスタ（入力シート説明）'!$C19),"半角英数"),"○","")</f>
        <v/>
      </c>
      <c r="N15" s="137">
        <f>IF(ISBLANK('サービスコードマスタ（入力シート説明）'!$D19),"", IF(ISERROR(FIND("～", 'サービスコードマスタ（入力シート説明）'!$D19, 1)), "", IF(EXACT('サービスコードマスタ（入力シート説明）'!$D19,"～"), "", IF(LEN(LEFT('サービスコードマスタ（入力シート説明）'!$D19, FIND("～", 'サービスコードマスタ（入力シート説明）'!$D19, 1) - 1)) &gt;= 1, LEFT('サービスコードマスタ（入力シート説明）'!$D19, FIND("～", 'サービスコードマスタ（入力シート説明）'!$D19, 1) - 1), ""))))</f>
        <v/>
      </c>
      <c r="O15" s="137">
        <f>IF(T15&lt;&gt;"","",IF(OR('サービスコードマスタ（入力シート説明）'!C19="全半角",'サービスコードマスタ（入力シート説明）'!C19="全角",'サービスコードマスタ（入力シート説明）'!C19="全角英数",'サービスコードマスタ（入力シート説明）'!C19="全半角英数カナ",'サービスコードマスタ（入力シート説明）'!C19="全角英数カナ",'サービスコードマスタ（入力シート説明）'!C19="全角カナ",'サービスコードマスタ（入力シート説明）'!C19="半角カナ",'サービスコードマスタ（入力シート説明）'!C19="全銀協"),IF(OR(P15&lt;&gt;"",Q15&lt;&gt;""),TRUNC(IF(P15="",Q15/BF15,P15/BF15),0),""),IF(OR(P15&lt;&gt;"",Q15&lt;&gt;""),IF(P15="",Q15,P15),"")))</f>
        <v/>
      </c>
      <c r="P15" s="137">
        <f>IF(ISBLANK('サービスコードマスタ（入力シート説明）'!$D19),"",IF($BK15=0,"",IF(OR($BK15=1,$BK15=3),MID('サービスコードマスタ（入力シート説明）'!$D19,$BL15+1,IF($BI15="",$BH15,$BI15-1)-$BL15)*IF($BG15&lt;&gt;"",$BF15,1),"")))</f>
        <v/>
      </c>
      <c r="Q15" s="137">
        <f>IF(ISBLANK('サービスコードマスタ（入力シート説明）'!$D19), "", IF($BK15=0, IF($BI15="",'サービスコードマスタ（入力シート説明）'!$D19,LEFT('サービスコードマスタ（入力シート説明）'!$D19,$BI15-1))*IF(BG15&lt;&gt;"",BF15,1),""))</f>
        <v/>
      </c>
      <c r="R15" s="137">
        <f>IF(EXACT(T('サービスコードマスタ（入力シート説明）'!$C19),"全角"),"○","")</f>
        <v/>
      </c>
      <c r="S15" s="137">
        <f>IF(EXACT(T('サービスコードマスタ（入力シート説明）'!$C19),"全角カナ"),"○","")</f>
        <v/>
      </c>
      <c r="T15" s="136">
        <f>IF(ISBLANK('サービスコードマスタ（入力シート説明）'!$L19),"",IF(ISERROR(FIND("～",'サービスコードマスタ（入力シート説明）'!$L19,1)), 'サービスコードマスタ（入力シート説明）'!$L19, ""))</f>
        <v/>
      </c>
      <c r="U15" s="137">
        <f>IF(ISBLANK('サービスコードマスタ（入力シート説明）'!$L19),"",IF(ISERROR(FIND("～",'サービスコードマスタ（入力シート説明）'!$L19,1)), "", 'サービスコードマスタ（入力シート説明）'!$L19))</f>
        <v/>
      </c>
      <c r="V15" s="137">
        <f>IF(EXACT(T('サービスコードマスタ（入力シート説明）'!$I19),"あり"),"○","")</f>
        <v/>
      </c>
      <c r="W15" s="137">
        <f>IF(EXACT(T('サービスコードマスタ（入力シート説明）'!$C19),"全銀協"),"○","")</f>
        <v/>
      </c>
      <c r="X15" s="137">
        <f>IF(EXACT(T('サービスコードマスタ（入力シート説明）'!$C19),"事業所コード"),"○","")</f>
        <v/>
      </c>
      <c r="Y15" s="137">
        <f>IF(EXACT(T('サービスコードマスタ（入力シート説明）'!$C19),"半角英数大文字・半角スペース"),"○","")</f>
        <v/>
      </c>
      <c r="Z15" s="137">
        <f>IF(EXACT(T('サービスコードマスタ（入力シート説明）'!$C19),"半角英数・半角ハイフン"),"○","")</f>
        <v/>
      </c>
      <c r="AA15" s="137">
        <f>IF(EXACT(T('サービスコードマスタ（入力シート説明）'!$C19),"全角英数カナ"),"○","")</f>
        <v/>
      </c>
      <c r="AB15" s="137">
        <f>IF(EXACT(T('サービスコードマスタ（入力シート説明）'!$C19),"半角英数カナ"),"○","")</f>
        <v/>
      </c>
      <c r="AC15" s="137">
        <f>IF(EXACT(T('サービスコードマスタ（入力シート説明）'!$C19),"全半角英数カナ"),"○","")</f>
        <v/>
      </c>
      <c r="AD15" s="137">
        <f>IF(EXACT(T('サービスコードマスタ（入力シート説明）'!$C19),"通貨"),"○","")</f>
        <v/>
      </c>
      <c r="AE15" s="137">
        <f>IF(EXACT(T('サービスコードマスタ（入力シート説明）'!$C19),"半角"),"○","")</f>
        <v/>
      </c>
      <c r="AF15" s="137">
        <f>IF(EXACT(T('サービスコードマスタ（入力シート説明）'!$C19),"半角カナ"),"○","")</f>
        <v/>
      </c>
      <c r="AG15" s="137">
        <f>IF(EXACT(T('サービスコードマスタ（入力シート説明）'!$C19),"半角英数・半角アンダーバー"),"○","")</f>
        <v/>
      </c>
      <c r="AH15" s="137">
        <f>IF(EXACT(T('サービスコードマスタ（入力シート説明）'!$C19),"日付（スラッシュあり）"),"○","")</f>
        <v/>
      </c>
      <c r="AI15" s="137">
        <f>IF(EXACT(T('サービスコードマスタ（入力シート説明）'!$C19),"全角英数"),"○","")</f>
        <v/>
      </c>
      <c r="AJ15" s="137">
        <f>IF(ISBLANK('サービスコードマスタ（入力シート説明）'!$D19),"",IF(ISERROR(FIND("(", 'サービスコードマスタ（入力シート説明）'!$D19, 1)),"",MID('サービスコードマスタ（入力シート説明）'!$D19,$BI15+1,$BJ15-$BI15-1)))</f>
        <v/>
      </c>
      <c r="AK15" s="137">
        <f>IF(EXACT(T('サービスコードマスタ（入力シート説明）'!$F19),"あり"),"○","")</f>
        <v/>
      </c>
      <c r="AL15" s="138" t="n"/>
      <c r="AM15" s="137">
        <f>IF(EXACT(T('サービスコードマスタ（入力シート説明）'!$E19),"条件付き必須"),"○","")</f>
        <v/>
      </c>
      <c r="AN15" s="137">
        <f>IF(EXACT(T('サービスコードマスタ（入力シート説明）'!$G19),"あり"),"○","")</f>
        <v/>
      </c>
      <c r="AO15" s="137">
        <f>IF(ISBLANK('サービスコードマスタ（入力シート説明）'!$N19),"","○")</f>
        <v/>
      </c>
      <c r="AP15" s="42" t="inlineStr">
        <is>
          <t>○</t>
        </is>
      </c>
      <c r="AQ15" s="161">
        <f>T('サービスコードマスタ（入力シート説明）'!$H19)</f>
        <v/>
      </c>
      <c r="AR15" s="67" t="n"/>
      <c r="AS15" s="67" t="n"/>
      <c r="AT15" s="67" t="n"/>
      <c r="AU15" s="67" t="n"/>
      <c r="AV15" s="68" t="n"/>
      <c r="AW15" s="69" t="n"/>
      <c r="AX15" s="114" t="n"/>
      <c r="AY15" s="70" t="n"/>
      <c r="AZ15" s="114" t="n"/>
      <c r="BA15" s="69" t="n"/>
      <c r="BB15" s="69" t="n"/>
      <c r="BC15" s="114" t="inlineStr">
        <is>
          <t>=IF(EXACT($H7,"Y"),LEN($N7)=0,TRUE)</t>
        </is>
      </c>
      <c r="BD15" s="114" t="inlineStr">
        <is>
          <t>=IF(EXACT($H7,"N"),IF(OR(EXACT($B7,"0002"),EXACT($B7,"0004"),EXACT($B7,"0087"),EXACT($B7,"1554"),EXACT($B7,"1555"),EXACT($B7,"0006")),IF(EXACT($Q7,"Y"),EXACT($C7,$N7),IF(EXACT($C7,"0000000000"),TRUE,LEN($N7)&gt;0)),IF(EXACT($C7,"0000000000"),LEN($N7)=0,EXACT($N7,"0000000000"))),TRUE)</t>
        </is>
      </c>
      <c r="BE15" s="114" t="n"/>
      <c r="BF15" s="68" t="n">
        <v>1.5</v>
      </c>
      <c r="BG15" s="112" t="n"/>
      <c r="BH15" s="137">
        <f>IF(ISBLANK('サービスコードマスタ（入力シート説明）'!$D19),"",LEN('サービスコードマスタ（入力シート説明）'!$D19))</f>
        <v/>
      </c>
      <c r="BI15" s="137">
        <f>IF(ISBLANK('サービスコードマスタ（入力シート説明）'!$D19),"",IF(ISERROR(FIND("(",'サービスコードマスタ（入力シート説明）'!$D19,1)),"",FIND("(",'サービスコードマスタ（入力シート説明）'!$D19,1)))</f>
        <v/>
      </c>
      <c r="BJ15" s="137">
        <f>IF(ISBLANK('サービスコードマスタ（入力シート説明）'!$D19),"",IF(ISERROR(FIND("(",'サービスコードマスタ（入力シート説明）'!$D19,1)),"",FIND(")",'サービスコードマスタ（入力シート説明）'!$D19,1)))</f>
        <v/>
      </c>
      <c r="BK15" s="137">
        <f>IF(ISBLANK('サービスコードマスタ（入力シート説明）'!$D19),"",IF($BL15="",0,IF($BL15=1,1,IF((IF($BI15="",$BH15,$BI15-1))=$BL15,2,3))))</f>
        <v/>
      </c>
      <c r="BL15" s="137">
        <f>IF(ISBLANK('サービスコードマスタ（入力シート説明）'!$D19),"",IF(ISERROR(FIND("～",'サービスコードマスタ（入力シート説明）'!$D19,1)),"",FIND("～",'サービスコードマスタ（入力シート説明）'!$D19,1)))</f>
        <v/>
      </c>
    </row>
    <row r="16" ht="75" customFormat="1" customHeight="1" s="4">
      <c r="A16" s="132">
        <f>ROW()-2</f>
        <v/>
      </c>
      <c r="B16" s="133">
        <f>SUBSTITUTE(ADDRESS(1,ROW()-1,2),"$1","")</f>
        <v/>
      </c>
      <c r="C16" s="134" t="n"/>
      <c r="D16" s="135">
        <f>VLOOKUP($A16,'サービスコードマスタ（入力シート説明）'!$A$7:$B$109,2,$A16)</f>
        <v/>
      </c>
      <c r="E16" s="134" t="n"/>
      <c r="F16" s="136">
        <f>$T16</f>
        <v/>
      </c>
      <c r="G16" s="42" t="n"/>
      <c r="H16" s="137">
        <f>IF(EXACT(T('サービスコードマスタ（入力シート説明）'!$E20),"必須"),"○","")</f>
        <v/>
      </c>
      <c r="I16" s="137">
        <f>IF(EXACT(T('サービスコードマスタ（入力シート説明）'!$C20),"数値"),"○","")</f>
        <v/>
      </c>
      <c r="J16" s="137">
        <f>IF(EXACT(T('サービスコードマスタ（入力シート説明）'!$C20),"電話番号"),"○","")</f>
        <v/>
      </c>
      <c r="K16" s="137">
        <f>IF(EXACT(T('サービスコードマスタ（入力シート説明）'!$C20),"郵便番号"),"○","")</f>
        <v/>
      </c>
      <c r="L16" s="137">
        <f>IF(EXACT(T('サービスコードマスタ（入力シート説明）'!$C20),"日付（スラッシュなし）"),"○","")</f>
        <v/>
      </c>
      <c r="M16" s="137">
        <f>IF(EXACT(T('サービスコードマスタ（入力シート説明）'!$C20),"半角英数"),"○","")</f>
        <v/>
      </c>
      <c r="N16" s="137">
        <f>IF(ISBLANK('サービスコードマスタ（入力シート説明）'!$D20),"", IF(ISERROR(FIND("～", 'サービスコードマスタ（入力シート説明）'!$D20, 1)), "", IF(EXACT('サービスコードマスタ（入力シート説明）'!$D20,"～"), "", IF(LEN(LEFT('サービスコードマスタ（入力シート説明）'!$D20, FIND("～", 'サービスコードマスタ（入力シート説明）'!$D20, 1) - 1)) &gt;= 1, LEFT('サービスコードマスタ（入力シート説明）'!$D20, FIND("～", 'サービスコードマスタ（入力シート説明）'!$D20, 1) - 1), ""))))</f>
        <v/>
      </c>
      <c r="O16" s="137">
        <f>IF(T16&lt;&gt;"","",IF(OR('サービスコードマスタ（入力シート説明）'!C20="全半角",'サービスコードマスタ（入力シート説明）'!C20="全角",'サービスコードマスタ（入力シート説明）'!C20="全角英数",'サービスコードマスタ（入力シート説明）'!C20="全半角英数カナ",'サービスコードマスタ（入力シート説明）'!C20="全角英数カナ",'サービスコードマスタ（入力シート説明）'!C20="全角カナ",'サービスコードマスタ（入力シート説明）'!C20="半角カナ",'サービスコードマスタ（入力シート説明）'!C20="全銀協"),IF(OR(P16&lt;&gt;"",Q16&lt;&gt;""),TRUNC(IF(P16="",Q16/BF16,P16/BF16),0),""),IF(OR(P16&lt;&gt;"",Q16&lt;&gt;""),IF(P16="",Q16,P16),"")))</f>
        <v/>
      </c>
      <c r="P16" s="137">
        <f>IF(ISBLANK('サービスコードマスタ（入力シート説明）'!$D20),"",IF($BK16=0,"",IF(OR($BK16=1,$BK16=3),MID('サービスコードマスタ（入力シート説明）'!$D20,$BL16+1,IF($BI16="",$BH16,$BI16-1)-$BL16)*IF($BG16&lt;&gt;"",$BF16,1),"")))</f>
        <v/>
      </c>
      <c r="Q16" s="137">
        <f>IF(ISBLANK('サービスコードマスタ（入力シート説明）'!$D20), "", IF($BK16=0, IF($BI16="",'サービスコードマスタ（入力シート説明）'!$D20,LEFT('サービスコードマスタ（入力シート説明）'!$D20,$BI16-1))*IF(BG16&lt;&gt;"",BF16,1),""))</f>
        <v/>
      </c>
      <c r="R16" s="137">
        <f>IF(EXACT(T('サービスコードマスタ（入力シート説明）'!$C20),"全角"),"○","")</f>
        <v/>
      </c>
      <c r="S16" s="137">
        <f>IF(EXACT(T('サービスコードマスタ（入力シート説明）'!$C20),"全角カナ"),"○","")</f>
        <v/>
      </c>
      <c r="T16" s="136">
        <f>IF(ISBLANK('サービスコードマスタ（入力シート説明）'!$L20),"",IF(ISERROR(FIND("～",'サービスコードマスタ（入力シート説明）'!$L20,1)), 'サービスコードマスタ（入力シート説明）'!$L20, ""))</f>
        <v/>
      </c>
      <c r="U16" s="137">
        <f>IF(ISBLANK('サービスコードマスタ（入力シート説明）'!$L20),"",IF(ISERROR(FIND("～",'サービスコードマスタ（入力シート説明）'!$L20,1)), "", 'サービスコードマスタ（入力シート説明）'!$L20))</f>
        <v/>
      </c>
      <c r="V16" s="137">
        <f>IF(EXACT(T('サービスコードマスタ（入力シート説明）'!$I20),"あり"),"○","")</f>
        <v/>
      </c>
      <c r="W16" s="137">
        <f>IF(EXACT(T('サービスコードマスタ（入力シート説明）'!$C20),"全銀協"),"○","")</f>
        <v/>
      </c>
      <c r="X16" s="137">
        <f>IF(EXACT(T('サービスコードマスタ（入力シート説明）'!$C20),"事業所コード"),"○","")</f>
        <v/>
      </c>
      <c r="Y16" s="137">
        <f>IF(EXACT(T('サービスコードマスタ（入力シート説明）'!$C20),"半角英数大文字・半角スペース"),"○","")</f>
        <v/>
      </c>
      <c r="Z16" s="137">
        <f>IF(EXACT(T('サービスコードマスタ（入力シート説明）'!$C20),"半角英数・半角ハイフン"),"○","")</f>
        <v/>
      </c>
      <c r="AA16" s="137">
        <f>IF(EXACT(T('サービスコードマスタ（入力シート説明）'!$C20),"全角英数カナ"),"○","")</f>
        <v/>
      </c>
      <c r="AB16" s="137">
        <f>IF(EXACT(T('サービスコードマスタ（入力シート説明）'!$C20),"半角英数カナ"),"○","")</f>
        <v/>
      </c>
      <c r="AC16" s="137">
        <f>IF(EXACT(T('サービスコードマスタ（入力シート説明）'!$C20),"全半角英数カナ"),"○","")</f>
        <v/>
      </c>
      <c r="AD16" s="137">
        <f>IF(EXACT(T('サービスコードマスタ（入力シート説明）'!$C20),"通貨"),"○","")</f>
        <v/>
      </c>
      <c r="AE16" s="137">
        <f>IF(EXACT(T('サービスコードマスタ（入力シート説明）'!$C20),"半角"),"○","")</f>
        <v/>
      </c>
      <c r="AF16" s="137">
        <f>IF(EXACT(T('サービスコードマスタ（入力シート説明）'!$C20),"半角カナ"),"○","")</f>
        <v/>
      </c>
      <c r="AG16" s="137">
        <f>IF(EXACT(T('サービスコードマスタ（入力シート説明）'!$C20),"半角英数・半角アンダーバー"),"○","")</f>
        <v/>
      </c>
      <c r="AH16" s="137">
        <f>IF(EXACT(T('サービスコードマスタ（入力シート説明）'!$C20),"日付（スラッシュあり）"),"○","")</f>
        <v/>
      </c>
      <c r="AI16" s="137">
        <f>IF(EXACT(T('サービスコードマスタ（入力シート説明）'!$C20),"全角英数"),"○","")</f>
        <v/>
      </c>
      <c r="AJ16" s="137">
        <f>IF(ISBLANK('サービスコードマスタ（入力シート説明）'!$D20),"",IF(ISERROR(FIND("(", 'サービスコードマスタ（入力シート説明）'!$D20, 1)),"",MID('サービスコードマスタ（入力シート説明）'!$D20,$BI16+1,$BJ16-$BI16-1)))</f>
        <v/>
      </c>
      <c r="AK16" s="137">
        <f>IF(EXACT(T('サービスコードマスタ（入力シート説明）'!$F20),"あり"),"○","")</f>
        <v/>
      </c>
      <c r="AL16" s="138" t="n"/>
      <c r="AM16" s="137">
        <f>IF(EXACT(T('サービスコードマスタ（入力シート説明）'!$E20),"条件付き必須"),"○","")</f>
        <v/>
      </c>
      <c r="AN16" s="137">
        <f>IF(EXACT(T('サービスコードマスタ（入力シート説明）'!$G20),"あり"),"○","")</f>
        <v/>
      </c>
      <c r="AO16" s="137">
        <f>IF(ISBLANK('サービスコードマスタ（入力シート説明）'!$N20),"","○")</f>
        <v/>
      </c>
      <c r="AP16" s="42" t="n"/>
      <c r="AQ16" s="161">
        <f>T('サービスコードマスタ（入力シート説明）'!$H20)</f>
        <v/>
      </c>
      <c r="AR16" s="67" t="n"/>
      <c r="AS16" s="67" t="n"/>
      <c r="AT16" s="67" t="n"/>
      <c r="AU16" s="67" t="n"/>
      <c r="AV16" s="68" t="n"/>
      <c r="AW16" s="69" t="n"/>
      <c r="AX16" s="114" t="n"/>
      <c r="AY16" s="70" t="n"/>
      <c r="AZ16" s="114" t="n"/>
      <c r="BA16" s="69" t="n"/>
      <c r="BB16" s="69" t="n"/>
      <c r="BC16" s="114" t="inlineStr">
        <is>
          <t>=IF(EXACT($H7,"Y"),LEN($O7)=0,TRUE)</t>
        </is>
      </c>
      <c r="BD16" s="114" t="inlineStr">
        <is>
          <t>=IF(EXACT($C7,"0000000000"),LEN($O7)=0,IF(AND(EXACT($H7,"N"),NOT(EXACT($R7,"Y"))),OR(EXACT($O7,"Y"),EXACT($P7,"Y")),TRUE))</t>
        </is>
      </c>
      <c r="BE16" s="263" t="n"/>
      <c r="BF16" s="68" t="n">
        <v>1.5</v>
      </c>
      <c r="BG16" s="112" t="n"/>
      <c r="BH16" s="137">
        <f>IF(ISBLANK('サービスコードマスタ（入力シート説明）'!$D20),"",LEN('サービスコードマスタ（入力シート説明）'!$D20))</f>
        <v/>
      </c>
      <c r="BI16" s="137">
        <f>IF(ISBLANK('サービスコードマスタ（入力シート説明）'!$D20),"",IF(ISERROR(FIND("(",'サービスコードマスタ（入力シート説明）'!$D20,1)),"",FIND("(",'サービスコードマスタ（入力シート説明）'!$D20,1)))</f>
        <v/>
      </c>
      <c r="BJ16" s="137">
        <f>IF(ISBLANK('サービスコードマスタ（入力シート説明）'!$D20),"",IF(ISERROR(FIND("(",'サービスコードマスタ（入力シート説明）'!$D20,1)),"",FIND(")",'サービスコードマスタ（入力シート説明）'!$D20,1)))</f>
        <v/>
      </c>
      <c r="BK16" s="137">
        <f>IF(ISBLANK('サービスコードマスタ（入力シート説明）'!$D20),"",IF($BL16="",0,IF($BL16=1,1,IF((IF($BI16="",$BH16,$BI16-1))=$BL16,2,3))))</f>
        <v/>
      </c>
      <c r="BL16" s="137">
        <f>IF(ISBLANK('サービスコードマスタ（入力シート説明）'!$D20),"",IF(ISERROR(FIND("～",'サービスコードマスタ（入力シート説明）'!$D20,1)),"",FIND("～",'サービスコードマスタ（入力シート説明）'!$D20,1)))</f>
        <v/>
      </c>
    </row>
    <row r="17" ht="72" customFormat="1" customHeight="1" s="4">
      <c r="A17" s="132">
        <f>ROW()-2</f>
        <v/>
      </c>
      <c r="B17" s="133">
        <f>SUBSTITUTE(ADDRESS(1,ROW()-1,2),"$1","")</f>
        <v/>
      </c>
      <c r="C17" s="134" t="n"/>
      <c r="D17" s="135">
        <f>VLOOKUP($A17,'サービスコードマスタ（入力シート説明）'!$A$7:$B$109,2,$A17)</f>
        <v/>
      </c>
      <c r="E17" s="134" t="n"/>
      <c r="F17" s="136">
        <f>$T17</f>
        <v/>
      </c>
      <c r="G17" s="42" t="n"/>
      <c r="H17" s="137">
        <f>IF(EXACT(T('サービスコードマスタ（入力シート説明）'!$E21),"必須"),"○","")</f>
        <v/>
      </c>
      <c r="I17" s="137">
        <f>IF(EXACT(T('サービスコードマスタ（入力シート説明）'!$C21),"数値"),"○","")</f>
        <v/>
      </c>
      <c r="J17" s="137">
        <f>IF(EXACT(T('サービスコードマスタ（入力シート説明）'!$C21),"電話番号"),"○","")</f>
        <v/>
      </c>
      <c r="K17" s="137">
        <f>IF(EXACT(T('サービスコードマスタ（入力シート説明）'!$C21),"郵便番号"),"○","")</f>
        <v/>
      </c>
      <c r="L17" s="137">
        <f>IF(EXACT(T('サービスコードマスタ（入力シート説明）'!$C21),"日付（スラッシュなし）"),"○","")</f>
        <v/>
      </c>
      <c r="M17" s="137">
        <f>IF(EXACT(T('サービスコードマスタ（入力シート説明）'!$C21),"半角英数"),"○","")</f>
        <v/>
      </c>
      <c r="N17" s="137">
        <f>IF(ISBLANK('サービスコードマスタ（入力シート説明）'!$D21),"", IF(ISERROR(FIND("～", 'サービスコードマスタ（入力シート説明）'!$D21, 1)), "", IF(EXACT('サービスコードマスタ（入力シート説明）'!$D21,"～"), "", IF(LEN(LEFT('サービスコードマスタ（入力シート説明）'!$D21, FIND("～", 'サービスコードマスタ（入力シート説明）'!$D21, 1) - 1)) &gt;= 1, LEFT('サービスコードマスタ（入力シート説明）'!$D21, FIND("～", 'サービスコードマスタ（入力シート説明）'!$D21, 1) - 1), ""))))</f>
        <v/>
      </c>
      <c r="O17" s="137">
        <f>IF(T17&lt;&gt;"","",IF(OR('サービスコードマスタ（入力シート説明）'!C21="全半角",'サービスコードマスタ（入力シート説明）'!C21="全角",'サービスコードマスタ（入力シート説明）'!C21="全角英数",'サービスコードマスタ（入力シート説明）'!C21="全半角英数カナ",'サービスコードマスタ（入力シート説明）'!C21="全角英数カナ",'サービスコードマスタ（入力シート説明）'!C21="全角カナ",'サービスコードマスタ（入力シート説明）'!C21="半角カナ",'サービスコードマスタ（入力シート説明）'!C21="全銀協"),IF(OR(P17&lt;&gt;"",Q17&lt;&gt;""),TRUNC(IF(P17="",Q17/BF17,P17/BF17),0),""),IF(OR(P17&lt;&gt;"",Q17&lt;&gt;""),IF(P17="",Q17,P17),"")))</f>
        <v/>
      </c>
      <c r="P17" s="137">
        <f>IF(ISBLANK('サービスコードマスタ（入力シート説明）'!$D21),"",IF($BK17=0,"",IF(OR($BK17=1,$BK17=3),MID('サービスコードマスタ（入力シート説明）'!$D21,$BL17+1,IF($BI17="",$BH17,$BI17-1)-$BL17)*IF($BG17&lt;&gt;"",$BF17,1),"")))</f>
        <v/>
      </c>
      <c r="Q17" s="137">
        <f>IF(ISBLANK('サービスコードマスタ（入力シート説明）'!$D21), "", IF($BK17=0, IF($BI17="",'サービスコードマスタ（入力シート説明）'!$D21,LEFT('サービスコードマスタ（入力シート説明）'!$D21,$BI17-1))*IF(BG17&lt;&gt;"",BF17,1),""))</f>
        <v/>
      </c>
      <c r="R17" s="137">
        <f>IF(EXACT(T('サービスコードマスタ（入力シート説明）'!$C21),"全角"),"○","")</f>
        <v/>
      </c>
      <c r="S17" s="137">
        <f>IF(EXACT(T('サービスコードマスタ（入力シート説明）'!$C21),"全角カナ"),"○","")</f>
        <v/>
      </c>
      <c r="T17" s="136">
        <f>IF(ISBLANK('サービスコードマスタ（入力シート説明）'!$L21),"",IF(ISERROR(FIND("～",'サービスコードマスタ（入力シート説明）'!$L21,1)), 'サービスコードマスタ（入力シート説明）'!$L21, ""))</f>
        <v/>
      </c>
      <c r="U17" s="137">
        <f>IF(ISBLANK('サービスコードマスタ（入力シート説明）'!$L21),"",IF(ISERROR(FIND("～",'サービスコードマスタ（入力シート説明）'!$L21,1)), "", 'サービスコードマスタ（入力シート説明）'!$L21))</f>
        <v/>
      </c>
      <c r="V17" s="137">
        <f>IF(EXACT(T('サービスコードマスタ（入力シート説明）'!$I21),"あり"),"○","")</f>
        <v/>
      </c>
      <c r="W17" s="137">
        <f>IF(EXACT(T('サービスコードマスタ（入力シート説明）'!$C21),"全銀協"),"○","")</f>
        <v/>
      </c>
      <c r="X17" s="137">
        <f>IF(EXACT(T('サービスコードマスタ（入力シート説明）'!$C21),"事業所コード"),"○","")</f>
        <v/>
      </c>
      <c r="Y17" s="137">
        <f>IF(EXACT(T('サービスコードマスタ（入力シート説明）'!$C21),"半角英数大文字・半角スペース"),"○","")</f>
        <v/>
      </c>
      <c r="Z17" s="137">
        <f>IF(EXACT(T('サービスコードマスタ（入力シート説明）'!$C21),"半角英数・半角ハイフン"),"○","")</f>
        <v/>
      </c>
      <c r="AA17" s="137">
        <f>IF(EXACT(T('サービスコードマスタ（入力シート説明）'!$C21),"全角英数カナ"),"○","")</f>
        <v/>
      </c>
      <c r="AB17" s="137">
        <f>IF(EXACT(T('サービスコードマスタ（入力シート説明）'!$C21),"半角英数カナ"),"○","")</f>
        <v/>
      </c>
      <c r="AC17" s="137">
        <f>IF(EXACT(T('サービスコードマスタ（入力シート説明）'!$C21),"全半角英数カナ"),"○","")</f>
        <v/>
      </c>
      <c r="AD17" s="137">
        <f>IF(EXACT(T('サービスコードマスタ（入力シート説明）'!$C21),"通貨"),"○","")</f>
        <v/>
      </c>
      <c r="AE17" s="137">
        <f>IF(EXACT(T('サービスコードマスタ（入力シート説明）'!$C21),"半角"),"○","")</f>
        <v/>
      </c>
      <c r="AF17" s="137">
        <f>IF(EXACT(T('サービスコードマスタ（入力シート説明）'!$C21),"半角カナ"),"○","")</f>
        <v/>
      </c>
      <c r="AG17" s="137">
        <f>IF(EXACT(T('サービスコードマスタ（入力シート説明）'!$C21),"半角英数・半角アンダーバー"),"○","")</f>
        <v/>
      </c>
      <c r="AH17" s="137">
        <f>IF(EXACT(T('サービスコードマスタ（入力シート説明）'!$C21),"日付（スラッシュあり）"),"○","")</f>
        <v/>
      </c>
      <c r="AI17" s="137">
        <f>IF(EXACT(T('サービスコードマスタ（入力シート説明）'!$C21),"全角英数"),"○","")</f>
        <v/>
      </c>
      <c r="AJ17" s="137">
        <f>IF(ISBLANK('サービスコードマスタ（入力シート説明）'!$D21),"",IF(ISERROR(FIND("(", 'サービスコードマスタ（入力シート説明）'!$D21, 1)),"",MID('サービスコードマスタ（入力シート説明）'!$D21,$BI17+1,$BJ17-$BI17-1)))</f>
        <v/>
      </c>
      <c r="AK17" s="137">
        <f>IF(EXACT(T('サービスコードマスタ（入力シート説明）'!$F21),"あり"),"○","")</f>
        <v/>
      </c>
      <c r="AL17" s="138" t="n"/>
      <c r="AM17" s="137">
        <f>IF(EXACT(T('サービスコードマスタ（入力シート説明）'!$E21),"条件付き必須"),"○","")</f>
        <v/>
      </c>
      <c r="AN17" s="137">
        <f>IF(EXACT(T('サービスコードマスタ（入力シート説明）'!$G21),"あり"),"○","")</f>
        <v/>
      </c>
      <c r="AO17" s="137">
        <f>IF(ISBLANK('サービスコードマスタ（入力シート説明）'!$N21),"","○")</f>
        <v/>
      </c>
      <c r="AP17" s="42" t="n"/>
      <c r="AQ17" s="161">
        <f>T('サービスコードマスタ（入力シート説明）'!$H21)</f>
        <v/>
      </c>
      <c r="AR17" s="67" t="n"/>
      <c r="AS17" s="67" t="n"/>
      <c r="AT17" s="67" t="n"/>
      <c r="AU17" s="67" t="n"/>
      <c r="AV17" s="68" t="n"/>
      <c r="AW17" s="69" t="n"/>
      <c r="AX17" s="114" t="n"/>
      <c r="AY17" s="70" t="n"/>
      <c r="AZ17" s="114" t="n"/>
      <c r="BA17" s="69" t="n"/>
      <c r="BB17" s="69" t="n"/>
      <c r="BC17" s="114" t="inlineStr">
        <is>
          <t>=IF(EXACT($H7,"Y"),LEN($P7)=0,TRUE)</t>
        </is>
      </c>
      <c r="BD17" s="114" t="inlineStr">
        <is>
          <t>=IF(EXACT($C7,"0000000000"),EXACT($P7,"Y"),IF(AND(EXACT($H7,"N"),NOT(EXACT($R7,"Y"))),OR(EXACT($O7,"Y"),EXACT($P7,"Y")),TRUE))</t>
        </is>
      </c>
      <c r="BE17" s="69" t="n"/>
      <c r="BF17" s="68" t="n">
        <v>1.5</v>
      </c>
      <c r="BG17" s="112" t="n"/>
      <c r="BH17" s="137">
        <f>IF(ISBLANK('サービスコードマスタ（入力シート説明）'!$D21),"",LEN('サービスコードマスタ（入力シート説明）'!$D21))</f>
        <v/>
      </c>
      <c r="BI17" s="137">
        <f>IF(ISBLANK('サービスコードマスタ（入力シート説明）'!$D21),"",IF(ISERROR(FIND("(",'サービスコードマスタ（入力シート説明）'!$D21,1)),"",FIND("(",'サービスコードマスタ（入力シート説明）'!$D21,1)))</f>
        <v/>
      </c>
      <c r="BJ17" s="137">
        <f>IF(ISBLANK('サービスコードマスタ（入力シート説明）'!$D21),"",IF(ISERROR(FIND("(",'サービスコードマスタ（入力シート説明）'!$D21,1)),"",FIND(")",'サービスコードマスタ（入力シート説明）'!$D21,1)))</f>
        <v/>
      </c>
      <c r="BK17" s="137">
        <f>IF(ISBLANK('サービスコードマスタ（入力シート説明）'!$D21),"",IF($BL17="",0,IF($BL17=1,1,IF((IF($BI17="",$BH17,$BI17-1))=$BL17,2,3))))</f>
        <v/>
      </c>
      <c r="BL17" s="137">
        <f>IF(ISBLANK('サービスコードマスタ（入力シート説明）'!$D21),"",IF(ISERROR(FIND("～",'サービスコードマスタ（入力シート説明）'!$D21,1)),"",FIND("～",'サービスコードマスタ（入力シート説明）'!$D21,1)))</f>
        <v/>
      </c>
    </row>
    <row r="18" ht="117" customFormat="1" customHeight="1" s="4">
      <c r="A18" s="132">
        <f>ROW()-2</f>
        <v/>
      </c>
      <c r="B18" s="133">
        <f>SUBSTITUTE(ADDRESS(1,ROW()-1,2),"$1","")</f>
        <v/>
      </c>
      <c r="C18" s="134" t="n"/>
      <c r="D18" s="135">
        <f>VLOOKUP($A18,'サービスコードマスタ（入力シート説明）'!$A$7:$B$109,2,$A18)</f>
        <v/>
      </c>
      <c r="E18" s="134" t="n"/>
      <c r="F18" s="136">
        <f>$T18</f>
        <v/>
      </c>
      <c r="G18" s="42" t="n"/>
      <c r="H18" s="137">
        <f>IF(EXACT(T('サービスコードマスタ（入力シート説明）'!$E22),"必須"),"○","")</f>
        <v/>
      </c>
      <c r="I18" s="137">
        <f>IF(EXACT(T('サービスコードマスタ（入力シート説明）'!$C22),"数値"),"○","")</f>
        <v/>
      </c>
      <c r="J18" s="137">
        <f>IF(EXACT(T('サービスコードマスタ（入力シート説明）'!$C22),"電話番号"),"○","")</f>
        <v/>
      </c>
      <c r="K18" s="137">
        <f>IF(EXACT(T('サービスコードマスタ（入力シート説明）'!$C22),"郵便番号"),"○","")</f>
        <v/>
      </c>
      <c r="L18" s="137">
        <f>IF(EXACT(T('サービスコードマスタ（入力シート説明）'!$C22),"日付（スラッシュなし）"),"○","")</f>
        <v/>
      </c>
      <c r="M18" s="137">
        <f>IF(EXACT(T('サービスコードマスタ（入力シート説明）'!$C22),"半角英数"),"○","")</f>
        <v/>
      </c>
      <c r="N18" s="137">
        <f>IF(ISBLANK('サービスコードマスタ（入力シート説明）'!$D22),"", IF(ISERROR(FIND("～", 'サービスコードマスタ（入力シート説明）'!$D22, 1)), "", IF(EXACT('サービスコードマスタ（入力シート説明）'!$D22,"～"), "", IF(LEN(LEFT('サービスコードマスタ（入力シート説明）'!$D22, FIND("～", 'サービスコードマスタ（入力シート説明）'!$D22, 1) - 1)) &gt;= 1, LEFT('サービスコードマスタ（入力シート説明）'!$D22, FIND("～", 'サービスコードマスタ（入力シート説明）'!$D22, 1) - 1), ""))))</f>
        <v/>
      </c>
      <c r="O18" s="137">
        <f>IF(T18&lt;&gt;"","",IF(OR('サービスコードマスタ（入力シート説明）'!C22="全半角",'サービスコードマスタ（入力シート説明）'!C22="全角",'サービスコードマスタ（入力シート説明）'!C22="全角英数",'サービスコードマスタ（入力シート説明）'!C22="全半角英数カナ",'サービスコードマスタ（入力シート説明）'!C22="全角英数カナ",'サービスコードマスタ（入力シート説明）'!C22="全角カナ",'サービスコードマスタ（入力シート説明）'!C22="半角カナ",'サービスコードマスタ（入力シート説明）'!C22="全銀協"),IF(OR(P18&lt;&gt;"",Q18&lt;&gt;""),TRUNC(IF(P18="",Q18/BF18,P18/BF18),0),""),IF(OR(P18&lt;&gt;"",Q18&lt;&gt;""),IF(P18="",Q18,P18),"")))</f>
        <v/>
      </c>
      <c r="P18" s="137">
        <f>IF(ISBLANK('サービスコードマスタ（入力シート説明）'!$D22),"",IF($BK18=0,"",IF(OR($BK18=1,$BK18=3),MID('サービスコードマスタ（入力シート説明）'!$D22,$BL18+1,IF($BI18="",$BH18,$BI18-1)-$BL18)*IF($BG18&lt;&gt;"",$BF18,1),"")))</f>
        <v/>
      </c>
      <c r="Q18" s="137">
        <f>IF(ISBLANK('サービスコードマスタ（入力シート説明）'!$D22), "", IF($BK18=0, IF($BI18="",'サービスコードマスタ（入力シート説明）'!$D22,LEFT('サービスコードマスタ（入力シート説明）'!$D22,$BI18-1))*IF(BG18&lt;&gt;"",BF18,1),""))</f>
        <v/>
      </c>
      <c r="R18" s="137">
        <f>IF(EXACT(T('サービスコードマスタ（入力シート説明）'!$C22),"全角"),"○","")</f>
        <v/>
      </c>
      <c r="S18" s="137">
        <f>IF(EXACT(T('サービスコードマスタ（入力シート説明）'!$C22),"全角カナ"),"○","")</f>
        <v/>
      </c>
      <c r="T18" s="136">
        <f>IF(ISBLANK('サービスコードマスタ（入力シート説明）'!$L22),"",IF(ISERROR(FIND("～",'サービスコードマスタ（入力シート説明）'!$L22,1)), 'サービスコードマスタ（入力シート説明）'!$L22, ""))</f>
        <v/>
      </c>
      <c r="U18" s="137">
        <f>IF(ISBLANK('サービスコードマスタ（入力シート説明）'!$L22),"",IF(ISERROR(FIND("～",'サービスコードマスタ（入力シート説明）'!$L22,1)), "", 'サービスコードマスタ（入力シート説明）'!$L22))</f>
        <v/>
      </c>
      <c r="V18" s="137">
        <f>IF(EXACT(T('サービスコードマスタ（入力シート説明）'!$I22),"あり"),"○","")</f>
        <v/>
      </c>
      <c r="W18" s="137">
        <f>IF(EXACT(T('サービスコードマスタ（入力シート説明）'!$C22),"全銀協"),"○","")</f>
        <v/>
      </c>
      <c r="X18" s="137">
        <f>IF(EXACT(T('サービスコードマスタ（入力シート説明）'!$C22),"事業所コード"),"○","")</f>
        <v/>
      </c>
      <c r="Y18" s="137">
        <f>IF(EXACT(T('サービスコードマスタ（入力シート説明）'!$C22),"半角英数大文字・半角スペース"),"○","")</f>
        <v/>
      </c>
      <c r="Z18" s="137">
        <f>IF(EXACT(T('サービスコードマスタ（入力シート説明）'!$C22),"半角英数・半角ハイフン"),"○","")</f>
        <v/>
      </c>
      <c r="AA18" s="137">
        <f>IF(EXACT(T('サービスコードマスタ（入力シート説明）'!$C22),"全角英数カナ"),"○","")</f>
        <v/>
      </c>
      <c r="AB18" s="137">
        <f>IF(EXACT(T('サービスコードマスタ（入力シート説明）'!$C22),"半角英数カナ"),"○","")</f>
        <v/>
      </c>
      <c r="AC18" s="137">
        <f>IF(EXACT(T('サービスコードマスタ（入力シート説明）'!$C22),"全半角英数カナ"),"○","")</f>
        <v/>
      </c>
      <c r="AD18" s="137">
        <f>IF(EXACT(T('サービスコードマスタ（入力シート説明）'!$C22),"通貨"),"○","")</f>
        <v/>
      </c>
      <c r="AE18" s="137">
        <f>IF(EXACT(T('サービスコードマスタ（入力シート説明）'!$C22),"半角"),"○","")</f>
        <v/>
      </c>
      <c r="AF18" s="137">
        <f>IF(EXACT(T('サービスコードマスタ（入力シート説明）'!$C22),"半角カナ"),"○","")</f>
        <v/>
      </c>
      <c r="AG18" s="137">
        <f>IF(EXACT(T('サービスコードマスタ（入力シート説明）'!$C22),"半角英数・半角アンダーバー"),"○","")</f>
        <v/>
      </c>
      <c r="AH18" s="137">
        <f>IF(EXACT(T('サービスコードマスタ（入力シート説明）'!$C22),"日付（スラッシュあり）"),"○","")</f>
        <v/>
      </c>
      <c r="AI18" s="137">
        <f>IF(EXACT(T('サービスコードマスタ（入力シート説明）'!$C22),"全角英数"),"○","")</f>
        <v/>
      </c>
      <c r="AJ18" s="137">
        <f>IF(ISBLANK('サービスコードマスタ（入力シート説明）'!$D22),"",IF(ISERROR(FIND("(", 'サービスコードマスタ（入力シート説明）'!$D22, 1)),"",MID('サービスコードマスタ（入力シート説明）'!$D22,$BI18+1,$BJ18-$BI18-1)))</f>
        <v/>
      </c>
      <c r="AK18" s="137">
        <f>IF(EXACT(T('サービスコードマスタ（入力シート説明）'!$F22),"あり"),"○","")</f>
        <v/>
      </c>
      <c r="AL18" s="138" t="n"/>
      <c r="AM18" s="137">
        <f>IF(EXACT(T('サービスコードマスタ（入力シート説明）'!$E22),"条件付き必須"),"○","")</f>
        <v/>
      </c>
      <c r="AN18" s="137">
        <f>IF(EXACT(T('サービスコードマスタ（入力シート説明）'!$G22),"あり"),"○","")</f>
        <v/>
      </c>
      <c r="AO18" s="137">
        <f>IF(ISBLANK('サービスコードマスタ（入力シート説明）'!$N22),"","○")</f>
        <v/>
      </c>
      <c r="AP18" s="42" t="n"/>
      <c r="AQ18" s="161">
        <f>T('サービスコードマスタ（入力シート説明）'!$H22)</f>
        <v/>
      </c>
      <c r="AR18" s="67" t="n"/>
      <c r="AS18" s="67" t="n"/>
      <c r="AT18" s="67" t="n"/>
      <c r="AU18" s="67" t="n"/>
      <c r="AV18" s="68" t="n"/>
      <c r="AW18" s="69" t="n"/>
      <c r="AX18" s="114" t="n"/>
      <c r="AY18" s="70" t="n"/>
      <c r="AZ18" s="114" t="n"/>
      <c r="BA18" s="69" t="n"/>
      <c r="BB18" s="69" t="n"/>
      <c r="BC18" s="114" t="inlineStr">
        <is>
          <t>=IF(EXACT($H7,"Y"),LEN($Q7)=0,TRUE)</t>
        </is>
      </c>
      <c r="BD18" s="114" t="inlineStr">
        <is>
          <t>=IF(EXACT($C7,"0000000000"),LEN($Q7)=0,IF(OR(EXACT($B7,"0002"),EXACT($B7,"0004"),EXACT($B7,"0034"),EXACT($B7,"0087"),EXACT($B7,"1554"),EXACT($B7,"1555"),EXACT($B7,"0006")),TRUE,IF(EXACT($C7,"9988999999"),EXACT($Q7,"Y"),IF(EXACT($H7,"N"),LEN($Q7)=0,TRUE))))</t>
        </is>
      </c>
      <c r="BE18" s="114" t="n"/>
      <c r="BF18" s="68" t="n">
        <v>1.5</v>
      </c>
      <c r="BG18" s="112" t="n"/>
      <c r="BH18" s="137">
        <f>IF(ISBLANK('サービスコードマスタ（入力シート説明）'!$D22),"",LEN('サービスコードマスタ（入力シート説明）'!$D22))</f>
        <v/>
      </c>
      <c r="BI18" s="137">
        <f>IF(ISBLANK('サービスコードマスタ（入力シート説明）'!$D22),"",IF(ISERROR(FIND("(",'サービスコードマスタ（入力シート説明）'!$D22,1)),"",FIND("(",'サービスコードマスタ（入力シート説明）'!$D22,1)))</f>
        <v/>
      </c>
      <c r="BJ18" s="137">
        <f>IF(ISBLANK('サービスコードマスタ（入力シート説明）'!$D22),"",IF(ISERROR(FIND("(",'サービスコードマスタ（入力シート説明）'!$D22,1)),"",FIND(")",'サービスコードマスタ（入力シート説明）'!$D22,1)))</f>
        <v/>
      </c>
      <c r="BK18" s="137">
        <f>IF(ISBLANK('サービスコードマスタ（入力シート説明）'!$D22),"",IF($BL18="",0,IF($BL18=1,1,IF((IF($BI18="",$BH18,$BI18-1))=$BL18,2,3))))</f>
        <v/>
      </c>
      <c r="BL18" s="137">
        <f>IF(ISBLANK('サービスコードマスタ（入力シート説明）'!$D22),"",IF(ISERROR(FIND("～",'サービスコードマスタ（入力シート説明）'!$D22,1)),"",FIND("～",'サービスコードマスタ（入力シート説明）'!$D22,1)))</f>
        <v/>
      </c>
    </row>
    <row r="19" ht="129" customFormat="1" customHeight="1" s="4">
      <c r="A19" s="132">
        <f>ROW()-2</f>
        <v/>
      </c>
      <c r="B19" s="133">
        <f>SUBSTITUTE(ADDRESS(1,ROW()-1,2),"$1","")</f>
        <v/>
      </c>
      <c r="C19" s="134" t="n"/>
      <c r="D19" s="135">
        <f>VLOOKUP($A19,'サービスコードマスタ（入力シート説明）'!$A$7:$B$109,2,$A19)</f>
        <v/>
      </c>
      <c r="E19" s="134" t="n"/>
      <c r="F19" s="136">
        <f>$T19</f>
        <v/>
      </c>
      <c r="G19" s="42" t="n"/>
      <c r="H19" s="137">
        <f>IF(EXACT(T('サービスコードマスタ（入力シート説明）'!$E23),"必須"),"○","")</f>
        <v/>
      </c>
      <c r="I19" s="137">
        <f>IF(EXACT(T('サービスコードマスタ（入力シート説明）'!$C23),"数値"),"○","")</f>
        <v/>
      </c>
      <c r="J19" s="137">
        <f>IF(EXACT(T('サービスコードマスタ（入力シート説明）'!$C23),"電話番号"),"○","")</f>
        <v/>
      </c>
      <c r="K19" s="137">
        <f>IF(EXACT(T('サービスコードマスタ（入力シート説明）'!$C23),"郵便番号"),"○","")</f>
        <v/>
      </c>
      <c r="L19" s="137">
        <f>IF(EXACT(T('サービスコードマスタ（入力シート説明）'!$C23),"日付（スラッシュなし）"),"○","")</f>
        <v/>
      </c>
      <c r="M19" s="137">
        <f>IF(EXACT(T('サービスコードマスタ（入力シート説明）'!$C23),"半角英数"),"○","")</f>
        <v/>
      </c>
      <c r="N19" s="137">
        <f>IF(ISBLANK('サービスコードマスタ（入力シート説明）'!$D23),"", IF(ISERROR(FIND("～", 'サービスコードマスタ（入力シート説明）'!$D23, 1)), "", IF(EXACT('サービスコードマスタ（入力シート説明）'!$D23,"～"), "", IF(LEN(LEFT('サービスコードマスタ（入力シート説明）'!$D23, FIND("～", 'サービスコードマスタ（入力シート説明）'!$D23, 1) - 1)) &gt;= 1, LEFT('サービスコードマスタ（入力シート説明）'!$D23, FIND("～", 'サービスコードマスタ（入力シート説明）'!$D23, 1) - 1), ""))))</f>
        <v/>
      </c>
      <c r="O19" s="137">
        <f>IF(T19&lt;&gt;"","",IF(OR('サービスコードマスタ（入力シート説明）'!C23="全半角",'サービスコードマスタ（入力シート説明）'!C23="全角",'サービスコードマスタ（入力シート説明）'!C23="全角英数",'サービスコードマスタ（入力シート説明）'!C23="全半角英数カナ",'サービスコードマスタ（入力シート説明）'!C23="全角英数カナ",'サービスコードマスタ（入力シート説明）'!C23="全角カナ",'サービスコードマスタ（入力シート説明）'!C23="半角カナ",'サービスコードマスタ（入力シート説明）'!C23="全銀協"),IF(OR(P19&lt;&gt;"",Q19&lt;&gt;""),TRUNC(IF(P19="",Q19/BF19,P19/BF19),0),""),IF(OR(P19&lt;&gt;"",Q19&lt;&gt;""),IF(P19="",Q19,P19),"")))</f>
        <v/>
      </c>
      <c r="P19" s="137">
        <f>IF(ISBLANK('サービスコードマスタ（入力シート説明）'!$D23),"",IF($BK19=0,"",IF(OR($BK19=1,$BK19=3),MID('サービスコードマスタ（入力シート説明）'!$D23,$BL19+1,IF($BI19="",$BH19,$BI19-1)-$BL19)*IF($BG19&lt;&gt;"",$BF19,1),"")))</f>
        <v/>
      </c>
      <c r="Q19" s="137">
        <f>IF(ISBLANK('サービスコードマスタ（入力シート説明）'!$D23), "", IF($BK19=0, IF($BI19="",'サービスコードマスタ（入力シート説明）'!$D23,LEFT('サービスコードマスタ（入力シート説明）'!$D23,$BI19-1))*IF(BG19&lt;&gt;"",BF19,1),""))</f>
        <v/>
      </c>
      <c r="R19" s="137">
        <f>IF(EXACT(T('サービスコードマスタ（入力シート説明）'!$C23),"全角"),"○","")</f>
        <v/>
      </c>
      <c r="S19" s="137">
        <f>IF(EXACT(T('サービスコードマスタ（入力シート説明）'!$C23),"全角カナ"),"○","")</f>
        <v/>
      </c>
      <c r="T19" s="136">
        <f>IF(ISBLANK('サービスコードマスタ（入力シート説明）'!$L23),"",IF(ISERROR(FIND("～",'サービスコードマスタ（入力シート説明）'!$L23,1)), 'サービスコードマスタ（入力シート説明）'!$L23, ""))</f>
        <v/>
      </c>
      <c r="U19" s="137">
        <f>IF(ISBLANK('サービスコードマスタ（入力シート説明）'!$L23),"",IF(ISERROR(FIND("～",'サービスコードマスタ（入力シート説明）'!$L23,1)), "", 'サービスコードマスタ（入力シート説明）'!$L23))</f>
        <v/>
      </c>
      <c r="V19" s="137">
        <f>IF(EXACT(T('サービスコードマスタ（入力シート説明）'!$I23),"あり"),"○","")</f>
        <v/>
      </c>
      <c r="W19" s="137">
        <f>IF(EXACT(T('サービスコードマスタ（入力シート説明）'!$C23),"全銀協"),"○","")</f>
        <v/>
      </c>
      <c r="X19" s="137">
        <f>IF(EXACT(T('サービスコードマスタ（入力シート説明）'!$C23),"事業所コード"),"○","")</f>
        <v/>
      </c>
      <c r="Y19" s="137">
        <f>IF(EXACT(T('サービスコードマスタ（入力シート説明）'!$C23),"半角英数大文字・半角スペース"),"○","")</f>
        <v/>
      </c>
      <c r="Z19" s="137">
        <f>IF(EXACT(T('サービスコードマスタ（入力シート説明）'!$C23),"半角英数・半角ハイフン"),"○","")</f>
        <v/>
      </c>
      <c r="AA19" s="137">
        <f>IF(EXACT(T('サービスコードマスタ（入力シート説明）'!$C23),"全角英数カナ"),"○","")</f>
        <v/>
      </c>
      <c r="AB19" s="137">
        <f>IF(EXACT(T('サービスコードマスタ（入力シート説明）'!$C23),"半角英数カナ"),"○","")</f>
        <v/>
      </c>
      <c r="AC19" s="137">
        <f>IF(EXACT(T('サービスコードマスタ（入力シート説明）'!$C23),"全半角英数カナ"),"○","")</f>
        <v/>
      </c>
      <c r="AD19" s="137">
        <f>IF(EXACT(T('サービスコードマスタ（入力シート説明）'!$C23),"通貨"),"○","")</f>
        <v/>
      </c>
      <c r="AE19" s="137">
        <f>IF(EXACT(T('サービスコードマスタ（入力シート説明）'!$C23),"半角"),"○","")</f>
        <v/>
      </c>
      <c r="AF19" s="137">
        <f>IF(EXACT(T('サービスコードマスタ（入力シート説明）'!$C23),"半角カナ"),"○","")</f>
        <v/>
      </c>
      <c r="AG19" s="137">
        <f>IF(EXACT(T('サービスコードマスタ（入力シート説明）'!$C23),"半角英数・半角アンダーバー"),"○","")</f>
        <v/>
      </c>
      <c r="AH19" s="137">
        <f>IF(EXACT(T('サービスコードマスタ（入力シート説明）'!$C23),"日付（スラッシュあり）"),"○","")</f>
        <v/>
      </c>
      <c r="AI19" s="137">
        <f>IF(EXACT(T('サービスコードマスタ（入力シート説明）'!$C23),"全角英数"),"○","")</f>
        <v/>
      </c>
      <c r="AJ19" s="137">
        <f>IF(ISBLANK('サービスコードマスタ（入力シート説明）'!$D23),"",IF(ISERROR(FIND("(", 'サービスコードマスタ（入力シート説明）'!$D23, 1)),"",MID('サービスコードマスタ（入力シート説明）'!$D23,$BI19+1,$BJ19-$BI19-1)))</f>
        <v/>
      </c>
      <c r="AK19" s="137">
        <f>IF(EXACT(T('サービスコードマスタ（入力シート説明）'!$F23),"あり"),"○","")</f>
        <v/>
      </c>
      <c r="AL19" s="138" t="n"/>
      <c r="AM19" s="137">
        <f>IF(EXACT(T('サービスコードマスタ（入力シート説明）'!$E23),"条件付き必須"),"○","")</f>
        <v/>
      </c>
      <c r="AN19" s="137">
        <f>IF(EXACT(T('サービスコードマスタ（入力シート説明）'!$G23),"あり"),"○","")</f>
        <v/>
      </c>
      <c r="AO19" s="137">
        <f>IF(ISBLANK('サービスコードマスタ（入力シート説明）'!$N23),"","○")</f>
        <v/>
      </c>
      <c r="AP19" s="42" t="n"/>
      <c r="AQ19" s="161">
        <f>T('サービスコードマスタ（入力シート説明）'!$H23)</f>
        <v/>
      </c>
      <c r="AR19" s="67" t="n"/>
      <c r="AS19" s="67" t="n"/>
      <c r="AT19" s="67" t="n"/>
      <c r="AU19" s="67" t="n"/>
      <c r="AV19" s="68" t="n"/>
      <c r="AW19" s="69" t="n"/>
      <c r="AX19" s="114" t="n"/>
      <c r="AY19" s="70" t="n"/>
      <c r="AZ19" s="114" t="n"/>
      <c r="BA19" s="69" t="n"/>
      <c r="BB19" s="69" t="n"/>
      <c r="BC19" s="114" t="inlineStr">
        <is>
          <t>=IF(EXACT($H7,"Y"),LEN($R7)=0,TRUE)</t>
        </is>
      </c>
      <c r="BD19" s="114" t="inlineStr">
        <is>
          <t>=IF(EXACT($C7,"0000000000"),LEN($R7)=0,IF(EXACT($H7,"N"),IF(OR(EXACT($B7,"0002"),EXACT($B7,"0004"),EXACT($B7,"0087"),EXACT($B7,"1555")),IF(AND(EXACT($Q7,"Y"),NOT(EXACT($C7,"9999100002"))),EXACT($R7,"Y"),TRUE),IF(EXACT($B7,"0006"),TRUE,LEN($R7)=0)),TRUE))</t>
        </is>
      </c>
      <c r="BE19" s="114" t="n"/>
      <c r="BF19" s="68" t="n">
        <v>1.5</v>
      </c>
      <c r="BG19" s="112" t="n"/>
      <c r="BH19" s="137">
        <f>IF(ISBLANK('サービスコードマスタ（入力シート説明）'!$D23),"",LEN('サービスコードマスタ（入力シート説明）'!$D23))</f>
        <v/>
      </c>
      <c r="BI19" s="137">
        <f>IF(ISBLANK('サービスコードマスタ（入力シート説明）'!$D23),"",IF(ISERROR(FIND("(",'サービスコードマスタ（入力シート説明）'!$D23,1)),"",FIND("(",'サービスコードマスタ（入力シート説明）'!$D23,1)))</f>
        <v/>
      </c>
      <c r="BJ19" s="137">
        <f>IF(ISBLANK('サービスコードマスタ（入力シート説明）'!$D23),"",IF(ISERROR(FIND("(",'サービスコードマスタ（入力シート説明）'!$D23,1)),"",FIND(")",'サービスコードマスタ（入力シート説明）'!$D23,1)))</f>
        <v/>
      </c>
      <c r="BK19" s="137">
        <f>IF(ISBLANK('サービスコードマスタ（入力シート説明）'!$D23),"",IF($BL19="",0,IF($BL19=1,1,IF((IF($BI19="",$BH19,$BI19-1))=$BL19,2,3))))</f>
        <v/>
      </c>
      <c r="BL19" s="137">
        <f>IF(ISBLANK('サービスコードマスタ（入力シート説明）'!$D23),"",IF(ISERROR(FIND("～",'サービスコードマスタ（入力シート説明）'!$D23,1)),"",FIND("～",'サービスコードマスタ（入力シート説明）'!$D23,1)))</f>
        <v/>
      </c>
    </row>
    <row r="20" ht="116.25" customFormat="1" customHeight="1" s="4">
      <c r="A20" s="132">
        <f>ROW()-2</f>
        <v/>
      </c>
      <c r="B20" s="133">
        <f>SUBSTITUTE(ADDRESS(1,ROW()-1,2),"$1","")</f>
        <v/>
      </c>
      <c r="C20" s="134" t="n"/>
      <c r="D20" s="135">
        <f>VLOOKUP($A20,'サービスコードマスタ（入力シート説明）'!$A$7:$B$109,2,$A20)</f>
        <v/>
      </c>
      <c r="E20" s="134" t="n"/>
      <c r="F20" s="136">
        <f>$T20</f>
        <v/>
      </c>
      <c r="G20" s="42" t="n"/>
      <c r="H20" s="137">
        <f>IF(EXACT(T('サービスコードマスタ（入力シート説明）'!$E24),"必須"),"○","")</f>
        <v/>
      </c>
      <c r="I20" s="137">
        <f>IF(EXACT(T('サービスコードマスタ（入力シート説明）'!$C24),"数値"),"○","")</f>
        <v/>
      </c>
      <c r="J20" s="137">
        <f>IF(EXACT(T('サービスコードマスタ（入力シート説明）'!$C24),"電話番号"),"○","")</f>
        <v/>
      </c>
      <c r="K20" s="137">
        <f>IF(EXACT(T('サービスコードマスタ（入力シート説明）'!$C24),"郵便番号"),"○","")</f>
        <v/>
      </c>
      <c r="L20" s="137">
        <f>IF(EXACT(T('サービスコードマスタ（入力シート説明）'!$C24),"日付（スラッシュなし）"),"○","")</f>
        <v/>
      </c>
      <c r="M20" s="137">
        <f>IF(EXACT(T('サービスコードマスタ（入力シート説明）'!$C24),"半角英数"),"○","")</f>
        <v/>
      </c>
      <c r="N20" s="137">
        <f>IF(ISBLANK('サービスコードマスタ（入力シート説明）'!$D24),"", IF(ISERROR(FIND("～", 'サービスコードマスタ（入力シート説明）'!$D24, 1)), "", IF(EXACT('サービスコードマスタ（入力シート説明）'!$D24,"～"), "", IF(LEN(LEFT('サービスコードマスタ（入力シート説明）'!$D24, FIND("～", 'サービスコードマスタ（入力シート説明）'!$D24, 1) - 1)) &gt;= 1, LEFT('サービスコードマスタ（入力シート説明）'!$D24, FIND("～", 'サービスコードマスタ（入力シート説明）'!$D24, 1) - 1), ""))))</f>
        <v/>
      </c>
      <c r="O20" s="137">
        <f>IF(T20&lt;&gt;"","",IF(OR('サービスコードマスタ（入力シート説明）'!C24="全半角",'サービスコードマスタ（入力シート説明）'!C24="全角",'サービスコードマスタ（入力シート説明）'!C24="全角英数",'サービスコードマスタ（入力シート説明）'!C24="全半角英数カナ",'サービスコードマスタ（入力シート説明）'!C24="全角英数カナ",'サービスコードマスタ（入力シート説明）'!C24="全角カナ",'サービスコードマスタ（入力シート説明）'!C24="半角カナ",'サービスコードマスタ（入力シート説明）'!C24="全銀協"),IF(OR(P20&lt;&gt;"",Q20&lt;&gt;""),TRUNC(IF(P20="",Q20/BF20,P20/BF20),0),""),IF(OR(P20&lt;&gt;"",Q20&lt;&gt;""),IF(P20="",Q20,P20),"")))</f>
        <v/>
      </c>
      <c r="P20" s="137">
        <f>IF(ISBLANK('サービスコードマスタ（入力シート説明）'!$D24),"",IF($BK20=0,"",IF(OR($BK20=1,$BK20=3),MID('サービスコードマスタ（入力シート説明）'!$D24,$BL20+1,IF($BI20="",$BH20,$BI20-1)-$BL20)*IF($BG20&lt;&gt;"",$BF20,1),"")))</f>
        <v/>
      </c>
      <c r="Q20" s="137">
        <f>IF(ISBLANK('サービスコードマスタ（入力シート説明）'!$D24), "", IF($BK20=0, IF($BI20="",'サービスコードマスタ（入力シート説明）'!$D24,LEFT('サービスコードマスタ（入力シート説明）'!$D24,$BI20-1))*IF(BG20&lt;&gt;"",BF20,1),""))</f>
        <v/>
      </c>
      <c r="R20" s="137">
        <f>IF(EXACT(T('サービスコードマスタ（入力シート説明）'!$C24),"全角"),"○","")</f>
        <v/>
      </c>
      <c r="S20" s="137">
        <f>IF(EXACT(T('サービスコードマスタ（入力シート説明）'!$C24),"全角カナ"),"○","")</f>
        <v/>
      </c>
      <c r="T20" s="136">
        <f>IF(ISBLANK('サービスコードマスタ（入力シート説明）'!$L24),"",IF(ISERROR(FIND("～",'サービスコードマスタ（入力シート説明）'!$L24,1)), 'サービスコードマスタ（入力シート説明）'!$L24, ""))</f>
        <v/>
      </c>
      <c r="U20" s="137">
        <f>IF(ISBLANK('サービスコードマスタ（入力シート説明）'!$L24),"",IF(ISERROR(FIND("～",'サービスコードマスタ（入力シート説明）'!$L24,1)), "", 'サービスコードマスタ（入力シート説明）'!$L24))</f>
        <v/>
      </c>
      <c r="V20" s="137">
        <f>IF(EXACT(T('サービスコードマスタ（入力シート説明）'!$I24),"あり"),"○","")</f>
        <v/>
      </c>
      <c r="W20" s="137">
        <f>IF(EXACT(T('サービスコードマスタ（入力シート説明）'!$C24),"全銀協"),"○","")</f>
        <v/>
      </c>
      <c r="X20" s="137">
        <f>IF(EXACT(T('サービスコードマスタ（入力シート説明）'!$C24),"事業所コード"),"○","")</f>
        <v/>
      </c>
      <c r="Y20" s="137">
        <f>IF(EXACT(T('サービスコードマスタ（入力シート説明）'!$C24),"半角英数大文字・半角スペース"),"○","")</f>
        <v/>
      </c>
      <c r="Z20" s="137">
        <f>IF(EXACT(T('サービスコードマスタ（入力シート説明）'!$C24),"半角英数・半角ハイフン"),"○","")</f>
        <v/>
      </c>
      <c r="AA20" s="137">
        <f>IF(EXACT(T('サービスコードマスタ（入力シート説明）'!$C24),"全角英数カナ"),"○","")</f>
        <v/>
      </c>
      <c r="AB20" s="137">
        <f>IF(EXACT(T('サービスコードマスタ（入力シート説明）'!$C24),"半角英数カナ"),"○","")</f>
        <v/>
      </c>
      <c r="AC20" s="137">
        <f>IF(EXACT(T('サービスコードマスタ（入力シート説明）'!$C24),"全半角英数カナ"),"○","")</f>
        <v/>
      </c>
      <c r="AD20" s="137">
        <f>IF(EXACT(T('サービスコードマスタ（入力シート説明）'!$C24),"通貨"),"○","")</f>
        <v/>
      </c>
      <c r="AE20" s="137">
        <f>IF(EXACT(T('サービスコードマスタ（入力シート説明）'!$C24),"半角"),"○","")</f>
        <v/>
      </c>
      <c r="AF20" s="137">
        <f>IF(EXACT(T('サービスコードマスタ（入力シート説明）'!$C24),"半角カナ"),"○","")</f>
        <v/>
      </c>
      <c r="AG20" s="137">
        <f>IF(EXACT(T('サービスコードマスタ（入力シート説明）'!$C24),"半角英数・半角アンダーバー"),"○","")</f>
        <v/>
      </c>
      <c r="AH20" s="137">
        <f>IF(EXACT(T('サービスコードマスタ（入力シート説明）'!$C24),"日付（スラッシュあり）"),"○","")</f>
        <v/>
      </c>
      <c r="AI20" s="137">
        <f>IF(EXACT(T('サービスコードマスタ（入力シート説明）'!$C24),"全角英数"),"○","")</f>
        <v/>
      </c>
      <c r="AJ20" s="137">
        <f>IF(ISBLANK('サービスコードマスタ（入力シート説明）'!$D24),"",IF(ISERROR(FIND("(", 'サービスコードマスタ（入力シート説明）'!$D24, 1)),"",MID('サービスコードマスタ（入力シート説明）'!$D24,$BI20+1,$BJ20-$BI20-1)))</f>
        <v/>
      </c>
      <c r="AK20" s="137">
        <f>IF(EXACT(T('サービスコードマスタ（入力シート説明）'!$F24),"あり"),"○","")</f>
        <v/>
      </c>
      <c r="AL20" s="138" t="n"/>
      <c r="AM20" s="137">
        <f>IF(EXACT(T('サービスコードマスタ（入力シート説明）'!$E24),"条件付き必須"),"○","")</f>
        <v/>
      </c>
      <c r="AN20" s="137">
        <f>IF(EXACT(T('サービスコードマスタ（入力シート説明）'!$G24),"あり"),"○","")</f>
        <v/>
      </c>
      <c r="AO20" s="137">
        <f>IF(ISBLANK('サービスコードマスタ（入力シート説明）'!$N24),"","○")</f>
        <v/>
      </c>
      <c r="AP20" s="42" t="n"/>
      <c r="AQ20" s="161">
        <f>T('サービスコードマスタ（入力シート説明）'!$H24)</f>
        <v/>
      </c>
      <c r="AR20" s="67" t="n"/>
      <c r="AS20" s="67" t="n"/>
      <c r="AT20" s="67" t="n"/>
      <c r="AU20" s="67" t="n"/>
      <c r="AV20" s="68" t="n"/>
      <c r="AW20" s="69" t="n"/>
      <c r="AX20" s="114" t="n"/>
      <c r="AY20" s="70" t="n"/>
      <c r="AZ20" s="114" t="inlineStr">
        <is>
          <t>=IF(AND(EXACT($H7,"N"),EXACT($O7,"Y")),LEN($S7)&gt;0,TRUE)</t>
        </is>
      </c>
      <c r="BA20" s="114" t="n"/>
      <c r="BB20" s="69" t="n"/>
      <c r="BC20" s="114" t="inlineStr">
        <is>
          <t>=IF(EXACT($H7,"Y"),LEN($S7)=0,TRUE)</t>
        </is>
      </c>
      <c r="BD20" s="114" t="inlineStr">
        <is>
          <t>=IF(EXACT($C7,"0000000000"),LEN($S7)=0,IF(EXACT($H7,"N"),IF(EXACT($O7,"Y"),IF(LEN($S7)&gt;0,EXACT(RIGHT($S7,1),"A"),TRUE),LEN($S7)=0),TRUE))</t>
        </is>
      </c>
      <c r="BE20" s="114" t="n"/>
      <c r="BF20" s="68" t="n">
        <v>1.5</v>
      </c>
      <c r="BG20" s="112" t="n"/>
      <c r="BH20" s="137">
        <f>IF(ISBLANK('サービスコードマスタ（入力シート説明）'!$D24),"",LEN('サービスコードマスタ（入力シート説明）'!$D24))</f>
        <v/>
      </c>
      <c r="BI20" s="137">
        <f>IF(ISBLANK('サービスコードマスタ（入力シート説明）'!$D24),"",IF(ISERROR(FIND("(",'サービスコードマスタ（入力シート説明）'!$D24,1)),"",FIND("(",'サービスコードマスタ（入力シート説明）'!$D24,1)))</f>
        <v/>
      </c>
      <c r="BJ20" s="137">
        <f>IF(ISBLANK('サービスコードマスタ（入力シート説明）'!$D24),"",IF(ISERROR(FIND("(",'サービスコードマスタ（入力シート説明）'!$D24,1)),"",FIND(")",'サービスコードマスタ（入力シート説明）'!$D24,1)))</f>
        <v/>
      </c>
      <c r="BK20" s="137">
        <f>IF(ISBLANK('サービスコードマスタ（入力シート説明）'!$D24),"",IF($BL20="",0,IF($BL20=1,1,IF((IF($BI20="",$BH20,$BI20-1))=$BL20,2,3))))</f>
        <v/>
      </c>
      <c r="BL20" s="137">
        <f>IF(ISBLANK('サービスコードマスタ（入力シート説明）'!$D24),"",IF(ISERROR(FIND("～",'サービスコードマスタ（入力シート説明）'!$D24,1)),"",FIND("～",'サービスコードマスタ（入力シート説明）'!$D24,1)))</f>
        <v/>
      </c>
    </row>
    <row r="21" ht="100.5" customFormat="1" customHeight="1" s="4">
      <c r="A21" s="132">
        <f>ROW()-2</f>
        <v/>
      </c>
      <c r="B21" s="133">
        <f>SUBSTITUTE(ADDRESS(1,ROW()-1,2),"$1","")</f>
        <v/>
      </c>
      <c r="C21" s="134" t="n"/>
      <c r="D21" s="135">
        <f>VLOOKUP($A21,'サービスコードマスタ（入力シート説明）'!$A$7:$B$109,2,$A21)</f>
        <v/>
      </c>
      <c r="E21" s="134" t="n"/>
      <c r="F21" s="136">
        <f>$T21</f>
        <v/>
      </c>
      <c r="G21" s="42" t="n"/>
      <c r="H21" s="137">
        <f>IF(EXACT(T('サービスコードマスタ（入力シート説明）'!$E25),"必須"),"○","")</f>
        <v/>
      </c>
      <c r="I21" s="137">
        <f>IF(EXACT(T('サービスコードマスタ（入力シート説明）'!$C25),"数値"),"○","")</f>
        <v/>
      </c>
      <c r="J21" s="137">
        <f>IF(EXACT(T('サービスコードマスタ（入力シート説明）'!$C25),"電話番号"),"○","")</f>
        <v/>
      </c>
      <c r="K21" s="137">
        <f>IF(EXACT(T('サービスコードマスタ（入力シート説明）'!$C25),"郵便番号"),"○","")</f>
        <v/>
      </c>
      <c r="L21" s="137">
        <f>IF(EXACT(T('サービスコードマスタ（入力シート説明）'!$C25),"日付（スラッシュなし）"),"○","")</f>
        <v/>
      </c>
      <c r="M21" s="137">
        <f>IF(EXACT(T('サービスコードマスタ（入力シート説明）'!$C25),"半角英数"),"○","")</f>
        <v/>
      </c>
      <c r="N21" s="137">
        <f>IF(ISBLANK('サービスコードマスタ（入力シート説明）'!$D25),"", IF(ISERROR(FIND("～", 'サービスコードマスタ（入力シート説明）'!$D25, 1)), "", IF(EXACT('サービスコードマスタ（入力シート説明）'!$D25,"～"), "", IF(LEN(LEFT('サービスコードマスタ（入力シート説明）'!$D25, FIND("～", 'サービスコードマスタ（入力シート説明）'!$D25, 1) - 1)) &gt;= 1, LEFT('サービスコードマスタ（入力シート説明）'!$D25, FIND("～", 'サービスコードマスタ（入力シート説明）'!$D25, 1) - 1), ""))))</f>
        <v/>
      </c>
      <c r="O21" s="137">
        <f>IF(T21&lt;&gt;"","",IF(OR('サービスコードマスタ（入力シート説明）'!C25="全半角",'サービスコードマスタ（入力シート説明）'!C25="全角",'サービスコードマスタ（入力シート説明）'!C25="全角英数",'サービスコードマスタ（入力シート説明）'!C25="全半角英数カナ",'サービスコードマスタ（入力シート説明）'!C25="全角英数カナ",'サービスコードマスタ（入力シート説明）'!C25="全角カナ",'サービスコードマスタ（入力シート説明）'!C25="半角カナ",'サービスコードマスタ（入力シート説明）'!C25="全銀協"),IF(OR(P21&lt;&gt;"",Q21&lt;&gt;""),TRUNC(IF(P21="",Q21/BF21,P21/BF21),0),""),IF(OR(P21&lt;&gt;"",Q21&lt;&gt;""),IF(P21="",Q21,P21),"")))</f>
        <v/>
      </c>
      <c r="P21" s="137">
        <f>IF(ISBLANK('サービスコードマスタ（入力シート説明）'!$D25),"",IF($BK21=0,"",IF(OR($BK21=1,$BK21=3),MID('サービスコードマスタ（入力シート説明）'!$D25,$BL21+1,IF($BI21="",$BH21,$BI21-1)-$BL21)*IF($BG21&lt;&gt;"",$BF21,1),"")))</f>
        <v/>
      </c>
      <c r="Q21" s="137">
        <f>IF(ISBLANK('サービスコードマスタ（入力シート説明）'!$D25), "", IF($BK21=0, IF($BI21="",'サービスコードマスタ（入力シート説明）'!$D25,LEFT('サービスコードマスタ（入力シート説明）'!$D25,$BI21-1))*IF(BG21&lt;&gt;"",BF21,1),""))</f>
        <v/>
      </c>
      <c r="R21" s="137">
        <f>IF(EXACT(T('サービスコードマスタ（入力シート説明）'!$C25),"全角"),"○","")</f>
        <v/>
      </c>
      <c r="S21" s="137">
        <f>IF(EXACT(T('サービスコードマスタ（入力シート説明）'!$C25),"全角カナ"),"○","")</f>
        <v/>
      </c>
      <c r="T21" s="136">
        <f>IF(ISBLANK('サービスコードマスタ（入力シート説明）'!$L25),"",IF(ISERROR(FIND("～",'サービスコードマスタ（入力シート説明）'!$L25,1)), 'サービスコードマスタ（入力シート説明）'!$L25, ""))</f>
        <v/>
      </c>
      <c r="U21" s="137">
        <f>IF(ISBLANK('サービスコードマスタ（入力シート説明）'!$L25),"",IF(ISERROR(FIND("～",'サービスコードマスタ（入力シート説明）'!$L25,1)), "", 'サービスコードマスタ（入力シート説明）'!$L25))</f>
        <v/>
      </c>
      <c r="V21" s="137">
        <f>IF(EXACT(T('サービスコードマスタ（入力シート説明）'!$I25),"あり"),"○","")</f>
        <v/>
      </c>
      <c r="W21" s="137">
        <f>IF(EXACT(T('サービスコードマスタ（入力シート説明）'!$C25),"全銀協"),"○","")</f>
        <v/>
      </c>
      <c r="X21" s="137">
        <f>IF(EXACT(T('サービスコードマスタ（入力シート説明）'!$C25),"事業所コード"),"○","")</f>
        <v/>
      </c>
      <c r="Y21" s="137">
        <f>IF(EXACT(T('サービスコードマスタ（入力シート説明）'!$C25),"半角英数大文字・半角スペース"),"○","")</f>
        <v/>
      </c>
      <c r="Z21" s="137">
        <f>IF(EXACT(T('サービスコードマスタ（入力シート説明）'!$C25),"半角英数・半角ハイフン"),"○","")</f>
        <v/>
      </c>
      <c r="AA21" s="137">
        <f>IF(EXACT(T('サービスコードマスタ（入力シート説明）'!$C25),"全角英数カナ"),"○","")</f>
        <v/>
      </c>
      <c r="AB21" s="137">
        <f>IF(EXACT(T('サービスコードマスタ（入力シート説明）'!$C25),"半角英数カナ"),"○","")</f>
        <v/>
      </c>
      <c r="AC21" s="137">
        <f>IF(EXACT(T('サービスコードマスタ（入力シート説明）'!$C25),"全半角英数カナ"),"○","")</f>
        <v/>
      </c>
      <c r="AD21" s="137">
        <f>IF(EXACT(T('サービスコードマスタ（入力シート説明）'!$C25),"通貨"),"○","")</f>
        <v/>
      </c>
      <c r="AE21" s="137">
        <f>IF(EXACT(T('サービスコードマスタ（入力シート説明）'!$C25),"半角"),"○","")</f>
        <v/>
      </c>
      <c r="AF21" s="137">
        <f>IF(EXACT(T('サービスコードマスタ（入力シート説明）'!$C25),"半角カナ"),"○","")</f>
        <v/>
      </c>
      <c r="AG21" s="137">
        <f>IF(EXACT(T('サービスコードマスタ（入力シート説明）'!$C25),"半角英数・半角アンダーバー"),"○","")</f>
        <v/>
      </c>
      <c r="AH21" s="137">
        <f>IF(EXACT(T('サービスコードマスタ（入力シート説明）'!$C25),"日付（スラッシュあり）"),"○","")</f>
        <v/>
      </c>
      <c r="AI21" s="137">
        <f>IF(EXACT(T('サービスコードマスタ（入力シート説明）'!$C25),"全角英数"),"○","")</f>
        <v/>
      </c>
      <c r="AJ21" s="137">
        <f>IF(ISBLANK('サービスコードマスタ（入力シート説明）'!$D25),"",IF(ISERROR(FIND("(", 'サービスコードマスタ（入力シート説明）'!$D25, 1)),"",MID('サービスコードマスタ（入力シート説明）'!$D25,$BI21+1,$BJ21-$BI21-1)))</f>
        <v/>
      </c>
      <c r="AK21" s="137">
        <f>IF(EXACT(T('サービスコードマスタ（入力シート説明）'!$F25),"あり"),"○","")</f>
        <v/>
      </c>
      <c r="AL21" s="138" t="n"/>
      <c r="AM21" s="137">
        <f>IF(EXACT(T('サービスコードマスタ（入力シート説明）'!$E25),"条件付き必須"),"○","")</f>
        <v/>
      </c>
      <c r="AN21" s="137">
        <f>IF(EXACT(T('サービスコードマスタ（入力シート説明）'!$G25),"あり"),"○","")</f>
        <v/>
      </c>
      <c r="AO21" s="137">
        <f>IF(ISBLANK('サービスコードマスタ（入力シート説明）'!$N25),"","○")</f>
        <v/>
      </c>
      <c r="AP21" s="42" t="n"/>
      <c r="AQ21" s="161">
        <f>T('サービスコードマスタ（入力シート説明）'!$H25)</f>
        <v/>
      </c>
      <c r="AR21" s="67" t="n"/>
      <c r="AS21" s="67" t="n"/>
      <c r="AT21" s="67" t="n"/>
      <c r="AU21" s="67" t="n"/>
      <c r="AV21" s="68" t="n"/>
      <c r="AW21" s="69" t="n"/>
      <c r="AX21" s="114" t="n"/>
      <c r="AY21" s="70" t="n"/>
      <c r="AZ21" s="114" t="n"/>
      <c r="BA21" s="69" t="n"/>
      <c r="BB21" s="69" t="n"/>
      <c r="BC21" s="114" t="inlineStr">
        <is>
          <t>=IF(EXACT($H7,"Y"),LEN($T7)=0,TRUE)</t>
        </is>
      </c>
      <c r="BD21" s="114" t="inlineStr">
        <is>
          <t>=IF(EXACT($C7,"0000000000"),EXACT($T7,"Y"),IF(EXACT($H7,"N"),IF(OR(EXACT($O7,"Y"),EXACT($P7,"Y")),EXACT($T7,"Y"),LEN($T7)=0),TRUE))</t>
        </is>
      </c>
      <c r="BE21" s="69" t="n"/>
      <c r="BF21" s="68" t="n">
        <v>1.5</v>
      </c>
      <c r="BG21" s="112" t="n"/>
      <c r="BH21" s="137">
        <f>IF(ISBLANK('サービスコードマスタ（入力シート説明）'!$D25),"",LEN('サービスコードマスタ（入力シート説明）'!$D25))</f>
        <v/>
      </c>
      <c r="BI21" s="137">
        <f>IF(ISBLANK('サービスコードマスタ（入力シート説明）'!$D25),"",IF(ISERROR(FIND("(",'サービスコードマスタ（入力シート説明）'!$D25,1)),"",FIND("(",'サービスコードマスタ（入力シート説明）'!$D25,1)))</f>
        <v/>
      </c>
      <c r="BJ21" s="137">
        <f>IF(ISBLANK('サービスコードマスタ（入力シート説明）'!$D25),"",IF(ISERROR(FIND("(",'サービスコードマスタ（入力シート説明）'!$D25,1)),"",FIND(")",'サービスコードマスタ（入力シート説明）'!$D25,1)))</f>
        <v/>
      </c>
      <c r="BK21" s="137">
        <f>IF(ISBLANK('サービスコードマスタ（入力シート説明）'!$D25),"",IF($BL21="",0,IF($BL21=1,1,IF((IF($BI21="",$BH21,$BI21-1))=$BL21,2,3))))</f>
        <v/>
      </c>
      <c r="BL21" s="137">
        <f>IF(ISBLANK('サービスコードマスタ（入力シート説明）'!$D25),"",IF(ISERROR(FIND("～",'サービスコードマスタ（入力シート説明）'!$D25,1)),"",FIND("～",'サービスコードマスタ（入力シート説明）'!$D25,1)))</f>
        <v/>
      </c>
    </row>
    <row r="22" customFormat="1" s="4">
      <c r="A22" s="132">
        <f>ROW()-2</f>
        <v/>
      </c>
      <c r="B22" s="133">
        <f>SUBSTITUTE(ADDRESS(1,ROW()-1,2),"$1","")</f>
        <v/>
      </c>
      <c r="C22" s="134" t="n"/>
      <c r="D22" s="135">
        <f>VLOOKUP($A22,'サービスコードマスタ（入力シート説明）'!$A$7:$B$109,2,$A22)</f>
        <v/>
      </c>
      <c r="E22" s="134" t="n"/>
      <c r="F22" s="136">
        <f>$T22</f>
        <v/>
      </c>
      <c r="G22" s="42" t="n"/>
      <c r="H22" s="137">
        <f>IF(EXACT(T('サービスコードマスタ（入力シート説明）'!$E26),"必須"),"○","")</f>
        <v/>
      </c>
      <c r="I22" s="137">
        <f>IF(EXACT(T('サービスコードマスタ（入力シート説明）'!$C26),"数値"),"○","")</f>
        <v/>
      </c>
      <c r="J22" s="137">
        <f>IF(EXACT(T('サービスコードマスタ（入力シート説明）'!$C26),"電話番号"),"○","")</f>
        <v/>
      </c>
      <c r="K22" s="137">
        <f>IF(EXACT(T('サービスコードマスタ（入力シート説明）'!$C26),"郵便番号"),"○","")</f>
        <v/>
      </c>
      <c r="L22" s="137">
        <f>IF(EXACT(T('サービスコードマスタ（入力シート説明）'!$C26),"日付（スラッシュなし）"),"○","")</f>
        <v/>
      </c>
      <c r="M22" s="137">
        <f>IF(EXACT(T('サービスコードマスタ（入力シート説明）'!$C26),"半角英数"),"○","")</f>
        <v/>
      </c>
      <c r="N22" s="137">
        <f>IF(ISBLANK('サービスコードマスタ（入力シート説明）'!$D26),"", IF(ISERROR(FIND("～", 'サービスコードマスタ（入力シート説明）'!$D26, 1)), "", IF(EXACT('サービスコードマスタ（入力シート説明）'!$D26,"～"), "", IF(LEN(LEFT('サービスコードマスタ（入力シート説明）'!$D26, FIND("～", 'サービスコードマスタ（入力シート説明）'!$D26, 1) - 1)) &gt;= 1, LEFT('サービスコードマスタ（入力シート説明）'!$D26, FIND("～", 'サービスコードマスタ（入力シート説明）'!$D26, 1) - 1), ""))))</f>
        <v/>
      </c>
      <c r="O22" s="137">
        <f>IF(T22&lt;&gt;"","",IF(OR('サービスコードマスタ（入力シート説明）'!C26="全半角",'サービスコードマスタ（入力シート説明）'!C26="全角",'サービスコードマスタ（入力シート説明）'!C26="全角英数",'サービスコードマスタ（入力シート説明）'!C26="全半角英数カナ",'サービスコードマスタ（入力シート説明）'!C26="全角英数カナ",'サービスコードマスタ（入力シート説明）'!C26="全角カナ",'サービスコードマスタ（入力シート説明）'!C26="半角カナ",'サービスコードマスタ（入力シート説明）'!C26="全銀協"),IF(OR(P22&lt;&gt;"",Q22&lt;&gt;""),TRUNC(IF(P22="",Q22/BF22,P22/BF22),0),""),IF(OR(P22&lt;&gt;"",Q22&lt;&gt;""),IF(P22="",Q22,P22),"")))</f>
        <v/>
      </c>
      <c r="P22" s="137">
        <f>IF(ISBLANK('サービスコードマスタ（入力シート説明）'!$D26),"",IF($BK22=0,"",IF(OR($BK22=1,$BK22=3),MID('サービスコードマスタ（入力シート説明）'!$D26,$BL22+1,IF($BI22="",$BH22,$BI22-1)-$BL22)*IF($BG22&lt;&gt;"",$BF22,1),"")))</f>
        <v/>
      </c>
      <c r="Q22" s="137">
        <f>IF(ISBLANK('サービスコードマスタ（入力シート説明）'!$D26), "", IF($BK22=0, IF($BI22="",'サービスコードマスタ（入力シート説明）'!$D26,LEFT('サービスコードマスタ（入力シート説明）'!$D26,$BI22-1))*IF(BG22&lt;&gt;"",BF22,1),""))</f>
        <v/>
      </c>
      <c r="R22" s="137">
        <f>IF(EXACT(T('サービスコードマスタ（入力シート説明）'!$C26),"全角"),"○","")</f>
        <v/>
      </c>
      <c r="S22" s="137">
        <f>IF(EXACT(T('サービスコードマスタ（入力シート説明）'!$C26),"全角カナ"),"○","")</f>
        <v/>
      </c>
      <c r="T22" s="136">
        <f>IF(ISBLANK('サービスコードマスタ（入力シート説明）'!$L26),"",IF(ISERROR(FIND("～",'サービスコードマスタ（入力シート説明）'!$L26,1)), 'サービスコードマスタ（入力シート説明）'!$L26, ""))</f>
        <v/>
      </c>
      <c r="U22" s="137">
        <f>IF(ISBLANK('サービスコードマスタ（入力シート説明）'!$L26),"",IF(ISERROR(FIND("～",'サービスコードマスタ（入力シート説明）'!$L26,1)), "", 'サービスコードマスタ（入力シート説明）'!$L26))</f>
        <v/>
      </c>
      <c r="V22" s="137">
        <f>IF(EXACT(T('サービスコードマスタ（入力シート説明）'!$I26),"あり"),"○","")</f>
        <v/>
      </c>
      <c r="W22" s="137">
        <f>IF(EXACT(T('サービスコードマスタ（入力シート説明）'!$C26),"全銀協"),"○","")</f>
        <v/>
      </c>
      <c r="X22" s="137">
        <f>IF(EXACT(T('サービスコードマスタ（入力シート説明）'!$C26),"事業所コード"),"○","")</f>
        <v/>
      </c>
      <c r="Y22" s="137">
        <f>IF(EXACT(T('サービスコードマスタ（入力シート説明）'!$C26),"半角英数大文字・半角スペース"),"○","")</f>
        <v/>
      </c>
      <c r="Z22" s="137">
        <f>IF(EXACT(T('サービスコードマスタ（入力シート説明）'!$C26),"半角英数・半角ハイフン"),"○","")</f>
        <v/>
      </c>
      <c r="AA22" s="137">
        <f>IF(EXACT(T('サービスコードマスタ（入力シート説明）'!$C26),"全角英数カナ"),"○","")</f>
        <v/>
      </c>
      <c r="AB22" s="137">
        <f>IF(EXACT(T('サービスコードマスタ（入力シート説明）'!$C26),"半角英数カナ"),"○","")</f>
        <v/>
      </c>
      <c r="AC22" s="137">
        <f>IF(EXACT(T('サービスコードマスタ（入力シート説明）'!$C26),"全半角英数カナ"),"○","")</f>
        <v/>
      </c>
      <c r="AD22" s="137">
        <f>IF(EXACT(T('サービスコードマスタ（入力シート説明）'!$C26),"通貨"),"○","")</f>
        <v/>
      </c>
      <c r="AE22" s="137">
        <f>IF(EXACT(T('サービスコードマスタ（入力シート説明）'!$C26),"半角"),"○","")</f>
        <v/>
      </c>
      <c r="AF22" s="137">
        <f>IF(EXACT(T('サービスコードマスタ（入力シート説明）'!$C26),"半角カナ"),"○","")</f>
        <v/>
      </c>
      <c r="AG22" s="137">
        <f>IF(EXACT(T('サービスコードマスタ（入力シート説明）'!$C26),"半角英数・半角アンダーバー"),"○","")</f>
        <v/>
      </c>
      <c r="AH22" s="137">
        <f>IF(EXACT(T('サービスコードマスタ（入力シート説明）'!$C26),"日付（スラッシュあり）"),"○","")</f>
        <v/>
      </c>
      <c r="AI22" s="137">
        <f>IF(EXACT(T('サービスコードマスタ（入力シート説明）'!$C26),"全角英数"),"○","")</f>
        <v/>
      </c>
      <c r="AJ22" s="137">
        <f>IF(ISBLANK('サービスコードマスタ（入力シート説明）'!$D26),"",IF(ISERROR(FIND("(", 'サービスコードマスタ（入力シート説明）'!$D26, 1)),"",MID('サービスコードマスタ（入力シート説明）'!$D26,$BI22+1,$BJ22-$BI22-1)))</f>
        <v/>
      </c>
      <c r="AK22" s="137">
        <f>IF(EXACT(T('サービスコードマスタ（入力シート説明）'!$F26),"あり"),"○","")</f>
        <v/>
      </c>
      <c r="AL22" s="138" t="n"/>
      <c r="AM22" s="137">
        <f>IF(EXACT(T('サービスコードマスタ（入力シート説明）'!$E26),"条件付き必須"),"○","")</f>
        <v/>
      </c>
      <c r="AN22" s="137">
        <f>IF(EXACT(T('サービスコードマスタ（入力シート説明）'!$G26),"あり"),"○","")</f>
        <v/>
      </c>
      <c r="AO22" s="137">
        <f>IF(ISBLANK('サービスコードマスタ（入力シート説明）'!$N26),"","○")</f>
        <v/>
      </c>
      <c r="AP22" s="42" t="n"/>
      <c r="AQ22" s="66">
        <f>T('サービスコードマスタ（入力シート説明）'!$H26)</f>
        <v/>
      </c>
      <c r="AR22" s="67" t="n"/>
      <c r="AS22" s="67" t="n"/>
      <c r="AT22" s="67" t="n"/>
      <c r="AU22" s="67" t="n"/>
      <c r="AV22" s="68" t="n"/>
      <c r="AW22" s="69" t="n"/>
      <c r="AX22" s="114" t="n"/>
      <c r="AY22" s="70" t="n"/>
      <c r="AZ22" s="114" t="n"/>
      <c r="BA22" s="69" t="n"/>
      <c r="BB22" s="69" t="n"/>
      <c r="BC22" s="69" t="n"/>
      <c r="BD22" s="69" t="n"/>
      <c r="BE22" s="69" t="n"/>
      <c r="BF22" s="68" t="n">
        <v>1.5</v>
      </c>
      <c r="BG22" s="112" t="n"/>
      <c r="BH22" s="137">
        <f>IF(ISBLANK('サービスコードマスタ（入力シート説明）'!$D26),"",LEN('サービスコードマスタ（入力シート説明）'!$D26))</f>
        <v/>
      </c>
      <c r="BI22" s="137">
        <f>IF(ISBLANK('サービスコードマスタ（入力シート説明）'!$D26),"",IF(ISERROR(FIND("(",'サービスコードマスタ（入力シート説明）'!$D26,1)),"",FIND("(",'サービスコードマスタ（入力シート説明）'!$D26,1)))</f>
        <v/>
      </c>
      <c r="BJ22" s="137">
        <f>IF(ISBLANK('サービスコードマスタ（入力シート説明）'!$D26),"",IF(ISERROR(FIND("(",'サービスコードマスタ（入力シート説明）'!$D26,1)),"",FIND(")",'サービスコードマスタ（入力シート説明）'!$D26,1)))</f>
        <v/>
      </c>
      <c r="BK22" s="137">
        <f>IF(ISBLANK('サービスコードマスタ（入力シート説明）'!$D26),"",IF($BL22="",0,IF($BL22=1,1,IF((IF($BI22="",$BH22,$BI22-1))=$BL22,2,3))))</f>
        <v/>
      </c>
      <c r="BL22" s="137">
        <f>IF(ISBLANK('サービスコードマスタ（入力シート説明）'!$D26),"",IF(ISERROR(FIND("～",'サービスコードマスタ（入力シート説明）'!$D26,1)),"",FIND("～",'サービスコードマスタ（入力シート説明）'!$D26,1)))</f>
        <v/>
      </c>
    </row>
    <row r="23" customFormat="1" s="4">
      <c r="A23" s="132">
        <f>ROW()-2</f>
        <v/>
      </c>
      <c r="B23" s="133">
        <f>SUBSTITUTE(ADDRESS(1,ROW()-1,2),"$1","")</f>
        <v/>
      </c>
      <c r="C23" s="134" t="n"/>
      <c r="D23" s="135">
        <f>VLOOKUP($A23,'サービスコードマスタ（入力シート説明）'!$A$7:$B$109,2,$A23)</f>
        <v/>
      </c>
      <c r="E23" s="134" t="n"/>
      <c r="F23" s="136">
        <f>$T23</f>
        <v/>
      </c>
      <c r="G23" s="42" t="n"/>
      <c r="H23" s="137">
        <f>IF(EXACT(T('サービスコードマスタ（入力シート説明）'!$E27),"必須"),"○","")</f>
        <v/>
      </c>
      <c r="I23" s="137">
        <f>IF(EXACT(T('サービスコードマスタ（入力シート説明）'!$C27),"数値"),"○","")</f>
        <v/>
      </c>
      <c r="J23" s="137">
        <f>IF(EXACT(T('サービスコードマスタ（入力シート説明）'!$C27),"電話番号"),"○","")</f>
        <v/>
      </c>
      <c r="K23" s="137">
        <f>IF(EXACT(T('サービスコードマスタ（入力シート説明）'!$C27),"郵便番号"),"○","")</f>
        <v/>
      </c>
      <c r="L23" s="137">
        <f>IF(EXACT(T('サービスコードマスタ（入力シート説明）'!$C27),"日付（スラッシュなし）"),"○","")</f>
        <v/>
      </c>
      <c r="M23" s="137">
        <f>IF(EXACT(T('サービスコードマスタ（入力シート説明）'!$C27),"半角英数"),"○","")</f>
        <v/>
      </c>
      <c r="N23" s="137">
        <f>IF(ISBLANK('サービスコードマスタ（入力シート説明）'!$D27),"", IF(ISERROR(FIND("～", 'サービスコードマスタ（入力シート説明）'!$D27, 1)), "", IF(EXACT('サービスコードマスタ（入力シート説明）'!$D27,"～"), "", IF(LEN(LEFT('サービスコードマスタ（入力シート説明）'!$D27, FIND("～", 'サービスコードマスタ（入力シート説明）'!$D27, 1) - 1)) &gt;= 1, LEFT('サービスコードマスタ（入力シート説明）'!$D27, FIND("～", 'サービスコードマスタ（入力シート説明）'!$D27, 1) - 1), ""))))</f>
        <v/>
      </c>
      <c r="O23" s="137">
        <f>IF(T23&lt;&gt;"","",IF(OR('サービスコードマスタ（入力シート説明）'!C27="全半角",'サービスコードマスタ（入力シート説明）'!C27="全角",'サービスコードマスタ（入力シート説明）'!C27="全角英数",'サービスコードマスタ（入力シート説明）'!C27="全半角英数カナ",'サービスコードマスタ（入力シート説明）'!C27="全角英数カナ",'サービスコードマスタ（入力シート説明）'!C27="全角カナ",'サービスコードマスタ（入力シート説明）'!C27="半角カナ",'サービスコードマスタ（入力シート説明）'!C27="全銀協"),IF(OR(P23&lt;&gt;"",Q23&lt;&gt;""),TRUNC(IF(P23="",Q23/BF23,P23/BF23),0),""),IF(OR(P23&lt;&gt;"",Q23&lt;&gt;""),IF(P23="",Q23,P23),"")))</f>
        <v/>
      </c>
      <c r="P23" s="137">
        <f>IF(ISBLANK('サービスコードマスタ（入力シート説明）'!$D27),"",IF($BK23=0,"",IF(OR($BK23=1,$BK23=3),MID('サービスコードマスタ（入力シート説明）'!$D27,$BL23+1,IF($BI23="",$BH23,$BI23-1)-$BL23)*IF($BG23&lt;&gt;"",$BF23,1),"")))</f>
        <v/>
      </c>
      <c r="Q23" s="137">
        <f>IF(ISBLANK('サービスコードマスタ（入力シート説明）'!$D27), "", IF($BK23=0, IF($BI23="",'サービスコードマスタ（入力シート説明）'!$D27,LEFT('サービスコードマスタ（入力シート説明）'!$D27,$BI23-1))*IF(BG23&lt;&gt;"",BF23,1),""))</f>
        <v/>
      </c>
      <c r="R23" s="137">
        <f>IF(EXACT(T('サービスコードマスタ（入力シート説明）'!$C27),"全角"),"○","")</f>
        <v/>
      </c>
      <c r="S23" s="137">
        <f>IF(EXACT(T('サービスコードマスタ（入力シート説明）'!$C27),"全角カナ"),"○","")</f>
        <v/>
      </c>
      <c r="T23" s="136">
        <f>IF(ISBLANK('サービスコードマスタ（入力シート説明）'!$L27),"",IF(ISERROR(FIND("～",'サービスコードマスタ（入力シート説明）'!$L27,1)), 'サービスコードマスタ（入力シート説明）'!$L27, ""))</f>
        <v/>
      </c>
      <c r="U23" s="137">
        <f>IF(ISBLANK('サービスコードマスタ（入力シート説明）'!$L27),"",IF(ISERROR(FIND("～",'サービスコードマスタ（入力シート説明）'!$L27,1)), "", 'サービスコードマスタ（入力シート説明）'!$L27))</f>
        <v/>
      </c>
      <c r="V23" s="137">
        <f>IF(EXACT(T('サービスコードマスタ（入力シート説明）'!$I27),"あり"),"○","")</f>
        <v/>
      </c>
      <c r="W23" s="137">
        <f>IF(EXACT(T('サービスコードマスタ（入力シート説明）'!$C27),"全銀協"),"○","")</f>
        <v/>
      </c>
      <c r="X23" s="137">
        <f>IF(EXACT(T('サービスコードマスタ（入力シート説明）'!$C27),"事業所コード"),"○","")</f>
        <v/>
      </c>
      <c r="Y23" s="137">
        <f>IF(EXACT(T('サービスコードマスタ（入力シート説明）'!$C27),"半角英数大文字・半角スペース"),"○","")</f>
        <v/>
      </c>
      <c r="Z23" s="137">
        <f>IF(EXACT(T('サービスコードマスタ（入力シート説明）'!$C27),"半角英数・半角ハイフン"),"○","")</f>
        <v/>
      </c>
      <c r="AA23" s="137">
        <f>IF(EXACT(T('サービスコードマスタ（入力シート説明）'!$C27),"全角英数カナ"),"○","")</f>
        <v/>
      </c>
      <c r="AB23" s="137">
        <f>IF(EXACT(T('サービスコードマスタ（入力シート説明）'!$C27),"半角英数カナ"),"○","")</f>
        <v/>
      </c>
      <c r="AC23" s="137">
        <f>IF(EXACT(T('サービスコードマスタ（入力シート説明）'!$C27),"全半角英数カナ"),"○","")</f>
        <v/>
      </c>
      <c r="AD23" s="137">
        <f>IF(EXACT(T('サービスコードマスタ（入力シート説明）'!$C27),"通貨"),"○","")</f>
        <v/>
      </c>
      <c r="AE23" s="137">
        <f>IF(EXACT(T('サービスコードマスタ（入力シート説明）'!$C27),"半角"),"○","")</f>
        <v/>
      </c>
      <c r="AF23" s="137">
        <f>IF(EXACT(T('サービスコードマスタ（入力シート説明）'!$C27),"半角カナ"),"○","")</f>
        <v/>
      </c>
      <c r="AG23" s="137">
        <f>IF(EXACT(T('サービスコードマスタ（入力シート説明）'!$C27),"半角英数・半角アンダーバー"),"○","")</f>
        <v/>
      </c>
      <c r="AH23" s="137">
        <f>IF(EXACT(T('サービスコードマスタ（入力シート説明）'!$C27),"日付（スラッシュあり）"),"○","")</f>
        <v/>
      </c>
      <c r="AI23" s="137">
        <f>IF(EXACT(T('サービスコードマスタ（入力シート説明）'!$C27),"全角英数"),"○","")</f>
        <v/>
      </c>
      <c r="AJ23" s="137">
        <f>IF(ISBLANK('サービスコードマスタ（入力シート説明）'!$D27),"",IF(ISERROR(FIND("(", 'サービスコードマスタ（入力シート説明）'!$D27, 1)),"",MID('サービスコードマスタ（入力シート説明）'!$D27,$BI23+1,$BJ23-$BI23-1)))</f>
        <v/>
      </c>
      <c r="AK23" s="137">
        <f>IF(EXACT(T('サービスコードマスタ（入力シート説明）'!$F27),"あり"),"○","")</f>
        <v/>
      </c>
      <c r="AL23" s="138" t="n"/>
      <c r="AM23" s="137">
        <f>IF(EXACT(T('サービスコードマスタ（入力シート説明）'!$E27),"条件付き必須"),"○","")</f>
        <v/>
      </c>
      <c r="AN23" s="137">
        <f>IF(EXACT(T('サービスコードマスタ（入力シート説明）'!$G27),"あり"),"○","")</f>
        <v/>
      </c>
      <c r="AO23" s="137">
        <f>IF(ISBLANK('サービスコードマスタ（入力シート説明）'!$N27),"","○")</f>
        <v/>
      </c>
      <c r="AP23" s="42" t="n"/>
      <c r="AQ23" s="66">
        <f>T('サービスコードマスタ（入力シート説明）'!$H27)</f>
        <v/>
      </c>
      <c r="AR23" s="67" t="n"/>
      <c r="AS23" s="67" t="n"/>
      <c r="AT23" s="67" t="n"/>
      <c r="AU23" s="67" t="n"/>
      <c r="AV23" s="68" t="n"/>
      <c r="AW23" s="69" t="n"/>
      <c r="AX23" s="114" t="n"/>
      <c r="AY23" s="70" t="n"/>
      <c r="AZ23" s="69" t="n"/>
      <c r="BA23" s="69" t="n"/>
      <c r="BB23" s="69" t="n"/>
      <c r="BC23" s="69" t="n"/>
      <c r="BD23" s="69" t="n"/>
      <c r="BE23" s="69" t="n"/>
      <c r="BF23" s="68" t="n">
        <v>1.5</v>
      </c>
      <c r="BG23" s="112" t="n"/>
      <c r="BH23" s="137">
        <f>IF(ISBLANK('サービスコードマスタ（入力シート説明）'!$D27),"",LEN('サービスコードマスタ（入力シート説明）'!$D27))</f>
        <v/>
      </c>
      <c r="BI23" s="137">
        <f>IF(ISBLANK('サービスコードマスタ（入力シート説明）'!$D27),"",IF(ISERROR(FIND("(",'サービスコードマスタ（入力シート説明）'!$D27,1)),"",FIND("(",'サービスコードマスタ（入力シート説明）'!$D27,1)))</f>
        <v/>
      </c>
      <c r="BJ23" s="137">
        <f>IF(ISBLANK('サービスコードマスタ（入力シート説明）'!$D27),"",IF(ISERROR(FIND("(",'サービスコードマスタ（入力シート説明）'!$D27,1)),"",FIND(")",'サービスコードマスタ（入力シート説明）'!$D27,1)))</f>
        <v/>
      </c>
      <c r="BK23" s="137">
        <f>IF(ISBLANK('サービスコードマスタ（入力シート説明）'!$D27),"",IF($BL23="",0,IF($BL23=1,1,IF((IF($BI23="",$BH23,$BI23-1))=$BL23,2,3))))</f>
        <v/>
      </c>
      <c r="BL23" s="137">
        <f>IF(ISBLANK('サービスコードマスタ（入力シート説明）'!$D27),"",IF(ISERROR(FIND("～",'サービスコードマスタ（入力シート説明）'!$D27,1)),"",FIND("～",'サービスコードマスタ（入力シート説明）'!$D27,1)))</f>
        <v/>
      </c>
    </row>
    <row r="24" customFormat="1" s="4">
      <c r="A24" s="139">
        <f>ROW()-2</f>
        <v/>
      </c>
      <c r="B24" s="140">
        <f>SUBSTITUTE(ADDRESS(1,ROW()-1,2),"$1","")</f>
        <v/>
      </c>
      <c r="C24" s="141" t="n"/>
      <c r="D24" s="142">
        <f>VLOOKUP($A24,'サービスコードマスタ（入力シート説明）'!$A$7:$B$109,2,$A24)</f>
        <v/>
      </c>
      <c r="E24" s="141" t="n"/>
      <c r="F24" s="143">
        <f>$T24</f>
        <v/>
      </c>
      <c r="G24" s="79" t="n"/>
      <c r="H24" s="144">
        <f>IF(EXACT(T('サービスコードマスタ（入力シート説明）'!$E28),"必須"),"○","")</f>
        <v/>
      </c>
      <c r="I24" s="144">
        <f>IF(EXACT(T('サービスコードマスタ（入力シート説明）'!$C28),"数値"),"○","")</f>
        <v/>
      </c>
      <c r="J24" s="144">
        <f>IF(EXACT(T('サービスコードマスタ（入力シート説明）'!$C28),"電話番号"),"○","")</f>
        <v/>
      </c>
      <c r="K24" s="144">
        <f>IF(EXACT(T('サービスコードマスタ（入力シート説明）'!$C28),"郵便番号"),"○","")</f>
        <v/>
      </c>
      <c r="L24" s="144">
        <f>IF(EXACT(T('サービスコードマスタ（入力シート説明）'!$C28),"日付（スラッシュなし）"),"○","")</f>
        <v/>
      </c>
      <c r="M24" s="144">
        <f>IF(EXACT(T('サービスコードマスタ（入力シート説明）'!$C28),"半角英数"),"○","")</f>
        <v/>
      </c>
      <c r="N24" s="144">
        <f>IF(ISBLANK('サービスコードマスタ（入力シート説明）'!$D28),"", IF(ISERROR(FIND("～", 'サービスコードマスタ（入力シート説明）'!$D28, 1)), "", IF(EXACT('サービスコードマスタ（入力シート説明）'!$D28,"～"), "", IF(LEN(LEFT('サービスコードマスタ（入力シート説明）'!$D28, FIND("～", 'サービスコードマスタ（入力シート説明）'!$D28, 1) - 1)) &gt;= 1, LEFT('サービスコードマスタ（入力シート説明）'!$D28, FIND("～", 'サービスコードマスタ（入力シート説明）'!$D28, 1) - 1), ""))))</f>
        <v/>
      </c>
      <c r="O24" s="144">
        <f>IF(T24&lt;&gt;"","",IF(OR('サービスコードマスタ（入力シート説明）'!C28="全半角",'サービスコードマスタ（入力シート説明）'!C28="全角",'サービスコードマスタ（入力シート説明）'!C28="全角英数",'サービスコードマスタ（入力シート説明）'!C28="全半角英数カナ",'サービスコードマスタ（入力シート説明）'!C28="全角英数カナ",'サービスコードマスタ（入力シート説明）'!C28="全角カナ",'サービスコードマスタ（入力シート説明）'!C28="半角カナ",'サービスコードマスタ（入力シート説明）'!C28="全銀協"),IF(OR(P24&lt;&gt;"",Q24&lt;&gt;""),TRUNC(IF(P24="",Q24/BF24,P24/BF24),0),""),IF(OR(P24&lt;&gt;"",Q24&lt;&gt;""),IF(P24="",Q24,P24),"")))</f>
        <v/>
      </c>
      <c r="P24" s="144">
        <f>IF(ISBLANK('サービスコードマスタ（入力シート説明）'!$D28),"",IF($BK24=0,"",IF(OR($BK24=1,$BK24=3),MID('サービスコードマスタ（入力シート説明）'!$D28,$BL24+1,IF($BI24="",$BH24,$BI24-1)-$BL24)*IF($BG24&lt;&gt;"",$BF24,1),"")))</f>
        <v/>
      </c>
      <c r="Q24" s="144">
        <f>IF(ISBLANK('サービスコードマスタ（入力シート説明）'!$D28), "", IF($BK24=0, IF($BI24="",'サービスコードマスタ（入力シート説明）'!$D28,LEFT('サービスコードマスタ（入力シート説明）'!$D28,$BI24-1))*IF(BG24&lt;&gt;"",BF24,1),""))</f>
        <v/>
      </c>
      <c r="R24" s="144">
        <f>IF(EXACT(T('サービスコードマスタ（入力シート説明）'!$C28),"全角"),"○","")</f>
        <v/>
      </c>
      <c r="S24" s="144">
        <f>IF(EXACT(T('サービスコードマスタ（入力シート説明）'!$C28),"全角カナ"),"○","")</f>
        <v/>
      </c>
      <c r="T24" s="143">
        <f>IF(ISBLANK('サービスコードマスタ（入力シート説明）'!$L28),"",IF(ISERROR(FIND("～",'サービスコードマスタ（入力シート説明）'!$L28,1)), 'サービスコードマスタ（入力シート説明）'!$L28, ""))</f>
        <v/>
      </c>
      <c r="U24" s="144">
        <f>IF(ISBLANK('サービスコードマスタ（入力シート説明）'!$L28),"",IF(ISERROR(FIND("～",'サービスコードマスタ（入力シート説明）'!$L28,1)), "", 'サービスコードマスタ（入力シート説明）'!$L28))</f>
        <v/>
      </c>
      <c r="V24" s="144">
        <f>IF(EXACT(T('サービスコードマスタ（入力シート説明）'!$I28),"あり"),"○","")</f>
        <v/>
      </c>
      <c r="W24" s="144">
        <f>IF(EXACT(T('サービスコードマスタ（入力シート説明）'!$C28),"全銀協"),"○","")</f>
        <v/>
      </c>
      <c r="X24" s="144">
        <f>IF(EXACT(T('サービスコードマスタ（入力シート説明）'!$C28),"事業所コード"),"○","")</f>
        <v/>
      </c>
      <c r="Y24" s="144">
        <f>IF(EXACT(T('サービスコードマスタ（入力シート説明）'!$C28),"半角英数大文字・半角スペース"),"○","")</f>
        <v/>
      </c>
      <c r="Z24" s="144">
        <f>IF(EXACT(T('サービスコードマスタ（入力シート説明）'!$C28),"半角英数・半角ハイフン"),"○","")</f>
        <v/>
      </c>
      <c r="AA24" s="144">
        <f>IF(EXACT(T('サービスコードマスタ（入力シート説明）'!$C28),"全角英数カナ"),"○","")</f>
        <v/>
      </c>
      <c r="AB24" s="144">
        <f>IF(EXACT(T('サービスコードマスタ（入力シート説明）'!$C28),"半角英数カナ"),"○","")</f>
        <v/>
      </c>
      <c r="AC24" s="144">
        <f>IF(EXACT(T('サービスコードマスタ（入力シート説明）'!$C28),"全半角英数カナ"),"○","")</f>
        <v/>
      </c>
      <c r="AD24" s="144">
        <f>IF(EXACT(T('サービスコードマスタ（入力シート説明）'!$C28),"通貨"),"○","")</f>
        <v/>
      </c>
      <c r="AE24" s="144">
        <f>IF(EXACT(T('サービスコードマスタ（入力シート説明）'!$C28),"半角"),"○","")</f>
        <v/>
      </c>
      <c r="AF24" s="144">
        <f>IF(EXACT(T('サービスコードマスタ（入力シート説明）'!$C28),"半角カナ"),"○","")</f>
        <v/>
      </c>
      <c r="AG24" s="144">
        <f>IF(EXACT(T('サービスコードマスタ（入力シート説明）'!$C28),"半角英数・半角アンダーバー"),"○","")</f>
        <v/>
      </c>
      <c r="AH24" s="144">
        <f>IF(EXACT(T('サービスコードマスタ（入力シート説明）'!$C28),"日付（スラッシュあり）"),"○","")</f>
        <v/>
      </c>
      <c r="AI24" s="144">
        <f>IF(EXACT(T('サービスコードマスタ（入力シート説明）'!$C28),"全角英数"),"○","")</f>
        <v/>
      </c>
      <c r="AJ24" s="144">
        <f>IF(ISBLANK('サービスコードマスタ（入力シート説明）'!$D28),"",IF(ISERROR(FIND("(", 'サービスコードマスタ（入力シート説明）'!$D28, 1)),"",MID('サービスコードマスタ（入力シート説明）'!$D28,$BI24+1,$BJ24-$BI24-1)))</f>
        <v/>
      </c>
      <c r="AK24" s="144">
        <f>IF(EXACT(T('サービスコードマスタ（入力シート説明）'!$F28),"あり"),"○","")</f>
        <v/>
      </c>
      <c r="AL24" s="145" t="n"/>
      <c r="AM24" s="144">
        <f>IF(EXACT(T('サービスコードマスタ（入力シート説明）'!$E28),"条件付き必須"),"○","")</f>
        <v/>
      </c>
      <c r="AN24" s="144">
        <f>IF(EXACT(T('サービスコードマスタ（入力シート説明）'!$G28),"あり"),"○","")</f>
        <v/>
      </c>
      <c r="AO24" s="144">
        <f>IF(ISBLANK('サービスコードマスタ（入力シート説明）'!$N28),"","○")</f>
        <v/>
      </c>
      <c r="AP24" s="79" t="n"/>
      <c r="AQ24" s="80">
        <f>T('サービスコードマスタ（入力シート説明）'!$H28)</f>
        <v/>
      </c>
      <c r="AR24" s="81" t="n"/>
      <c r="AS24" s="81" t="n"/>
      <c r="AT24" s="81" t="n"/>
      <c r="AU24" s="81" t="n"/>
      <c r="AV24" s="82" t="n"/>
      <c r="AW24" s="83" t="n"/>
      <c r="AX24" s="131" t="n"/>
      <c r="AY24" s="84" t="n"/>
      <c r="AZ24" s="83" t="n"/>
      <c r="BA24" s="83" t="n"/>
      <c r="BB24" s="83" t="n"/>
      <c r="BC24" s="83" t="n"/>
      <c r="BD24" s="83" t="n"/>
      <c r="BE24" s="83" t="n"/>
      <c r="BF24" s="82" t="n">
        <v>1.5</v>
      </c>
      <c r="BG24" s="113" t="n"/>
      <c r="BH24" s="144">
        <f>IF(ISBLANK('サービスコードマスタ（入力シート説明）'!$D28),"",LEN('サービスコードマスタ（入力シート説明）'!$D28))</f>
        <v/>
      </c>
      <c r="BI24" s="144">
        <f>IF(ISBLANK('サービスコードマスタ（入力シート説明）'!$D28),"",IF(ISERROR(FIND("(",'サービスコードマスタ（入力シート説明）'!$D28,1)),"",FIND("(",'サービスコードマスタ（入力シート説明）'!$D28,1)))</f>
        <v/>
      </c>
      <c r="BJ24" s="144">
        <f>IF(ISBLANK('サービスコードマスタ（入力シート説明）'!$D28),"",IF(ISERROR(FIND("(",'サービスコードマスタ（入力シート説明）'!$D28,1)),"",FIND(")",'サービスコードマスタ（入力シート説明）'!$D28,1)))</f>
        <v/>
      </c>
      <c r="BK24" s="144">
        <f>IF(ISBLANK('サービスコードマスタ（入力シート説明）'!$D28),"",IF($BL24="",0,IF($BL24=1,1,IF((IF($BI24="",$BH24,$BI24-1))=$BL24,2,3))))</f>
        <v/>
      </c>
      <c r="BL24" s="144">
        <f>IF(ISBLANK('サービスコードマスタ（入力シート説明）'!$D28),"",IF(ISERROR(FIND("～",'サービスコードマスタ（入力シート説明）'!$D28,1)),"",FIND("～",'サービスコードマスタ（入力シート説明）'!$D28,1)))</f>
        <v/>
      </c>
    </row>
    <row r="25">
      <c r="X25" s="39" t="n"/>
      <c r="Y25" s="39" t="n"/>
      <c r="Z25" s="39" t="n"/>
      <c r="AA25" s="39" t="n"/>
      <c r="AB25" s="39" t="n"/>
      <c r="AC25" s="39" t="n"/>
      <c r="AD25" s="39" t="n"/>
      <c r="AE25" s="39" t="n"/>
      <c r="AF25" s="39" t="n"/>
      <c r="AG25" s="39" t="n"/>
      <c r="AH25" s="39" t="n"/>
      <c r="AI25" s="39" t="n"/>
      <c r="AJ25" s="39" t="n"/>
      <c r="AK25" s="2" t="n"/>
      <c r="AL25" s="2" t="n"/>
      <c r="AM25" s="2" t="n"/>
      <c r="AN25" s="2" t="n"/>
      <c r="AO25" s="2" t="n"/>
      <c r="AP25" s="2" t="n"/>
    </row>
    <row r="26">
      <c r="B26" s="72" t="n"/>
      <c r="C26" s="73" t="inlineStr">
        <is>
          <t>非表示項目（Ｂ列の色で判定）のチェックは実行されない</t>
        </is>
      </c>
      <c r="G26" s="2" t="inlineStr">
        <is>
          <t>◎</t>
        </is>
      </c>
      <c r="H26" t="inlineStr">
        <is>
          <t>ダミーカラム（計算式）をコピー</t>
        </is>
      </c>
      <c r="X26" s="39" t="n"/>
      <c r="Y26" s="39" t="n"/>
      <c r="Z26" s="39" t="n"/>
      <c r="AA26" s="39" t="n"/>
      <c r="AB26" s="39" t="n"/>
      <c r="AC26" s="39" t="n"/>
      <c r="AD26" s="39" t="n"/>
      <c r="AE26" s="39" t="n"/>
      <c r="AF26" s="39" t="n"/>
      <c r="AG26" s="39" t="n"/>
      <c r="AH26" s="39" t="n"/>
      <c r="AI26" s="39" t="n"/>
      <c r="AJ26" s="39" t="n"/>
    </row>
    <row r="27">
      <c r="X27" s="39" t="n"/>
      <c r="Y27" s="39" t="n"/>
      <c r="Z27" s="39" t="n"/>
      <c r="AA27" s="39" t="n"/>
      <c r="AB27" s="39" t="n"/>
      <c r="AC27" s="39" t="n"/>
      <c r="AD27" s="39" t="n"/>
      <c r="AE27" s="39" t="n"/>
      <c r="AF27" s="39" t="n"/>
      <c r="AG27" s="39" t="n"/>
      <c r="AH27" s="39" t="n"/>
      <c r="AI27" s="39" t="n"/>
      <c r="AJ27" s="39" t="n"/>
      <c r="AK27" s="2" t="n"/>
      <c r="AL27" s="2" t="n"/>
      <c r="AM27" s="2" t="n"/>
      <c r="AN27" s="2" t="n"/>
      <c r="AO27" s="2" t="n"/>
      <c r="AP27" s="2" t="n"/>
    </row>
    <row r="28">
      <c r="B28" s="74" t="n"/>
      <c r="C28" s="73" t="inlineStr">
        <is>
          <t>入力チェック前に会社コード必須チェックを行わない場合（全社共通入力シートなど）は"Y"を入力する。それ以外は"N"を入力する。</t>
        </is>
      </c>
      <c r="D28" s="2" t="n"/>
      <c r="E28" s="2" t="n"/>
      <c r="F28" s="2" t="n"/>
      <c r="H28" s="2" t="n"/>
      <c r="I28" s="2" t="n"/>
      <c r="J28" s="2" t="n"/>
      <c r="K28" s="2" t="n"/>
      <c r="L28" s="2" t="n"/>
      <c r="M28" s="2" t="n"/>
      <c r="N28" s="2" t="n"/>
      <c r="O28" s="2" t="n"/>
      <c r="P28" s="2" t="n"/>
      <c r="Q28" s="2" t="n"/>
      <c r="R28" s="2" t="n"/>
      <c r="S28" s="2" t="n"/>
      <c r="T28" s="2" t="n"/>
      <c r="U28" s="2" t="n"/>
      <c r="V28" s="2" t="n"/>
      <c r="W28" s="2" t="n"/>
      <c r="X28" s="39" t="n"/>
      <c r="Y28" s="39" t="n"/>
      <c r="Z28" s="39" t="n"/>
      <c r="AA28" s="39" t="n"/>
      <c r="AB28" s="39" t="n"/>
      <c r="AC28" s="39" t="n"/>
      <c r="AD28" s="39" t="n"/>
      <c r="AE28" s="39" t="n"/>
      <c r="AF28" s="39" t="n"/>
      <c r="AG28" s="39" t="n"/>
      <c r="AH28" s="39" t="n"/>
      <c r="AI28" s="39" t="n"/>
      <c r="AJ28" s="39" t="n"/>
      <c r="AK28" s="2" t="n"/>
      <c r="AL28" s="2" t="n"/>
      <c r="AM28" s="2" t="n"/>
      <c r="AN28" s="2" t="n"/>
      <c r="AO28" s="2" t="n"/>
      <c r="AP28" s="2" t="n"/>
      <c r="AQ28" s="2" t="n"/>
      <c r="AR28" s="2" t="n"/>
      <c r="AS28" s="2" t="n"/>
      <c r="AT28" s="2" t="n"/>
      <c r="AU28" s="2" t="n"/>
      <c r="AV28" s="2" t="n"/>
    </row>
    <row r="29">
      <c r="X29" s="39" t="n"/>
      <c r="Y29" s="39" t="n"/>
      <c r="Z29" s="39" t="n"/>
      <c r="AA29" s="39" t="n"/>
      <c r="AB29" s="39" t="n"/>
      <c r="AC29" s="39" t="n"/>
      <c r="AD29" s="39" t="n"/>
      <c r="AE29" s="39" t="n"/>
      <c r="AF29" s="39" t="n"/>
      <c r="AG29" s="39" t="n"/>
      <c r="AH29" s="39" t="n"/>
      <c r="AI29" s="39" t="n"/>
      <c r="AJ29" s="39" t="n"/>
      <c r="AK29" s="2" t="n"/>
      <c r="AL29" s="2" t="n"/>
      <c r="AM29" s="2" t="n"/>
      <c r="AN29" s="2" t="n"/>
      <c r="AO29" s="2" t="n"/>
      <c r="AP29" s="2" t="n"/>
    </row>
    <row r="30">
      <c r="X30" s="39" t="n"/>
      <c r="Y30" s="39" t="n"/>
      <c r="Z30" s="39" t="n"/>
      <c r="AA30" s="39" t="n"/>
      <c r="AB30" s="39" t="n"/>
      <c r="AC30" s="39" t="n"/>
      <c r="AD30" s="39" t="n"/>
      <c r="AE30" s="39" t="n"/>
      <c r="AF30" s="39" t="n"/>
      <c r="AG30" s="39" t="n"/>
      <c r="AH30" s="39" t="n"/>
      <c r="AI30" s="39" t="n"/>
      <c r="AJ30" s="39" t="n"/>
      <c r="AK30" s="2" t="n"/>
      <c r="AL30" s="2" t="n"/>
      <c r="AM30" s="2" t="n"/>
      <c r="AN30" s="2" t="n"/>
      <c r="AO30" s="2" t="n"/>
      <c r="AP30" s="2" t="n"/>
    </row>
    <row r="31">
      <c r="X31" s="39" t="n"/>
      <c r="Y31" s="39" t="n"/>
      <c r="Z31" s="39" t="n"/>
      <c r="AA31" s="39" t="n"/>
      <c r="AB31" s="39" t="n"/>
      <c r="AC31" s="39" t="n"/>
      <c r="AD31" s="39" t="n"/>
      <c r="AE31" s="39" t="n"/>
      <c r="AF31" s="39" t="n"/>
      <c r="AG31" s="39" t="n"/>
      <c r="AH31" s="39" t="n"/>
      <c r="AI31" s="39" t="n"/>
      <c r="AJ31" s="39" t="n"/>
      <c r="AK31" s="2" t="n"/>
      <c r="AL31" s="2" t="n"/>
      <c r="AM31" s="2" t="n"/>
      <c r="AN31" s="2" t="n"/>
      <c r="AO31" s="2" t="n"/>
      <c r="AP31" s="2" t="n"/>
    </row>
    <row r="32">
      <c r="X32" s="39" t="n"/>
      <c r="Y32" s="39" t="n"/>
      <c r="Z32" s="39" t="n"/>
      <c r="AA32" s="39" t="n"/>
      <c r="AB32" s="39" t="n"/>
      <c r="AC32" s="39" t="n"/>
      <c r="AD32" s="39" t="n"/>
      <c r="AE32" s="39" t="n"/>
      <c r="AF32" s="39" t="n"/>
      <c r="AG32" s="39" t="n"/>
      <c r="AH32" s="39" t="n"/>
      <c r="AI32" s="39" t="n"/>
      <c r="AJ32" s="39" t="n"/>
      <c r="AK32" s="2" t="n"/>
      <c r="AL32" s="2" t="n"/>
      <c r="AM32" s="2" t="n"/>
      <c r="AN32" s="2" t="n"/>
      <c r="AO32" s="2" t="n"/>
      <c r="AP32" s="2" t="n"/>
    </row>
    <row r="33">
      <c r="X33" s="39" t="n"/>
      <c r="Y33" s="39" t="n"/>
      <c r="Z33" s="39" t="n"/>
      <c r="AA33" s="39" t="n"/>
      <c r="AB33" s="39" t="n"/>
      <c r="AC33" s="39" t="n"/>
      <c r="AD33" s="39" t="n"/>
      <c r="AE33" s="39" t="n"/>
      <c r="AF33" s="39" t="n"/>
      <c r="AG33" s="39" t="n"/>
      <c r="AH33" s="39" t="n"/>
      <c r="AI33" s="39" t="n"/>
      <c r="AJ33" s="39" t="n"/>
      <c r="AK33" s="2" t="n"/>
      <c r="AL33" s="2" t="n"/>
      <c r="AM33" s="2" t="n"/>
      <c r="AN33" s="2" t="n"/>
      <c r="AO33" s="2" t="n"/>
      <c r="AP33" s="2" t="n"/>
    </row>
    <row r="34">
      <c r="X34" s="40" t="n"/>
      <c r="Y34" s="40" t="n"/>
      <c r="Z34" s="40" t="n"/>
      <c r="AA34" s="40" t="n"/>
      <c r="AB34" s="40" t="n"/>
      <c r="AC34" s="40" t="n"/>
      <c r="AD34" s="40" t="n"/>
      <c r="AE34" s="40" t="n"/>
      <c r="AF34" s="40" t="n"/>
      <c r="AG34" s="40" t="n"/>
      <c r="AH34" s="40" t="n"/>
      <c r="AI34" s="40" t="n"/>
      <c r="AJ34" s="40" t="n"/>
      <c r="AK34" s="2" t="n"/>
      <c r="AL34" s="2" t="n"/>
      <c r="AM34" s="2" t="n"/>
      <c r="AN34" s="2" t="n"/>
      <c r="AO34" s="2" t="n"/>
      <c r="AP34" s="2" t="n"/>
    </row>
    <row r="35">
      <c r="AK35" s="2" t="n"/>
      <c r="AL35" s="2" t="n"/>
      <c r="AM35" s="2" t="n"/>
      <c r="AN35" s="2" t="n"/>
      <c r="AO35" s="2" t="n"/>
      <c r="AP35" s="2" t="n"/>
    </row>
  </sheetData>
  <sheetProtection selectLockedCells="0" selectUnlockedCells="0" algorithmName="SHA-512" sheet="1" objects="0" insertRows="1" insertHyperlinks="1" autoFilter="0" scenarios="1" formatColumns="0" deleteColumns="1" insertColumns="1" pivotTables="1" deleteRows="1" formatCells="1" saltValue="5d7ZD2HzJ3D2UTKmYNTwIw==" formatRows="0" sort="1" spinCount="100000" hashValue="ue+jw1AeOKnmncM8V4Sfq6amQl+oYQWnWfgI0NbByc0JlBp5F+RmaYvZaTS3Wl6TDCY7nfWEvNIY0d7MhpLQHQ=="/>
  <mergeCells count="1">
    <mergeCell ref="AR1:AU1"/>
  </mergeCells>
  <dataValidations count="1">
    <dataValidation sqref="BG3:BG24" showDropDown="0" showInputMessage="1" showErrorMessage="1" allowBlank="1" type="list">
      <formula1>"○"</formula1>
    </dataValidation>
  </dataValidations>
  <pageMargins left="0.75" right="0.75" top="1" bottom="1" header="0.512" footer="0.512"/>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codeName="Sheet2">
    <outlinePr summaryBelow="1" summaryRight="1"/>
    <pageSetUpPr/>
  </sheetPr>
  <dimension ref="A1:D64"/>
  <sheetViews>
    <sheetView zoomScale="80" zoomScaleNormal="80" workbookViewId="0">
      <pane ySplit="2" topLeftCell="A3" activePane="bottomLeft" state="frozen"/>
      <selection pane="bottomLeft" activeCell="C15" sqref="C15"/>
    </sheetView>
  </sheetViews>
  <sheetFormatPr baseColWidth="8" defaultRowHeight="13.2"/>
  <cols>
    <col width="17.33203125" bestFit="1" customWidth="1" min="3" max="3"/>
  </cols>
  <sheetData>
    <row r="1">
      <c r="A1" s="73" t="inlineStr">
        <is>
          <t>■変換表（集計範囲FROM-TO比較）</t>
        </is>
      </c>
      <c r="B1" s="73" t="n"/>
      <c r="C1" s="73" t="n"/>
      <c r="D1" s="73" t="n"/>
    </row>
    <row r="2">
      <c r="A2" s="73" t="n"/>
      <c r="B2" s="158" t="inlineStr">
        <is>
          <t>文字</t>
        </is>
      </c>
      <c r="C2" s="158" t="inlineStr">
        <is>
          <t>文字コード(ASCII）</t>
        </is>
      </c>
      <c r="D2" s="158" t="inlineStr">
        <is>
          <t>62進数</t>
        </is>
      </c>
    </row>
    <row r="3">
      <c r="A3" s="73" t="n"/>
      <c r="B3" s="159" t="inlineStr">
        <is>
          <t>0</t>
        </is>
      </c>
      <c r="C3" s="299">
        <f>CODE(B3)</f>
        <v/>
      </c>
      <c r="D3" s="299" t="n">
        <v>0</v>
      </c>
    </row>
    <row r="4">
      <c r="A4" s="73" t="n"/>
      <c r="B4" s="159" t="inlineStr">
        <is>
          <t>1</t>
        </is>
      </c>
      <c r="C4" s="299">
        <f>CODE(B4)</f>
        <v/>
      </c>
      <c r="D4" s="299" t="n">
        <v>1</v>
      </c>
    </row>
    <row r="5">
      <c r="A5" s="73" t="n"/>
      <c r="B5" s="159" t="inlineStr">
        <is>
          <t>2</t>
        </is>
      </c>
      <c r="C5" s="299">
        <f>CODE(B5)</f>
        <v/>
      </c>
      <c r="D5" s="299" t="n">
        <v>2</v>
      </c>
    </row>
    <row r="6">
      <c r="A6" s="73" t="n"/>
      <c r="B6" s="159" t="inlineStr">
        <is>
          <t>3</t>
        </is>
      </c>
      <c r="C6" s="299">
        <f>CODE(B6)</f>
        <v/>
      </c>
      <c r="D6" s="299" t="n">
        <v>3</v>
      </c>
    </row>
    <row r="7">
      <c r="A7" s="73" t="n"/>
      <c r="B7" s="159" t="inlineStr">
        <is>
          <t>4</t>
        </is>
      </c>
      <c r="C7" s="299">
        <f>CODE(B7)</f>
        <v/>
      </c>
      <c r="D7" s="299" t="n">
        <v>4</v>
      </c>
    </row>
    <row r="8">
      <c r="A8" s="73" t="n"/>
      <c r="B8" s="159" t="inlineStr">
        <is>
          <t>5</t>
        </is>
      </c>
      <c r="C8" s="299">
        <f>CODE(B8)</f>
        <v/>
      </c>
      <c r="D8" s="299" t="n">
        <v>5</v>
      </c>
    </row>
    <row r="9">
      <c r="A9" s="73" t="n"/>
      <c r="B9" s="159" t="inlineStr">
        <is>
          <t>6</t>
        </is>
      </c>
      <c r="C9" s="299">
        <f>CODE(B9)</f>
        <v/>
      </c>
      <c r="D9" s="299" t="n">
        <v>6</v>
      </c>
    </row>
    <row r="10">
      <c r="A10" s="73" t="n"/>
      <c r="B10" s="159" t="inlineStr">
        <is>
          <t>7</t>
        </is>
      </c>
      <c r="C10" s="299">
        <f>CODE(B10)</f>
        <v/>
      </c>
      <c r="D10" s="299" t="n">
        <v>7</v>
      </c>
    </row>
    <row r="11">
      <c r="A11" s="73" t="n"/>
      <c r="B11" s="159" t="inlineStr">
        <is>
          <t>8</t>
        </is>
      </c>
      <c r="C11" s="299">
        <f>CODE(B11)</f>
        <v/>
      </c>
      <c r="D11" s="299" t="n">
        <v>8</v>
      </c>
    </row>
    <row r="12">
      <c r="A12" s="73" t="n"/>
      <c r="B12" s="159" t="inlineStr">
        <is>
          <t>9</t>
        </is>
      </c>
      <c r="C12" s="299">
        <f>CODE(B12)</f>
        <v/>
      </c>
      <c r="D12" s="299" t="n">
        <v>9</v>
      </c>
    </row>
    <row r="13">
      <c r="A13" s="73" t="n"/>
      <c r="B13" s="159" t="inlineStr">
        <is>
          <t>A</t>
        </is>
      </c>
      <c r="C13" s="299">
        <f>CODE(B13)</f>
        <v/>
      </c>
      <c r="D13" s="299" t="n">
        <v>10</v>
      </c>
    </row>
    <row r="14">
      <c r="A14" s="160" t="n"/>
      <c r="B14" s="159" t="inlineStr">
        <is>
          <t>B</t>
        </is>
      </c>
      <c r="C14" s="299">
        <f>CODE(B14)</f>
        <v/>
      </c>
      <c r="D14" s="299" t="n">
        <v>11</v>
      </c>
    </row>
    <row r="15">
      <c r="A15" s="160" t="n"/>
      <c r="B15" s="159" t="inlineStr">
        <is>
          <t>C</t>
        </is>
      </c>
      <c r="C15" s="299">
        <f>CODE(B15)</f>
        <v/>
      </c>
      <c r="D15" s="299" t="n">
        <v>12</v>
      </c>
    </row>
    <row r="16">
      <c r="A16" s="160" t="n"/>
      <c r="B16" s="159" t="inlineStr">
        <is>
          <t>D</t>
        </is>
      </c>
      <c r="C16" s="299">
        <f>CODE(B16)</f>
        <v/>
      </c>
      <c r="D16" s="299" t="n">
        <v>13</v>
      </c>
    </row>
    <row r="17">
      <c r="A17" s="160" t="n"/>
      <c r="B17" s="159" t="inlineStr">
        <is>
          <t>E</t>
        </is>
      </c>
      <c r="C17" s="299">
        <f>CODE(B17)</f>
        <v/>
      </c>
      <c r="D17" s="299" t="n">
        <v>14</v>
      </c>
    </row>
    <row r="18">
      <c r="A18" s="160" t="n"/>
      <c r="B18" s="159" t="inlineStr">
        <is>
          <t>F</t>
        </is>
      </c>
      <c r="C18" s="299">
        <f>CODE(B18)</f>
        <v/>
      </c>
      <c r="D18" s="299" t="n">
        <v>15</v>
      </c>
    </row>
    <row r="19">
      <c r="A19" s="160" t="n"/>
      <c r="B19" s="159" t="inlineStr">
        <is>
          <t>G</t>
        </is>
      </c>
      <c r="C19" s="299">
        <f>CODE(B19)</f>
        <v/>
      </c>
      <c r="D19" s="299" t="n">
        <v>16</v>
      </c>
    </row>
    <row r="20">
      <c r="A20" s="160" t="n"/>
      <c r="B20" s="159" t="inlineStr">
        <is>
          <t>H</t>
        </is>
      </c>
      <c r="C20" s="299">
        <f>CODE(B20)</f>
        <v/>
      </c>
      <c r="D20" s="299" t="n">
        <v>17</v>
      </c>
    </row>
    <row r="21">
      <c r="A21" s="160" t="n"/>
      <c r="B21" s="159" t="inlineStr">
        <is>
          <t>I</t>
        </is>
      </c>
      <c r="C21" s="299">
        <f>CODE(B21)</f>
        <v/>
      </c>
      <c r="D21" s="299" t="n">
        <v>18</v>
      </c>
    </row>
    <row r="22">
      <c r="A22" s="160" t="n"/>
      <c r="B22" s="159" t="inlineStr">
        <is>
          <t>J</t>
        </is>
      </c>
      <c r="C22" s="299">
        <f>CODE(B22)</f>
        <v/>
      </c>
      <c r="D22" s="299" t="n">
        <v>19</v>
      </c>
    </row>
    <row r="23">
      <c r="A23" s="160" t="n"/>
      <c r="B23" s="159" t="inlineStr">
        <is>
          <t>K</t>
        </is>
      </c>
      <c r="C23" s="299">
        <f>CODE(B23)</f>
        <v/>
      </c>
      <c r="D23" s="299" t="n">
        <v>20</v>
      </c>
    </row>
    <row r="24">
      <c r="A24" s="160" t="n"/>
      <c r="B24" s="159" t="inlineStr">
        <is>
          <t>L</t>
        </is>
      </c>
      <c r="C24" s="299">
        <f>CODE(B24)</f>
        <v/>
      </c>
      <c r="D24" s="299" t="n">
        <v>21</v>
      </c>
    </row>
    <row r="25">
      <c r="A25" s="160" t="n"/>
      <c r="B25" s="159" t="inlineStr">
        <is>
          <t>M</t>
        </is>
      </c>
      <c r="C25" s="299">
        <f>CODE(B25)</f>
        <v/>
      </c>
      <c r="D25" s="299" t="n">
        <v>22</v>
      </c>
    </row>
    <row r="26">
      <c r="A26" s="160" t="n"/>
      <c r="B26" s="159" t="inlineStr">
        <is>
          <t>N</t>
        </is>
      </c>
      <c r="C26" s="299">
        <f>CODE(B26)</f>
        <v/>
      </c>
      <c r="D26" s="299" t="n">
        <v>23</v>
      </c>
    </row>
    <row r="27">
      <c r="A27" s="160" t="n"/>
      <c r="B27" s="159" t="inlineStr">
        <is>
          <t>O</t>
        </is>
      </c>
      <c r="C27" s="299">
        <f>CODE(B27)</f>
        <v/>
      </c>
      <c r="D27" s="299" t="n">
        <v>24</v>
      </c>
    </row>
    <row r="28">
      <c r="A28" s="160" t="n"/>
      <c r="B28" s="159" t="inlineStr">
        <is>
          <t>P</t>
        </is>
      </c>
      <c r="C28" s="299">
        <f>CODE(B28)</f>
        <v/>
      </c>
      <c r="D28" s="299" t="n">
        <v>25</v>
      </c>
    </row>
    <row r="29">
      <c r="A29" s="160" t="n"/>
      <c r="B29" s="159" t="inlineStr">
        <is>
          <t>Q</t>
        </is>
      </c>
      <c r="C29" s="299">
        <f>CODE(B29)</f>
        <v/>
      </c>
      <c r="D29" s="299" t="n">
        <v>26</v>
      </c>
    </row>
    <row r="30">
      <c r="A30" s="160" t="n"/>
      <c r="B30" s="159" t="inlineStr">
        <is>
          <t>R</t>
        </is>
      </c>
      <c r="C30" s="299">
        <f>CODE(B30)</f>
        <v/>
      </c>
      <c r="D30" s="299" t="n">
        <v>27</v>
      </c>
    </row>
    <row r="31">
      <c r="A31" s="160" t="n"/>
      <c r="B31" s="159" t="inlineStr">
        <is>
          <t>S</t>
        </is>
      </c>
      <c r="C31" s="299">
        <f>CODE(B31)</f>
        <v/>
      </c>
      <c r="D31" s="299" t="n">
        <v>28</v>
      </c>
    </row>
    <row r="32">
      <c r="A32" s="160" t="n"/>
      <c r="B32" s="159" t="inlineStr">
        <is>
          <t>T</t>
        </is>
      </c>
      <c r="C32" s="299">
        <f>CODE(B32)</f>
        <v/>
      </c>
      <c r="D32" s="299" t="n">
        <v>29</v>
      </c>
    </row>
    <row r="33">
      <c r="A33" s="160" t="n"/>
      <c r="B33" s="159" t="inlineStr">
        <is>
          <t>U</t>
        </is>
      </c>
      <c r="C33" s="299">
        <f>CODE(B33)</f>
        <v/>
      </c>
      <c r="D33" s="299" t="n">
        <v>30</v>
      </c>
    </row>
    <row r="34">
      <c r="A34" s="160" t="n"/>
      <c r="B34" s="159" t="inlineStr">
        <is>
          <t>V</t>
        </is>
      </c>
      <c r="C34" s="299">
        <f>CODE(B34)</f>
        <v/>
      </c>
      <c r="D34" s="299" t="n">
        <v>31</v>
      </c>
    </row>
    <row r="35">
      <c r="A35" s="160" t="n"/>
      <c r="B35" s="159" t="inlineStr">
        <is>
          <t>W</t>
        </is>
      </c>
      <c r="C35" s="299">
        <f>CODE(B35)</f>
        <v/>
      </c>
      <c r="D35" s="299" t="n">
        <v>32</v>
      </c>
    </row>
    <row r="36">
      <c r="A36" s="160" t="n"/>
      <c r="B36" s="159" t="inlineStr">
        <is>
          <t>X</t>
        </is>
      </c>
      <c r="C36" s="299">
        <f>CODE(B36)</f>
        <v/>
      </c>
      <c r="D36" s="299" t="n">
        <v>33</v>
      </c>
    </row>
    <row r="37">
      <c r="A37" s="160" t="n"/>
      <c r="B37" s="159" t="inlineStr">
        <is>
          <t>Y</t>
        </is>
      </c>
      <c r="C37" s="299">
        <f>CODE(B37)</f>
        <v/>
      </c>
      <c r="D37" s="299" t="n">
        <v>34</v>
      </c>
    </row>
    <row r="38">
      <c r="A38" s="160" t="n"/>
      <c r="B38" s="159" t="inlineStr">
        <is>
          <t>Z</t>
        </is>
      </c>
      <c r="C38" s="299">
        <f>CODE(B38)</f>
        <v/>
      </c>
      <c r="D38" s="299" t="n">
        <v>35</v>
      </c>
    </row>
    <row r="39">
      <c r="A39" s="160" t="n"/>
      <c r="B39" s="159" t="inlineStr">
        <is>
          <t>a</t>
        </is>
      </c>
      <c r="C39" s="299">
        <f>CODE(B39)</f>
        <v/>
      </c>
      <c r="D39" s="299" t="n">
        <v>36</v>
      </c>
    </row>
    <row r="40">
      <c r="A40" s="160" t="n"/>
      <c r="B40" s="159" t="inlineStr">
        <is>
          <t>b</t>
        </is>
      </c>
      <c r="C40" s="299">
        <f>CODE(B40)</f>
        <v/>
      </c>
      <c r="D40" s="299" t="n">
        <v>37</v>
      </c>
    </row>
    <row r="41">
      <c r="A41" s="160" t="n"/>
      <c r="B41" s="159" t="inlineStr">
        <is>
          <t>c</t>
        </is>
      </c>
      <c r="C41" s="299">
        <f>CODE(B41)</f>
        <v/>
      </c>
      <c r="D41" s="299" t="n">
        <v>38</v>
      </c>
    </row>
    <row r="42">
      <c r="A42" s="160" t="n"/>
      <c r="B42" s="159" t="inlineStr">
        <is>
          <t>d</t>
        </is>
      </c>
      <c r="C42" s="299">
        <f>CODE(B42)</f>
        <v/>
      </c>
      <c r="D42" s="299" t="n">
        <v>39</v>
      </c>
    </row>
    <row r="43">
      <c r="A43" s="160" t="n"/>
      <c r="B43" s="159" t="inlineStr">
        <is>
          <t>e</t>
        </is>
      </c>
      <c r="C43" s="299">
        <f>CODE(B43)</f>
        <v/>
      </c>
      <c r="D43" s="299" t="n">
        <v>40</v>
      </c>
    </row>
    <row r="44">
      <c r="A44" s="160" t="n"/>
      <c r="B44" s="159" t="inlineStr">
        <is>
          <t>f</t>
        </is>
      </c>
      <c r="C44" s="299">
        <f>CODE(B44)</f>
        <v/>
      </c>
      <c r="D44" s="299" t="n">
        <v>41</v>
      </c>
    </row>
    <row r="45">
      <c r="A45" s="160" t="n"/>
      <c r="B45" s="159" t="inlineStr">
        <is>
          <t>g</t>
        </is>
      </c>
      <c r="C45" s="299">
        <f>CODE(B45)</f>
        <v/>
      </c>
      <c r="D45" s="299" t="n">
        <v>42</v>
      </c>
    </row>
    <row r="46">
      <c r="A46" s="160" t="n"/>
      <c r="B46" s="159" t="inlineStr">
        <is>
          <t>h</t>
        </is>
      </c>
      <c r="C46" s="299">
        <f>CODE(B46)</f>
        <v/>
      </c>
      <c r="D46" s="299" t="n">
        <v>43</v>
      </c>
    </row>
    <row r="47">
      <c r="A47" s="160" t="n"/>
      <c r="B47" s="159" t="inlineStr">
        <is>
          <t>i</t>
        </is>
      </c>
      <c r="C47" s="299">
        <f>CODE(B47)</f>
        <v/>
      </c>
      <c r="D47" s="299" t="n">
        <v>44</v>
      </c>
    </row>
    <row r="48">
      <c r="A48" s="160" t="n"/>
      <c r="B48" s="159" t="inlineStr">
        <is>
          <t>j</t>
        </is>
      </c>
      <c r="C48" s="299">
        <f>CODE(B48)</f>
        <v/>
      </c>
      <c r="D48" s="299" t="n">
        <v>45</v>
      </c>
    </row>
    <row r="49">
      <c r="A49" s="160" t="n"/>
      <c r="B49" s="159" t="inlineStr">
        <is>
          <t>k</t>
        </is>
      </c>
      <c r="C49" s="299">
        <f>CODE(B49)</f>
        <v/>
      </c>
      <c r="D49" s="299" t="n">
        <v>46</v>
      </c>
    </row>
    <row r="50">
      <c r="A50" s="160" t="n"/>
      <c r="B50" s="159" t="inlineStr">
        <is>
          <t>l</t>
        </is>
      </c>
      <c r="C50" s="299">
        <f>CODE(B50)</f>
        <v/>
      </c>
      <c r="D50" s="299" t="n">
        <v>47</v>
      </c>
    </row>
    <row r="51">
      <c r="A51" s="160" t="n"/>
      <c r="B51" s="159" t="inlineStr">
        <is>
          <t>m</t>
        </is>
      </c>
      <c r="C51" s="299">
        <f>CODE(B51)</f>
        <v/>
      </c>
      <c r="D51" s="299" t="n">
        <v>48</v>
      </c>
    </row>
    <row r="52">
      <c r="A52" s="160" t="n"/>
      <c r="B52" s="159" t="inlineStr">
        <is>
          <t>n</t>
        </is>
      </c>
      <c r="C52" s="299">
        <f>CODE(B52)</f>
        <v/>
      </c>
      <c r="D52" s="299" t="n">
        <v>49</v>
      </c>
    </row>
    <row r="53">
      <c r="A53" s="160" t="n"/>
      <c r="B53" s="159" t="inlineStr">
        <is>
          <t>o</t>
        </is>
      </c>
      <c r="C53" s="299">
        <f>CODE(B53)</f>
        <v/>
      </c>
      <c r="D53" s="299" t="n">
        <v>50</v>
      </c>
    </row>
    <row r="54">
      <c r="A54" s="160" t="n"/>
      <c r="B54" s="159" t="inlineStr">
        <is>
          <t>p</t>
        </is>
      </c>
      <c r="C54" s="299">
        <f>CODE(B54)</f>
        <v/>
      </c>
      <c r="D54" s="299" t="n">
        <v>51</v>
      </c>
    </row>
    <row r="55">
      <c r="A55" s="160" t="n"/>
      <c r="B55" s="159" t="inlineStr">
        <is>
          <t>q</t>
        </is>
      </c>
      <c r="C55" s="299">
        <f>CODE(B55)</f>
        <v/>
      </c>
      <c r="D55" s="299" t="n">
        <v>52</v>
      </c>
    </row>
    <row r="56">
      <c r="A56" s="160" t="n"/>
      <c r="B56" s="159" t="inlineStr">
        <is>
          <t>r</t>
        </is>
      </c>
      <c r="C56" s="299">
        <f>CODE(B56)</f>
        <v/>
      </c>
      <c r="D56" s="299" t="n">
        <v>53</v>
      </c>
    </row>
    <row r="57">
      <c r="A57" s="160" t="n"/>
      <c r="B57" s="159" t="inlineStr">
        <is>
          <t>s</t>
        </is>
      </c>
      <c r="C57" s="299">
        <f>CODE(B57)</f>
        <v/>
      </c>
      <c r="D57" s="299" t="n">
        <v>54</v>
      </c>
    </row>
    <row r="58">
      <c r="A58" s="160" t="n"/>
      <c r="B58" s="159" t="inlineStr">
        <is>
          <t>t</t>
        </is>
      </c>
      <c r="C58" s="299">
        <f>CODE(B58)</f>
        <v/>
      </c>
      <c r="D58" s="299" t="n">
        <v>55</v>
      </c>
    </row>
    <row r="59">
      <c r="A59" s="160" t="n"/>
      <c r="B59" s="159" t="inlineStr">
        <is>
          <t>u</t>
        </is>
      </c>
      <c r="C59" s="299">
        <f>CODE(B59)</f>
        <v/>
      </c>
      <c r="D59" s="299" t="n">
        <v>56</v>
      </c>
    </row>
    <row r="60">
      <c r="A60" s="160" t="n"/>
      <c r="B60" s="159" t="inlineStr">
        <is>
          <t>v</t>
        </is>
      </c>
      <c r="C60" s="299">
        <f>CODE(B60)</f>
        <v/>
      </c>
      <c r="D60" s="299" t="n">
        <v>57</v>
      </c>
    </row>
    <row r="61">
      <c r="A61" s="160" t="n"/>
      <c r="B61" s="159" t="inlineStr">
        <is>
          <t>w</t>
        </is>
      </c>
      <c r="C61" s="299">
        <f>CODE(B61)</f>
        <v/>
      </c>
      <c r="D61" s="299" t="n">
        <v>58</v>
      </c>
    </row>
    <row r="62">
      <c r="A62" s="160" t="n"/>
      <c r="B62" s="159" t="inlineStr">
        <is>
          <t>x</t>
        </is>
      </c>
      <c r="C62" s="299">
        <f>CODE(B62)</f>
        <v/>
      </c>
      <c r="D62" s="299" t="n">
        <v>59</v>
      </c>
    </row>
    <row r="63">
      <c r="A63" s="160" t="n"/>
      <c r="B63" s="159" t="inlineStr">
        <is>
          <t>y</t>
        </is>
      </c>
      <c r="C63" s="299">
        <f>CODE(B63)</f>
        <v/>
      </c>
      <c r="D63" s="299" t="n">
        <v>60</v>
      </c>
    </row>
    <row r="64">
      <c r="A64" s="160" t="n"/>
      <c r="B64" s="159" t="inlineStr">
        <is>
          <t>z</t>
        </is>
      </c>
      <c r="C64" s="299">
        <f>CODE(B64)</f>
        <v/>
      </c>
      <c r="D64" s="299" t="n">
        <v>61</v>
      </c>
    </row>
  </sheetData>
  <sheetProtection selectLockedCells="0" selectUnlockedCells="0" algorithmName="SHA-512" sheet="1" objects="1" insertRows="1" insertHyperlinks="1" autoFilter="1" scenarios="1" formatColumns="1" deleteColumns="1" insertColumns="1" pivotTables="1" deleteRows="1" formatCells="1" saltValue="Vdm5Y+1QojjwqOeygP6twA==" formatRows="1" sort="1" spinCount="100000" hashValue="lVahy8fZ8abSWY2ZdQq+oGkDHoGUtxsaK8UZhwTgXX4nnAuxY0h1k9etToBcvWjjnfz9D1pvLORUbGmqRLHKdg=="/>
  <pageMargins left="0.7" right="0.7" top="0.75" bottom="0.75" header="0.3" footer="0.3"/>
</worksheet>
</file>

<file path=xl/worksheets/sheet5.xml><?xml version="1.0" encoding="utf-8"?>
<worksheet xmlns="http://schemas.openxmlformats.org/spreadsheetml/2006/main">
  <sheetPr codeName="Sheet1">
    <tabColor theme="5" tint="0.5999938962981048"/>
    <outlinePr summaryBelow="1" summaryRight="1"/>
    <pageSetUpPr/>
  </sheetPr>
  <dimension ref="A1:CG103"/>
  <sheetViews>
    <sheetView zoomScaleNormal="100" workbookViewId="0">
      <pane xSplit="3" ySplit="7" topLeftCell="D8" activePane="bottomRight" state="frozen"/>
      <selection activeCell="O32" sqref="O32"/>
      <selection pane="topRight" activeCell="O32" sqref="O32"/>
      <selection pane="bottomLeft" activeCell="O32" sqref="O32"/>
      <selection pane="bottomRight" activeCell="D8" sqref="D8"/>
    </sheetView>
  </sheetViews>
  <sheetFormatPr baseColWidth="8" defaultRowHeight="13.2"/>
  <cols>
    <col width="3.21875" customWidth="1" min="1" max="1"/>
    <col width="26.21875" customWidth="1" min="2" max="2"/>
    <col width="6.21875" customWidth="1" min="3" max="3"/>
    <col width="6.44140625" customWidth="1" min="4" max="13"/>
    <col width="6.44140625" customWidth="1" min="16" max="51"/>
    <col width="10.21875" customWidth="1" min="52" max="60"/>
    <col width="7.88671875" customWidth="1" min="61" max="75"/>
    <col width="6.44140625" customWidth="1" min="76" max="80"/>
  </cols>
  <sheetData>
    <row r="1" ht="14.4" customHeight="1">
      <c r="A1" s="167" t="inlineStr">
        <is>
          <t>■個別消費税が「個別（入力）」の会社で利用可能な税金グループ/税金コードの組合せ</t>
        </is>
      </c>
    </row>
    <row r="3" ht="13.8" customHeight="1" thickBot="1">
      <c r="A3" s="160" t="n"/>
      <c r="B3" s="160" t="n"/>
      <c r="C3" s="160" t="n"/>
      <c r="D3" s="160" t="inlineStr">
        <is>
          <t>●が利用可能な税金コード</t>
        </is>
      </c>
      <c r="E3" s="160" t="n"/>
      <c r="F3" s="160" t="n"/>
      <c r="G3" s="160" t="n"/>
      <c r="H3" s="160" t="n"/>
      <c r="I3" s="160" t="n"/>
      <c r="J3" s="160" t="n"/>
      <c r="K3" s="160" t="n"/>
      <c r="L3" s="160" t="n"/>
      <c r="M3" s="160" t="n"/>
      <c r="N3" s="160" t="n"/>
      <c r="O3" s="160" t="n"/>
      <c r="P3" s="160" t="n"/>
      <c r="Q3" s="160" t="n"/>
      <c r="R3" s="160" t="n"/>
      <c r="S3" s="160" t="n"/>
      <c r="T3" s="160" t="n"/>
      <c r="U3" s="160" t="n"/>
      <c r="V3" s="160" t="n"/>
      <c r="W3" s="160" t="n"/>
      <c r="X3" s="160" t="n"/>
      <c r="Y3" s="160" t="n"/>
      <c r="Z3" s="160" t="n"/>
      <c r="AA3" s="160" t="n"/>
      <c r="AB3" s="160" t="n"/>
      <c r="AC3" s="160" t="n"/>
      <c r="AD3" s="160" t="n"/>
      <c r="AE3" s="160" t="n"/>
      <c r="AF3" s="160" t="n"/>
      <c r="AG3" s="160" t="n"/>
      <c r="AH3" s="160" t="n"/>
      <c r="AI3" s="160" t="n"/>
      <c r="AJ3" s="160" t="n"/>
      <c r="AK3" s="160" t="n"/>
      <c r="AL3" s="160" t="n"/>
      <c r="AM3" s="160" t="n"/>
      <c r="AN3" s="160" t="n"/>
      <c r="AO3" s="160" t="n"/>
      <c r="AP3" s="160" t="n"/>
      <c r="AQ3" s="160" t="n"/>
      <c r="AR3" s="160" t="n"/>
      <c r="AS3" s="160" t="n"/>
      <c r="AT3" s="160" t="n"/>
      <c r="AU3" s="160" t="n"/>
      <c r="AV3" s="160" t="n"/>
      <c r="AW3" s="160" t="n"/>
      <c r="AX3" s="160" t="n"/>
      <c r="AY3" s="160" t="n"/>
      <c r="AZ3" s="160" t="n"/>
      <c r="BA3" s="160" t="n"/>
      <c r="BB3" s="160" t="n"/>
      <c r="BC3" s="160" t="n"/>
      <c r="BD3" s="160" t="n"/>
      <c r="BE3" s="160" t="n"/>
      <c r="BF3" s="160" t="n"/>
      <c r="BG3" s="160" t="n"/>
      <c r="BH3" s="160" t="n"/>
      <c r="BI3" s="160" t="n"/>
      <c r="BJ3" s="160" t="n"/>
      <c r="BK3" s="160" t="n"/>
      <c r="BL3" s="160" t="n"/>
      <c r="BM3" s="160" t="n"/>
      <c r="BN3" s="160" t="n"/>
      <c r="BO3" s="160" t="n"/>
      <c r="BP3" s="160" t="n"/>
      <c r="BQ3" s="160" t="n"/>
      <c r="BR3" s="160" t="n"/>
      <c r="BS3" s="160" t="n"/>
      <c r="BT3" s="160" t="n"/>
      <c r="BU3" s="160" t="n"/>
      <c r="BV3" s="160" t="n"/>
      <c r="BW3" s="160" t="n"/>
      <c r="BX3" s="160" t="n"/>
      <c r="BY3" s="160" t="n"/>
      <c r="BZ3" s="160" t="n"/>
      <c r="CA3" s="160" t="n"/>
      <c r="CB3" s="160" t="n"/>
      <c r="CC3" s="160" t="n"/>
      <c r="CD3" s="160" t="n"/>
      <c r="CE3" s="160" t="n"/>
      <c r="CF3" s="160" t="n"/>
      <c r="CG3" s="160" t="n"/>
    </row>
    <row r="4" ht="43.5" customHeight="1">
      <c r="A4" s="168" t="n"/>
      <c r="B4" s="329" t="inlineStr">
        <is>
          <t>税金コード名称</t>
        </is>
      </c>
      <c r="C4" s="330" t="n"/>
      <c r="D4" s="331" t="inlineStr">
        <is>
          <t>売上x％（課税）
（税込）</t>
        </is>
      </c>
      <c r="E4" s="332" t="n"/>
      <c r="F4" s="332" t="n"/>
      <c r="G4" s="332" t="n"/>
      <c r="H4" s="333" t="n"/>
      <c r="I4" s="334" t="inlineStr">
        <is>
          <t>売上x％（課税）
（税別記）</t>
        </is>
      </c>
      <c r="J4" s="332" t="n"/>
      <c r="K4" s="332" t="n"/>
      <c r="L4" s="332" t="n"/>
      <c r="M4" s="333" t="n"/>
      <c r="N4" s="169" t="inlineStr">
        <is>
          <t>売上
（非課税）</t>
        </is>
      </c>
      <c r="O4" s="170" t="inlineStr">
        <is>
          <t>売上
（免税）</t>
        </is>
      </c>
      <c r="P4" s="335" t="inlineStr">
        <is>
          <t>仕入x％（税込）
（課税）</t>
        </is>
      </c>
      <c r="Q4" s="332" t="n"/>
      <c r="R4" s="332" t="n"/>
      <c r="S4" s="332" t="n"/>
      <c r="T4" s="333" t="n"/>
      <c r="U4" s="336" t="inlineStr">
        <is>
          <t>仕入x％（税込）
（非課税）</t>
        </is>
      </c>
      <c r="V4" s="332" t="n"/>
      <c r="W4" s="332" t="n"/>
      <c r="X4" s="332" t="n"/>
      <c r="Y4" s="333" t="n"/>
      <c r="Z4" s="336" t="inlineStr">
        <is>
          <t>仕入x％（税込）
（共通）</t>
        </is>
      </c>
      <c r="AA4" s="332" t="n"/>
      <c r="AB4" s="332" t="n"/>
      <c r="AC4" s="332" t="n"/>
      <c r="AD4" s="333" t="n"/>
      <c r="AE4" s="336" t="inlineStr">
        <is>
          <t>仕入x％（税別記）
（課税）</t>
        </is>
      </c>
      <c r="AF4" s="332" t="n"/>
      <c r="AG4" s="332" t="n"/>
      <c r="AH4" s="332" t="n"/>
      <c r="AI4" s="333" t="n"/>
      <c r="AJ4" s="336" t="inlineStr">
        <is>
          <t>仕入x％（税別記）
（非課税）</t>
        </is>
      </c>
      <c r="AK4" s="332" t="n"/>
      <c r="AL4" s="332" t="n"/>
      <c r="AM4" s="332" t="n"/>
      <c r="AN4" s="333" t="n"/>
      <c r="AO4" s="336" t="inlineStr">
        <is>
          <t>仕入x％（税別記）
（共通）</t>
        </is>
      </c>
      <c r="AP4" s="332" t="n"/>
      <c r="AQ4" s="332" t="n"/>
      <c r="AR4" s="332" t="n"/>
      <c r="AS4" s="333" t="n"/>
      <c r="AT4" s="336" t="inlineStr">
        <is>
          <t>仕入（輸入）x％
（課税）</t>
        </is>
      </c>
      <c r="AU4" s="333" t="n"/>
      <c r="AV4" s="336" t="inlineStr">
        <is>
          <t>仕入（輸入）x％
（非課税）</t>
        </is>
      </c>
      <c r="AW4" s="333" t="n"/>
      <c r="AX4" s="336" t="inlineStr">
        <is>
          <t>仕入（輸入）x％
（共通）</t>
        </is>
      </c>
      <c r="AY4" s="333" t="n"/>
      <c r="AZ4" s="336" t="inlineStr">
        <is>
          <t>仕入（輸入貨物割地方）
（課税）</t>
        </is>
      </c>
      <c r="BA4" s="333" t="n"/>
      <c r="BB4" s="336" t="inlineStr">
        <is>
          <t>仕入（輸入貨物割地方）
（非課税）</t>
        </is>
      </c>
      <c r="BC4" s="333" t="n"/>
      <c r="BD4" s="335" t="inlineStr">
        <is>
          <t>仕入（輸入貨物割地方）
（共通）</t>
        </is>
      </c>
      <c r="BE4" s="333" t="n"/>
      <c r="BF4" s="336" t="inlineStr">
        <is>
          <t>仕入（居住用賃貸建物）
x％（税込）
（非課税）</t>
        </is>
      </c>
      <c r="BG4" s="332" t="n"/>
      <c r="BH4" s="333" t="n"/>
      <c r="BI4" s="336" t="inlineStr">
        <is>
          <t>仕入（居住用賃貸建物）
x％（税別記）
（非課税）</t>
        </is>
      </c>
      <c r="BJ4" s="332" t="n"/>
      <c r="BK4" s="333" t="n"/>
      <c r="BL4" s="336" t="inlineStr">
        <is>
          <t>仕入（免税事業者）
x％（税込）
（課税）</t>
        </is>
      </c>
      <c r="BM4" s="333" t="n"/>
      <c r="BN4" s="336" t="inlineStr">
        <is>
          <t>仕入（免税事業者）x％（税込）
（非課税）</t>
        </is>
      </c>
      <c r="BO4" s="333" t="n"/>
      <c r="BP4" s="336" t="inlineStr">
        <is>
          <t>仕入（免税事業者）x％（税込）
（共通）</t>
        </is>
      </c>
      <c r="BQ4" s="333" t="n"/>
      <c r="BR4" s="336" t="inlineStr">
        <is>
          <t>仕入（免税事業者）
x％（税別記）
（課税）</t>
        </is>
      </c>
      <c r="BS4" s="333" t="n"/>
      <c r="BT4" s="336" t="inlineStr">
        <is>
          <t>仕入（免税事業者）
x％（税別記）
（非課税）</t>
        </is>
      </c>
      <c r="BU4" s="333" t="n"/>
      <c r="BV4" s="300" t="inlineStr">
        <is>
          <t>仕入（免税事業者）
x％（税別記）
（共通）</t>
        </is>
      </c>
      <c r="BW4" s="332" t="n"/>
      <c r="BX4" s="337" t="inlineStr">
        <is>
          <t>貸倒損失x％
（課税）</t>
        </is>
      </c>
      <c r="BY4" s="332" t="n"/>
      <c r="BZ4" s="332" t="n"/>
      <c r="CA4" s="332" t="n"/>
      <c r="CB4" s="330" t="n"/>
      <c r="CC4" s="338" t="inlineStr">
        <is>
          <t>課税対象外</t>
        </is>
      </c>
      <c r="CD4" s="332" t="n"/>
      <c r="CE4" s="332" t="n"/>
      <c r="CF4" s="330" t="n"/>
      <c r="CG4" s="168" t="n"/>
    </row>
    <row r="5">
      <c r="A5" s="160" t="n"/>
      <c r="B5" s="339" t="inlineStr">
        <is>
          <t>旧税金コード</t>
        </is>
      </c>
      <c r="C5" s="340" t="n"/>
      <c r="D5" s="171" t="inlineStr">
        <is>
          <t>A030</t>
        </is>
      </c>
      <c r="E5" s="172" t="inlineStr">
        <is>
          <t>A050</t>
        </is>
      </c>
      <c r="F5" s="172" t="inlineStr">
        <is>
          <t>A080</t>
        </is>
      </c>
      <c r="G5" s="172" t="inlineStr">
        <is>
          <t>A0A0</t>
        </is>
      </c>
      <c r="H5" s="172" t="inlineStr">
        <is>
          <t>A0K0</t>
        </is>
      </c>
      <c r="I5" s="172" t="inlineStr">
        <is>
          <t>A130</t>
        </is>
      </c>
      <c r="J5" s="172" t="inlineStr">
        <is>
          <t>A150</t>
        </is>
      </c>
      <c r="K5" s="172" t="inlineStr">
        <is>
          <t>A180</t>
        </is>
      </c>
      <c r="L5" s="172" t="inlineStr">
        <is>
          <t>A1A0</t>
        </is>
      </c>
      <c r="M5" s="172" t="inlineStr">
        <is>
          <t>A1K0</t>
        </is>
      </c>
      <c r="N5" s="172" t="inlineStr">
        <is>
          <t>A2A0</t>
        </is>
      </c>
      <c r="O5" s="173" t="inlineStr">
        <is>
          <t>A4A0</t>
        </is>
      </c>
      <c r="P5" s="174" t="inlineStr">
        <is>
          <t>B031</t>
        </is>
      </c>
      <c r="Q5" s="175" t="inlineStr">
        <is>
          <t>B051</t>
        </is>
      </c>
      <c r="R5" s="175" t="inlineStr">
        <is>
          <t>B081</t>
        </is>
      </c>
      <c r="S5" s="174" t="inlineStr">
        <is>
          <t>B0A1</t>
        </is>
      </c>
      <c r="T5" s="175" t="inlineStr">
        <is>
          <t>B0K1</t>
        </is>
      </c>
      <c r="U5" s="175" t="inlineStr">
        <is>
          <t>B032</t>
        </is>
      </c>
      <c r="V5" s="175" t="inlineStr">
        <is>
          <t>B052</t>
        </is>
      </c>
      <c r="W5" s="175" t="inlineStr">
        <is>
          <t>B082</t>
        </is>
      </c>
      <c r="X5" s="175" t="inlineStr">
        <is>
          <t>B0A2</t>
        </is>
      </c>
      <c r="Y5" s="175" t="inlineStr">
        <is>
          <t>B0K2</t>
        </is>
      </c>
      <c r="Z5" s="175" t="inlineStr">
        <is>
          <t>B033</t>
        </is>
      </c>
      <c r="AA5" s="175" t="inlineStr">
        <is>
          <t>B053</t>
        </is>
      </c>
      <c r="AB5" s="175" t="inlineStr">
        <is>
          <t>B083</t>
        </is>
      </c>
      <c r="AC5" s="174" t="inlineStr">
        <is>
          <t>B0A3</t>
        </is>
      </c>
      <c r="AD5" s="175" t="inlineStr">
        <is>
          <t>B0K3</t>
        </is>
      </c>
      <c r="AE5" s="175" t="inlineStr">
        <is>
          <t>B131</t>
        </is>
      </c>
      <c r="AF5" s="175" t="inlineStr">
        <is>
          <t>B151</t>
        </is>
      </c>
      <c r="AG5" s="175" t="inlineStr">
        <is>
          <t>B181</t>
        </is>
      </c>
      <c r="AH5" s="174" t="inlineStr">
        <is>
          <t>B1A1</t>
        </is>
      </c>
      <c r="AI5" s="175" t="inlineStr">
        <is>
          <t>B1K1</t>
        </is>
      </c>
      <c r="AJ5" s="175" t="inlineStr">
        <is>
          <t>B132</t>
        </is>
      </c>
      <c r="AK5" s="175" t="inlineStr">
        <is>
          <t>B152</t>
        </is>
      </c>
      <c r="AL5" s="175" t="inlineStr">
        <is>
          <t>B182</t>
        </is>
      </c>
      <c r="AM5" s="175" t="inlineStr">
        <is>
          <t>B1A2</t>
        </is>
      </c>
      <c r="AN5" s="175" t="inlineStr">
        <is>
          <t>B1K2</t>
        </is>
      </c>
      <c r="AO5" s="175" t="inlineStr">
        <is>
          <t>B133</t>
        </is>
      </c>
      <c r="AP5" s="175" t="inlineStr">
        <is>
          <t>B153</t>
        </is>
      </c>
      <c r="AQ5" s="175" t="inlineStr">
        <is>
          <t>B183</t>
        </is>
      </c>
      <c r="AR5" s="174" t="inlineStr">
        <is>
          <t>B1A3</t>
        </is>
      </c>
      <c r="AS5" s="175" t="inlineStr">
        <is>
          <t>B1K3</t>
        </is>
      </c>
      <c r="AT5" s="175" t="inlineStr">
        <is>
          <t>B4A1</t>
        </is>
      </c>
      <c r="AU5" s="176" t="inlineStr">
        <is>
          <t>B4K1</t>
        </is>
      </c>
      <c r="AV5" s="175" t="inlineStr">
        <is>
          <t>B4A2</t>
        </is>
      </c>
      <c r="AW5" s="175" t="inlineStr">
        <is>
          <t>B4K2</t>
        </is>
      </c>
      <c r="AX5" s="174" t="inlineStr">
        <is>
          <t>B4A3</t>
        </is>
      </c>
      <c r="AY5" s="175" t="inlineStr">
        <is>
          <t>B4K3</t>
        </is>
      </c>
      <c r="AZ5" s="175" t="inlineStr">
        <is>
          <t>B6A1</t>
        </is>
      </c>
      <c r="BA5" s="175" t="inlineStr">
        <is>
          <t>B6K1</t>
        </is>
      </c>
      <c r="BB5" s="175" t="inlineStr">
        <is>
          <t>B6A2</t>
        </is>
      </c>
      <c r="BC5" s="175" t="inlineStr">
        <is>
          <t>B6K2</t>
        </is>
      </c>
      <c r="BD5" s="175" t="inlineStr">
        <is>
          <t>B6A3</t>
        </is>
      </c>
      <c r="BE5" s="175" t="inlineStr">
        <is>
          <t>B6K3</t>
        </is>
      </c>
      <c r="BF5" s="175" t="inlineStr">
        <is>
          <t>BA82</t>
        </is>
      </c>
      <c r="BG5" s="175" t="inlineStr">
        <is>
          <t>BAA2</t>
        </is>
      </c>
      <c r="BH5" s="175" t="inlineStr">
        <is>
          <t>BAK2</t>
        </is>
      </c>
      <c r="BI5" s="175" t="inlineStr">
        <is>
          <t>BB82</t>
        </is>
      </c>
      <c r="BJ5" s="175" t="inlineStr">
        <is>
          <t>BBA2</t>
        </is>
      </c>
      <c r="BK5" s="175" t="inlineStr">
        <is>
          <t>BBK2</t>
        </is>
      </c>
      <c r="BL5" s="174" t="inlineStr">
        <is>
          <t>BCA1</t>
        </is>
      </c>
      <c r="BM5" s="175" t="inlineStr">
        <is>
          <t>BCK1</t>
        </is>
      </c>
      <c r="BN5" s="175" t="inlineStr">
        <is>
          <t>BCA2</t>
        </is>
      </c>
      <c r="BO5" s="175" t="inlineStr">
        <is>
          <t>BCK2</t>
        </is>
      </c>
      <c r="BP5" s="175" t="inlineStr">
        <is>
          <t>BCA3</t>
        </is>
      </c>
      <c r="BQ5" s="175" t="inlineStr">
        <is>
          <t>BCK3</t>
        </is>
      </c>
      <c r="BR5" s="175" t="inlineStr">
        <is>
          <t>BDA1</t>
        </is>
      </c>
      <c r="BS5" s="175" t="inlineStr">
        <is>
          <t>BDK1</t>
        </is>
      </c>
      <c r="BT5" s="175" t="inlineStr">
        <is>
          <t>BDA2</t>
        </is>
      </c>
      <c r="BU5" s="175" t="inlineStr">
        <is>
          <t>BDK2</t>
        </is>
      </c>
      <c r="BV5" s="175" t="inlineStr">
        <is>
          <t>BDA3</t>
        </is>
      </c>
      <c r="BW5" s="176" t="inlineStr">
        <is>
          <t>BDK3</t>
        </is>
      </c>
      <c r="BX5" s="177" t="inlineStr">
        <is>
          <t>D030</t>
        </is>
      </c>
      <c r="BY5" s="178" t="inlineStr">
        <is>
          <t>D050</t>
        </is>
      </c>
      <c r="BZ5" s="178" t="inlineStr">
        <is>
          <t>D080</t>
        </is>
      </c>
      <c r="CA5" s="178" t="inlineStr">
        <is>
          <t>D0A0</t>
        </is>
      </c>
      <c r="CB5" s="179" t="inlineStr">
        <is>
          <t>D0K0</t>
        </is>
      </c>
      <c r="CC5" s="180" t="inlineStr">
        <is>
          <t>A300</t>
        </is>
      </c>
      <c r="CD5" s="181" t="inlineStr">
        <is>
          <t>B300</t>
        </is>
      </c>
      <c r="CE5" s="181" t="inlineStr">
        <is>
          <t>C300</t>
        </is>
      </c>
      <c r="CF5" s="182" t="inlineStr">
        <is>
          <t>D300</t>
        </is>
      </c>
      <c r="CG5" s="160" t="n"/>
    </row>
    <row r="6">
      <c r="A6" s="160" t="n"/>
      <c r="B6" s="339" t="inlineStr">
        <is>
          <t>新税金コード</t>
        </is>
      </c>
      <c r="C6" s="340" t="n"/>
      <c r="D6" s="171" t="inlineStr">
        <is>
          <t>A3</t>
        </is>
      </c>
      <c r="E6" s="172" t="inlineStr">
        <is>
          <t>A5</t>
        </is>
      </c>
      <c r="F6" s="172" t="inlineStr">
        <is>
          <t>A8</t>
        </is>
      </c>
      <c r="G6" s="172" t="inlineStr">
        <is>
          <t>AA</t>
        </is>
      </c>
      <c r="H6" s="172" t="inlineStr">
        <is>
          <t>AK</t>
        </is>
      </c>
      <c r="I6" s="172" t="inlineStr">
        <is>
          <t>B3</t>
        </is>
      </c>
      <c r="J6" s="172" t="inlineStr">
        <is>
          <t>B5</t>
        </is>
      </c>
      <c r="K6" s="172" t="inlineStr">
        <is>
          <t>B8</t>
        </is>
      </c>
      <c r="L6" s="172" t="inlineStr">
        <is>
          <t>BA</t>
        </is>
      </c>
      <c r="M6" s="172" t="inlineStr">
        <is>
          <t>BK</t>
        </is>
      </c>
      <c r="N6" s="172" t="inlineStr">
        <is>
          <t>D0</t>
        </is>
      </c>
      <c r="O6" s="173" t="inlineStr">
        <is>
          <t>C0</t>
        </is>
      </c>
      <c r="P6" s="174" t="inlineStr">
        <is>
          <t>G3</t>
        </is>
      </c>
      <c r="Q6" s="175" t="inlineStr">
        <is>
          <t>G5</t>
        </is>
      </c>
      <c r="R6" s="175" t="inlineStr">
        <is>
          <t>G8</t>
        </is>
      </c>
      <c r="S6" s="174" t="inlineStr">
        <is>
          <t>GA</t>
        </is>
      </c>
      <c r="T6" s="175" t="inlineStr">
        <is>
          <t>GK</t>
        </is>
      </c>
      <c r="U6" s="175" t="inlineStr">
        <is>
          <t>H3</t>
        </is>
      </c>
      <c r="V6" s="175" t="inlineStr">
        <is>
          <t>H5</t>
        </is>
      </c>
      <c r="W6" s="175" t="inlineStr">
        <is>
          <t>H8</t>
        </is>
      </c>
      <c r="X6" s="175" t="inlineStr">
        <is>
          <t>HA</t>
        </is>
      </c>
      <c r="Y6" s="175" t="inlineStr">
        <is>
          <t>HK</t>
        </is>
      </c>
      <c r="Z6" s="175" t="inlineStr">
        <is>
          <t>J3</t>
        </is>
      </c>
      <c r="AA6" s="175" t="inlineStr">
        <is>
          <t>J5</t>
        </is>
      </c>
      <c r="AB6" s="175" t="inlineStr">
        <is>
          <t>J8</t>
        </is>
      </c>
      <c r="AC6" s="174" t="inlineStr">
        <is>
          <t>JA</t>
        </is>
      </c>
      <c r="AD6" s="175" t="inlineStr">
        <is>
          <t>JK</t>
        </is>
      </c>
      <c r="AE6" s="175" t="inlineStr">
        <is>
          <t>L3</t>
        </is>
      </c>
      <c r="AF6" s="175" t="inlineStr">
        <is>
          <t>L5</t>
        </is>
      </c>
      <c r="AG6" s="175" t="inlineStr">
        <is>
          <t>L8</t>
        </is>
      </c>
      <c r="AH6" s="174" t="inlineStr">
        <is>
          <t>LA</t>
        </is>
      </c>
      <c r="AI6" s="175" t="inlineStr">
        <is>
          <t>LK</t>
        </is>
      </c>
      <c r="AJ6" s="175" t="inlineStr">
        <is>
          <t>M3</t>
        </is>
      </c>
      <c r="AK6" s="175" t="inlineStr">
        <is>
          <t>M5</t>
        </is>
      </c>
      <c r="AL6" s="175" t="inlineStr">
        <is>
          <t>M8</t>
        </is>
      </c>
      <c r="AM6" s="175" t="inlineStr">
        <is>
          <t>MA</t>
        </is>
      </c>
      <c r="AN6" s="175" t="inlineStr">
        <is>
          <t>MK</t>
        </is>
      </c>
      <c r="AO6" s="175" t="inlineStr">
        <is>
          <t>N3</t>
        </is>
      </c>
      <c r="AP6" s="175" t="inlineStr">
        <is>
          <t>N5</t>
        </is>
      </c>
      <c r="AQ6" s="175" t="inlineStr">
        <is>
          <t>N8</t>
        </is>
      </c>
      <c r="AR6" s="174" t="inlineStr">
        <is>
          <t>NA</t>
        </is>
      </c>
      <c r="AS6" s="175" t="inlineStr">
        <is>
          <t>NK</t>
        </is>
      </c>
      <c r="AT6" s="175" t="inlineStr">
        <is>
          <t>QA</t>
        </is>
      </c>
      <c r="AU6" s="176" t="inlineStr">
        <is>
          <t>QK</t>
        </is>
      </c>
      <c r="AV6" s="175" t="inlineStr">
        <is>
          <t>RA</t>
        </is>
      </c>
      <c r="AW6" s="175" t="inlineStr">
        <is>
          <t>RK</t>
        </is>
      </c>
      <c r="AX6" s="174" t="inlineStr">
        <is>
          <t>SA</t>
        </is>
      </c>
      <c r="AY6" s="175" t="inlineStr">
        <is>
          <t>SK</t>
        </is>
      </c>
      <c r="AZ6" s="175" t="inlineStr">
        <is>
          <t>UA</t>
        </is>
      </c>
      <c r="BA6" s="175" t="inlineStr">
        <is>
          <t>UK</t>
        </is>
      </c>
      <c r="BB6" s="175" t="inlineStr">
        <is>
          <t>VA</t>
        </is>
      </c>
      <c r="BC6" s="175" t="inlineStr">
        <is>
          <t>VK</t>
        </is>
      </c>
      <c r="BD6" s="175" t="inlineStr">
        <is>
          <t>WA</t>
        </is>
      </c>
      <c r="BE6" s="175" t="inlineStr">
        <is>
          <t>WK</t>
        </is>
      </c>
      <c r="BF6" s="175" t="inlineStr">
        <is>
          <t>18</t>
        </is>
      </c>
      <c r="BG6" s="175" t="inlineStr">
        <is>
          <t>1A</t>
        </is>
      </c>
      <c r="BH6" s="175" t="inlineStr">
        <is>
          <t>1K</t>
        </is>
      </c>
      <c r="BI6" s="175" t="inlineStr">
        <is>
          <t>28</t>
        </is>
      </c>
      <c r="BJ6" s="175" t="inlineStr">
        <is>
          <t>2A</t>
        </is>
      </c>
      <c r="BK6" s="175" t="inlineStr">
        <is>
          <t>2K</t>
        </is>
      </c>
      <c r="BL6" s="174" t="inlineStr">
        <is>
          <t>4A</t>
        </is>
      </c>
      <c r="BM6" s="175" t="inlineStr">
        <is>
          <t>4K</t>
        </is>
      </c>
      <c r="BN6" s="175" t="inlineStr">
        <is>
          <t>5A</t>
        </is>
      </c>
      <c r="BO6" s="175" t="inlineStr">
        <is>
          <t>5K</t>
        </is>
      </c>
      <c r="BP6" s="175" t="inlineStr">
        <is>
          <t>6A</t>
        </is>
      </c>
      <c r="BQ6" s="175" t="inlineStr">
        <is>
          <t>6K</t>
        </is>
      </c>
      <c r="BR6" s="175" t="inlineStr">
        <is>
          <t>8A</t>
        </is>
      </c>
      <c r="BS6" s="175" t="inlineStr">
        <is>
          <t>8K</t>
        </is>
      </c>
      <c r="BT6" s="175" t="inlineStr">
        <is>
          <t>9A</t>
        </is>
      </c>
      <c r="BU6" s="175" t="inlineStr">
        <is>
          <t>9K</t>
        </is>
      </c>
      <c r="BV6" s="175" t="inlineStr">
        <is>
          <t>0A</t>
        </is>
      </c>
      <c r="BW6" s="176" t="inlineStr">
        <is>
          <t>0K</t>
        </is>
      </c>
      <c r="BX6" s="177" t="inlineStr">
        <is>
          <t>E3</t>
        </is>
      </c>
      <c r="BY6" s="178" t="inlineStr">
        <is>
          <t>E5</t>
        </is>
      </c>
      <c r="BZ6" s="178" t="inlineStr">
        <is>
          <t>E8</t>
        </is>
      </c>
      <c r="CA6" s="178" t="inlineStr">
        <is>
          <t>EA</t>
        </is>
      </c>
      <c r="CB6" s="179" t="inlineStr">
        <is>
          <t>EK</t>
        </is>
      </c>
      <c r="CC6" s="180" t="inlineStr">
        <is>
          <t>A0</t>
        </is>
      </c>
      <c r="CD6" s="181" t="inlineStr">
        <is>
          <t>F0</t>
        </is>
      </c>
      <c r="CE6" s="181" t="inlineStr">
        <is>
          <t>Z0</t>
        </is>
      </c>
      <c r="CF6" s="182" t="inlineStr">
        <is>
          <t>E0</t>
        </is>
      </c>
      <c r="CG6" s="160" t="n"/>
    </row>
    <row r="7" ht="13.8" customHeight="1" thickBot="1">
      <c r="A7" s="160" t="n"/>
      <c r="B7" s="341" t="inlineStr">
        <is>
          <t>税率</t>
        </is>
      </c>
      <c r="C7" s="342" t="n"/>
      <c r="D7" s="183" t="inlineStr">
        <is>
          <t>3%</t>
        </is>
      </c>
      <c r="E7" s="184" t="inlineStr">
        <is>
          <t>5%</t>
        </is>
      </c>
      <c r="F7" s="184" t="inlineStr">
        <is>
          <t>8%</t>
        </is>
      </c>
      <c r="G7" s="184" t="inlineStr">
        <is>
          <t>10%</t>
        </is>
      </c>
      <c r="H7" s="184" t="inlineStr">
        <is>
          <t>軽減</t>
        </is>
      </c>
      <c r="I7" s="184" t="inlineStr">
        <is>
          <t>3%</t>
        </is>
      </c>
      <c r="J7" s="184" t="inlineStr">
        <is>
          <t>5%</t>
        </is>
      </c>
      <c r="K7" s="184" t="inlineStr">
        <is>
          <t>8%</t>
        </is>
      </c>
      <c r="L7" s="184" t="inlineStr">
        <is>
          <t>10%</t>
        </is>
      </c>
      <c r="M7" s="184" t="inlineStr">
        <is>
          <t>軽減</t>
        </is>
      </c>
      <c r="N7" s="184" t="inlineStr">
        <is>
          <t>非課税</t>
        </is>
      </c>
      <c r="O7" s="185" t="inlineStr">
        <is>
          <t>免税</t>
        </is>
      </c>
      <c r="P7" s="186" t="inlineStr">
        <is>
          <t>3%</t>
        </is>
      </c>
      <c r="Q7" s="187" t="inlineStr">
        <is>
          <t>5%</t>
        </is>
      </c>
      <c r="R7" s="187" t="inlineStr">
        <is>
          <t>8%</t>
        </is>
      </c>
      <c r="S7" s="187" t="inlineStr">
        <is>
          <t>10%</t>
        </is>
      </c>
      <c r="T7" s="187" t="inlineStr">
        <is>
          <t>軽減</t>
        </is>
      </c>
      <c r="U7" s="187" t="inlineStr">
        <is>
          <t>3%</t>
        </is>
      </c>
      <c r="V7" s="187" t="inlineStr">
        <is>
          <t>5%</t>
        </is>
      </c>
      <c r="W7" s="187" t="inlineStr">
        <is>
          <t>8%</t>
        </is>
      </c>
      <c r="X7" s="187" t="inlineStr">
        <is>
          <t>10%</t>
        </is>
      </c>
      <c r="Y7" s="187" t="inlineStr">
        <is>
          <t>軽減</t>
        </is>
      </c>
      <c r="Z7" s="187" t="inlineStr">
        <is>
          <t>3%</t>
        </is>
      </c>
      <c r="AA7" s="187" t="inlineStr">
        <is>
          <t>5%</t>
        </is>
      </c>
      <c r="AB7" s="187" t="inlineStr">
        <is>
          <t>8%</t>
        </is>
      </c>
      <c r="AC7" s="187" t="inlineStr">
        <is>
          <t>10%</t>
        </is>
      </c>
      <c r="AD7" s="187" t="inlineStr">
        <is>
          <t>軽減</t>
        </is>
      </c>
      <c r="AE7" s="187" t="inlineStr">
        <is>
          <t>3%</t>
        </is>
      </c>
      <c r="AF7" s="187" t="inlineStr">
        <is>
          <t>5%</t>
        </is>
      </c>
      <c r="AG7" s="187" t="inlineStr">
        <is>
          <t>8%</t>
        </is>
      </c>
      <c r="AH7" s="187" t="inlineStr">
        <is>
          <t>10%</t>
        </is>
      </c>
      <c r="AI7" s="187" t="inlineStr">
        <is>
          <t>軽減</t>
        </is>
      </c>
      <c r="AJ7" s="187" t="inlineStr">
        <is>
          <t>3%</t>
        </is>
      </c>
      <c r="AK7" s="187" t="inlineStr">
        <is>
          <t>5%</t>
        </is>
      </c>
      <c r="AL7" s="187" t="inlineStr">
        <is>
          <t>8%</t>
        </is>
      </c>
      <c r="AM7" s="187" t="inlineStr">
        <is>
          <t>10%</t>
        </is>
      </c>
      <c r="AN7" s="187" t="inlineStr">
        <is>
          <t>軽減</t>
        </is>
      </c>
      <c r="AO7" s="187" t="inlineStr">
        <is>
          <t>3%</t>
        </is>
      </c>
      <c r="AP7" s="187" t="inlineStr">
        <is>
          <t>5%</t>
        </is>
      </c>
      <c r="AQ7" s="187" t="inlineStr">
        <is>
          <t>8%</t>
        </is>
      </c>
      <c r="AR7" s="187" t="inlineStr">
        <is>
          <t>10%</t>
        </is>
      </c>
      <c r="AS7" s="187" t="inlineStr">
        <is>
          <t>軽減</t>
        </is>
      </c>
      <c r="AT7" s="187" t="inlineStr">
        <is>
          <t>10%</t>
        </is>
      </c>
      <c r="AU7" s="188" t="inlineStr">
        <is>
          <t>軽減</t>
        </is>
      </c>
      <c r="AV7" s="187" t="inlineStr">
        <is>
          <t>10%</t>
        </is>
      </c>
      <c r="AW7" s="187" t="inlineStr">
        <is>
          <t>軽減</t>
        </is>
      </c>
      <c r="AX7" s="186" t="inlineStr">
        <is>
          <t>10%</t>
        </is>
      </c>
      <c r="AY7" s="187" t="inlineStr">
        <is>
          <t>軽減</t>
        </is>
      </c>
      <c r="AZ7" s="186" t="inlineStr">
        <is>
          <t>10%</t>
        </is>
      </c>
      <c r="BA7" s="187" t="inlineStr">
        <is>
          <t>軽減</t>
        </is>
      </c>
      <c r="BB7" s="186" t="inlineStr">
        <is>
          <t>10%</t>
        </is>
      </c>
      <c r="BC7" s="187" t="inlineStr">
        <is>
          <t>軽減</t>
        </is>
      </c>
      <c r="BD7" s="186" t="inlineStr">
        <is>
          <t>10%</t>
        </is>
      </c>
      <c r="BE7" s="187" t="inlineStr">
        <is>
          <t>軽減</t>
        </is>
      </c>
      <c r="BF7" s="187" t="inlineStr">
        <is>
          <t>8%</t>
        </is>
      </c>
      <c r="BG7" s="186" t="inlineStr">
        <is>
          <t>10%</t>
        </is>
      </c>
      <c r="BH7" s="187" t="inlineStr">
        <is>
          <t>軽減</t>
        </is>
      </c>
      <c r="BI7" s="187" t="inlineStr">
        <is>
          <t>8%</t>
        </is>
      </c>
      <c r="BJ7" s="186" t="inlineStr">
        <is>
          <t>10%</t>
        </is>
      </c>
      <c r="BK7" s="187" t="inlineStr">
        <is>
          <t>軽減</t>
        </is>
      </c>
      <c r="BL7" s="186" t="inlineStr">
        <is>
          <t>10%</t>
        </is>
      </c>
      <c r="BM7" s="187" t="inlineStr">
        <is>
          <t>軽減</t>
        </is>
      </c>
      <c r="BN7" s="186" t="inlineStr">
        <is>
          <t>10%</t>
        </is>
      </c>
      <c r="BO7" s="187" t="inlineStr">
        <is>
          <t>軽減</t>
        </is>
      </c>
      <c r="BP7" s="186" t="inlineStr">
        <is>
          <t>10%</t>
        </is>
      </c>
      <c r="BQ7" s="187" t="inlineStr">
        <is>
          <t>軽減</t>
        </is>
      </c>
      <c r="BR7" s="186" t="inlineStr">
        <is>
          <t>10%</t>
        </is>
      </c>
      <c r="BS7" s="187" t="inlineStr">
        <is>
          <t>軽減</t>
        </is>
      </c>
      <c r="BT7" s="186" t="inlineStr">
        <is>
          <t>10%</t>
        </is>
      </c>
      <c r="BU7" s="187" t="inlineStr">
        <is>
          <t>軽減</t>
        </is>
      </c>
      <c r="BV7" s="186" t="inlineStr">
        <is>
          <t>10%</t>
        </is>
      </c>
      <c r="BW7" s="188" t="inlineStr">
        <is>
          <t>軽減</t>
        </is>
      </c>
      <c r="BX7" s="189" t="inlineStr">
        <is>
          <t>3%</t>
        </is>
      </c>
      <c r="BY7" s="190" t="inlineStr">
        <is>
          <t>5%</t>
        </is>
      </c>
      <c r="BZ7" s="190" t="inlineStr">
        <is>
          <t>8%</t>
        </is>
      </c>
      <c r="CA7" s="190" t="inlineStr">
        <is>
          <t>10%</t>
        </is>
      </c>
      <c r="CB7" s="191" t="inlineStr">
        <is>
          <t>軽減</t>
        </is>
      </c>
      <c r="CC7" s="192" t="inlineStr">
        <is>
          <t>売上税込</t>
        </is>
      </c>
      <c r="CD7" s="193" t="inlineStr">
        <is>
          <t>仕入税込</t>
        </is>
      </c>
      <c r="CE7" s="193" t="inlineStr">
        <is>
          <t>その他取引</t>
        </is>
      </c>
      <c r="CF7" s="194" t="inlineStr">
        <is>
          <t>貸倒損失</t>
        </is>
      </c>
      <c r="CG7" s="160" t="n"/>
    </row>
    <row r="8">
      <c r="A8" s="160" t="n"/>
      <c r="B8" s="195" t="inlineStr">
        <is>
          <t>売上用の税金グループ</t>
        </is>
      </c>
      <c r="C8" s="196" t="inlineStr">
        <is>
          <t>03A</t>
        </is>
      </c>
      <c r="D8" s="197" t="n"/>
      <c r="E8" s="198" t="n"/>
      <c r="F8" s="198" t="n"/>
      <c r="G8" s="198" t="n"/>
      <c r="H8" s="198" t="n"/>
      <c r="I8" s="198" t="n"/>
      <c r="J8" s="198" t="n"/>
      <c r="K8" s="198" t="n"/>
      <c r="L8" s="198" t="n"/>
      <c r="M8" s="198" t="n"/>
      <c r="N8" s="198" t="n"/>
      <c r="O8" s="199" t="inlineStr">
        <is>
          <t>●</t>
        </is>
      </c>
      <c r="P8" s="200" t="n"/>
      <c r="Q8" s="198" t="n"/>
      <c r="R8" s="198" t="n"/>
      <c r="S8" s="200" t="n"/>
      <c r="T8" s="198" t="n"/>
      <c r="U8" s="198" t="n"/>
      <c r="V8" s="198" t="n"/>
      <c r="W8" s="198" t="n"/>
      <c r="X8" s="198" t="n"/>
      <c r="Y8" s="198" t="n"/>
      <c r="Z8" s="198" t="n"/>
      <c r="AA8" s="198" t="n"/>
      <c r="AB8" s="198" t="n"/>
      <c r="AC8" s="200" t="n"/>
      <c r="AD8" s="198" t="n"/>
      <c r="AE8" s="198" t="n"/>
      <c r="AF8" s="198" t="n"/>
      <c r="AG8" s="198" t="n"/>
      <c r="AH8" s="200" t="n"/>
      <c r="AI8" s="198" t="n"/>
      <c r="AJ8" s="198" t="n"/>
      <c r="AK8" s="198" t="n"/>
      <c r="AL8" s="198" t="n"/>
      <c r="AM8" s="198" t="n"/>
      <c r="AN8" s="198" t="n"/>
      <c r="AO8" s="198" t="n"/>
      <c r="AP8" s="198" t="n"/>
      <c r="AQ8" s="198" t="n"/>
      <c r="AR8" s="200" t="n"/>
      <c r="AS8" s="198" t="n"/>
      <c r="AT8" s="198" t="n"/>
      <c r="AU8" s="201" t="n"/>
      <c r="AV8" s="198" t="n"/>
      <c r="AW8" s="198" t="n"/>
      <c r="AX8" s="200" t="n"/>
      <c r="AY8" s="198" t="n"/>
      <c r="AZ8" s="198" t="n"/>
      <c r="BA8" s="198" t="n"/>
      <c r="BB8" s="198" t="n"/>
      <c r="BC8" s="198" t="n"/>
      <c r="BD8" s="198" t="n"/>
      <c r="BE8" s="198" t="n"/>
      <c r="BF8" s="198" t="n"/>
      <c r="BG8" s="198" t="n"/>
      <c r="BH8" s="198" t="n"/>
      <c r="BI8" s="198" t="n"/>
      <c r="BJ8" s="198" t="n"/>
      <c r="BK8" s="198" t="n"/>
      <c r="BL8" s="200" t="n"/>
      <c r="BM8" s="198" t="n"/>
      <c r="BN8" s="198" t="n"/>
      <c r="BO8" s="198" t="n"/>
      <c r="BP8" s="198" t="n"/>
      <c r="BQ8" s="198" t="n"/>
      <c r="BR8" s="198" t="n"/>
      <c r="BS8" s="198" t="n"/>
      <c r="BT8" s="198" t="n"/>
      <c r="BU8" s="198" t="n"/>
      <c r="BV8" s="198" t="n"/>
      <c r="BW8" s="201" t="n"/>
      <c r="BX8" s="197" t="n"/>
      <c r="BY8" s="198" t="n"/>
      <c r="BZ8" s="198" t="n"/>
      <c r="CA8" s="198" t="n"/>
      <c r="CB8" s="199" t="n"/>
      <c r="CC8" s="200" t="n"/>
      <c r="CD8" s="198" t="n"/>
      <c r="CE8" s="198" t="n"/>
      <c r="CF8" s="199" t="n"/>
      <c r="CG8" s="160" t="n"/>
    </row>
    <row r="9">
      <c r="A9" s="160" t="n"/>
      <c r="B9" s="202" t="n"/>
      <c r="C9" s="203" t="inlineStr">
        <is>
          <t>04A</t>
        </is>
      </c>
      <c r="D9" s="204" t="n"/>
      <c r="E9" s="205" t="n"/>
      <c r="F9" s="205" t="n"/>
      <c r="G9" s="205" t="n"/>
      <c r="H9" s="205" t="n"/>
      <c r="I9" s="205" t="n"/>
      <c r="J9" s="205" t="n"/>
      <c r="K9" s="205" t="n"/>
      <c r="L9" s="205" t="n"/>
      <c r="M9" s="205" t="n"/>
      <c r="N9" s="205" t="n"/>
      <c r="O9" s="206" t="n"/>
      <c r="P9" s="207" t="n"/>
      <c r="Q9" s="205" t="n"/>
      <c r="R9" s="205" t="n"/>
      <c r="S9" s="207" t="n"/>
      <c r="T9" s="205" t="n"/>
      <c r="U9" s="205" t="n"/>
      <c r="V9" s="205" t="n"/>
      <c r="W9" s="205" t="n"/>
      <c r="X9" s="205" t="n"/>
      <c r="Y9" s="205" t="n"/>
      <c r="Z9" s="205" t="n"/>
      <c r="AA9" s="205" t="n"/>
      <c r="AB9" s="205" t="n"/>
      <c r="AC9" s="207" t="n"/>
      <c r="AD9" s="205" t="n"/>
      <c r="AE9" s="205" t="n"/>
      <c r="AF9" s="205" t="n"/>
      <c r="AG9" s="205" t="n"/>
      <c r="AH9" s="207" t="n"/>
      <c r="AI9" s="205" t="n"/>
      <c r="AJ9" s="205" t="n"/>
      <c r="AK9" s="205" t="n"/>
      <c r="AL9" s="205" t="n"/>
      <c r="AM9" s="205" t="n"/>
      <c r="AN9" s="205" t="n"/>
      <c r="AO9" s="205" t="n"/>
      <c r="AP9" s="205" t="n"/>
      <c r="AQ9" s="205" t="n"/>
      <c r="AR9" s="207" t="n"/>
      <c r="AS9" s="205" t="n"/>
      <c r="AT9" s="205" t="n"/>
      <c r="AU9" s="208" t="n"/>
      <c r="AV9" s="205" t="n"/>
      <c r="AW9" s="205" t="n"/>
      <c r="AX9" s="207" t="n"/>
      <c r="AY9" s="205" t="n"/>
      <c r="AZ9" s="205" t="n"/>
      <c r="BA9" s="205" t="n"/>
      <c r="BB9" s="205" t="n"/>
      <c r="BC9" s="205" t="n"/>
      <c r="BD9" s="205" t="n"/>
      <c r="BE9" s="205" t="n"/>
      <c r="BF9" s="205" t="n"/>
      <c r="BG9" s="205" t="n"/>
      <c r="BH9" s="205" t="n"/>
      <c r="BI9" s="205" t="n"/>
      <c r="BJ9" s="205" t="n"/>
      <c r="BK9" s="205" t="n"/>
      <c r="BL9" s="207" t="n"/>
      <c r="BM9" s="205" t="n"/>
      <c r="BN9" s="205" t="n"/>
      <c r="BO9" s="205" t="n"/>
      <c r="BP9" s="205" t="n"/>
      <c r="BQ9" s="205" t="n"/>
      <c r="BR9" s="205" t="n"/>
      <c r="BS9" s="205" t="n"/>
      <c r="BT9" s="205" t="n"/>
      <c r="BU9" s="205" t="n"/>
      <c r="BV9" s="205" t="n"/>
      <c r="BW9" s="208" t="n"/>
      <c r="BX9" s="204" t="n"/>
      <c r="BY9" s="205" t="n"/>
      <c r="BZ9" s="205" t="n"/>
      <c r="CA9" s="205" t="n"/>
      <c r="CB9" s="206" t="n"/>
      <c r="CC9" s="207" t="inlineStr">
        <is>
          <t>●</t>
        </is>
      </c>
      <c r="CD9" s="205" t="n"/>
      <c r="CE9" s="205" t="inlineStr">
        <is>
          <t>●</t>
        </is>
      </c>
      <c r="CF9" s="206" t="n"/>
      <c r="CG9" s="160" t="n"/>
    </row>
    <row r="10">
      <c r="A10" s="160" t="n"/>
      <c r="B10" s="202" t="n"/>
      <c r="C10" s="203" t="inlineStr">
        <is>
          <t>06A</t>
        </is>
      </c>
      <c r="D10" s="204" t="n"/>
      <c r="E10" s="205" t="n"/>
      <c r="F10" s="205" t="n"/>
      <c r="G10" s="205" t="n"/>
      <c r="H10" s="205" t="n"/>
      <c r="I10" s="205" t="n"/>
      <c r="J10" s="205" t="n"/>
      <c r="K10" s="205" t="n"/>
      <c r="L10" s="205" t="n"/>
      <c r="M10" s="205" t="n"/>
      <c r="N10" s="205" t="n"/>
      <c r="O10" s="206" t="inlineStr">
        <is>
          <t>●</t>
        </is>
      </c>
      <c r="P10" s="207" t="n"/>
      <c r="Q10" s="205" t="n"/>
      <c r="R10" s="205" t="n"/>
      <c r="S10" s="207" t="n"/>
      <c r="T10" s="205" t="n"/>
      <c r="U10" s="205" t="n"/>
      <c r="V10" s="205" t="n"/>
      <c r="W10" s="205" t="n"/>
      <c r="X10" s="205" t="n"/>
      <c r="Y10" s="205" t="n"/>
      <c r="Z10" s="205" t="n"/>
      <c r="AA10" s="205" t="n"/>
      <c r="AB10" s="205" t="n"/>
      <c r="AC10" s="207" t="n"/>
      <c r="AD10" s="205" t="n"/>
      <c r="AE10" s="205" t="n"/>
      <c r="AF10" s="205" t="n"/>
      <c r="AG10" s="205" t="n"/>
      <c r="AH10" s="207" t="n"/>
      <c r="AI10" s="205" t="n"/>
      <c r="AJ10" s="205" t="n"/>
      <c r="AK10" s="205" t="n"/>
      <c r="AL10" s="205" t="n"/>
      <c r="AM10" s="205" t="n"/>
      <c r="AN10" s="205" t="n"/>
      <c r="AO10" s="205" t="n"/>
      <c r="AP10" s="205" t="n"/>
      <c r="AQ10" s="205" t="n"/>
      <c r="AR10" s="207" t="n"/>
      <c r="AS10" s="205" t="n"/>
      <c r="AT10" s="205" t="n"/>
      <c r="AU10" s="208" t="n"/>
      <c r="AV10" s="205" t="n"/>
      <c r="AW10" s="205" t="n"/>
      <c r="AX10" s="207" t="n"/>
      <c r="AY10" s="205" t="n"/>
      <c r="AZ10" s="205" t="n"/>
      <c r="BA10" s="205" t="n"/>
      <c r="BB10" s="205" t="n"/>
      <c r="BC10" s="205" t="n"/>
      <c r="BD10" s="205" t="n"/>
      <c r="BE10" s="205" t="n"/>
      <c r="BF10" s="205" t="n"/>
      <c r="BG10" s="205" t="n"/>
      <c r="BH10" s="205" t="n"/>
      <c r="BI10" s="205" t="n"/>
      <c r="BJ10" s="205" t="n"/>
      <c r="BK10" s="205" t="n"/>
      <c r="BL10" s="207" t="n"/>
      <c r="BM10" s="205" t="n"/>
      <c r="BN10" s="205" t="n"/>
      <c r="BO10" s="205" t="n"/>
      <c r="BP10" s="205" t="n"/>
      <c r="BQ10" s="205" t="n"/>
      <c r="BR10" s="205" t="n"/>
      <c r="BS10" s="205" t="n"/>
      <c r="BT10" s="205" t="n"/>
      <c r="BU10" s="205" t="n"/>
      <c r="BV10" s="205" t="n"/>
      <c r="BW10" s="208" t="n"/>
      <c r="BX10" s="204" t="n"/>
      <c r="BY10" s="205" t="n"/>
      <c r="BZ10" s="205" t="n"/>
      <c r="CA10" s="205" t="n"/>
      <c r="CB10" s="206" t="n"/>
      <c r="CC10" s="207" t="inlineStr">
        <is>
          <t>●</t>
        </is>
      </c>
      <c r="CD10" s="205" t="n"/>
      <c r="CE10" s="205" t="inlineStr">
        <is>
          <t>●</t>
        </is>
      </c>
      <c r="CF10" s="206" t="n"/>
      <c r="CG10" s="160" t="n"/>
    </row>
    <row r="11">
      <c r="A11" s="160" t="n"/>
      <c r="B11" s="202" t="n"/>
      <c r="C11" s="203" t="inlineStr">
        <is>
          <t>10A</t>
        </is>
      </c>
      <c r="D11" s="204" t="n"/>
      <c r="E11" s="205" t="n"/>
      <c r="F11" s="205" t="n"/>
      <c r="G11" s="205" t="n"/>
      <c r="H11" s="205" t="n"/>
      <c r="I11" s="205" t="n"/>
      <c r="J11" s="205" t="n"/>
      <c r="K11" s="205" t="n"/>
      <c r="L11" s="205" t="n"/>
      <c r="M11" s="205" t="n"/>
      <c r="N11" s="205" t="inlineStr">
        <is>
          <t>●</t>
        </is>
      </c>
      <c r="O11" s="206" t="n"/>
      <c r="P11" s="207" t="n"/>
      <c r="Q11" s="205" t="n"/>
      <c r="R11" s="205" t="n"/>
      <c r="S11" s="207" t="n"/>
      <c r="T11" s="205" t="n"/>
      <c r="U11" s="205" t="n"/>
      <c r="V11" s="205" t="n"/>
      <c r="W11" s="205" t="n"/>
      <c r="X11" s="205" t="n"/>
      <c r="Y11" s="205" t="n"/>
      <c r="Z11" s="205" t="n"/>
      <c r="AA11" s="205" t="n"/>
      <c r="AB11" s="205" t="n"/>
      <c r="AC11" s="207" t="n"/>
      <c r="AD11" s="205" t="n"/>
      <c r="AE11" s="205" t="n"/>
      <c r="AF11" s="205" t="n"/>
      <c r="AG11" s="205" t="n"/>
      <c r="AH11" s="207" t="n"/>
      <c r="AI11" s="205" t="n"/>
      <c r="AJ11" s="205" t="n"/>
      <c r="AK11" s="205" t="n"/>
      <c r="AL11" s="205" t="n"/>
      <c r="AM11" s="205" t="n"/>
      <c r="AN11" s="205" t="n"/>
      <c r="AO11" s="205" t="n"/>
      <c r="AP11" s="205" t="n"/>
      <c r="AQ11" s="205" t="n"/>
      <c r="AR11" s="207" t="n"/>
      <c r="AS11" s="205" t="n"/>
      <c r="AT11" s="205" t="n"/>
      <c r="AU11" s="208" t="n"/>
      <c r="AV11" s="205" t="n"/>
      <c r="AW11" s="205" t="n"/>
      <c r="AX11" s="207" t="n"/>
      <c r="AY11" s="205" t="n"/>
      <c r="AZ11" s="205" t="n"/>
      <c r="BA11" s="205" t="n"/>
      <c r="BB11" s="205" t="n"/>
      <c r="BC11" s="205" t="n"/>
      <c r="BD11" s="205" t="n"/>
      <c r="BE11" s="205" t="n"/>
      <c r="BF11" s="205" t="n"/>
      <c r="BG11" s="205" t="n"/>
      <c r="BH11" s="205" t="n"/>
      <c r="BI11" s="205" t="n"/>
      <c r="BJ11" s="205" t="n"/>
      <c r="BK11" s="205" t="n"/>
      <c r="BL11" s="207" t="n"/>
      <c r="BM11" s="205" t="n"/>
      <c r="BN11" s="205" t="n"/>
      <c r="BO11" s="205" t="n"/>
      <c r="BP11" s="205" t="n"/>
      <c r="BQ11" s="205" t="n"/>
      <c r="BR11" s="205" t="n"/>
      <c r="BS11" s="205" t="n"/>
      <c r="BT11" s="205" t="n"/>
      <c r="BU11" s="205" t="n"/>
      <c r="BV11" s="205" t="n"/>
      <c r="BW11" s="208" t="n"/>
      <c r="BX11" s="204" t="n"/>
      <c r="BY11" s="205" t="n"/>
      <c r="BZ11" s="205" t="n"/>
      <c r="CA11" s="205" t="n"/>
      <c r="CB11" s="206" t="n"/>
      <c r="CC11" s="207" t="n"/>
      <c r="CD11" s="205" t="n"/>
      <c r="CE11" s="205" t="n"/>
      <c r="CF11" s="206" t="n"/>
      <c r="CG11" s="160" t="n"/>
    </row>
    <row r="12">
      <c r="A12" s="160" t="n"/>
      <c r="B12" s="202" t="n"/>
      <c r="C12" s="203" t="inlineStr">
        <is>
          <t>11A</t>
        </is>
      </c>
      <c r="D12" s="204" t="n"/>
      <c r="E12" s="205" t="n"/>
      <c r="F12" s="205" t="n"/>
      <c r="G12" s="205" t="n"/>
      <c r="H12" s="205" t="n"/>
      <c r="I12" s="205" t="n"/>
      <c r="J12" s="205" t="n"/>
      <c r="K12" s="205" t="n"/>
      <c r="L12" s="205" t="n"/>
      <c r="M12" s="205" t="n"/>
      <c r="N12" s="205" t="inlineStr">
        <is>
          <t>●</t>
        </is>
      </c>
      <c r="O12" s="206" t="n"/>
      <c r="P12" s="207" t="n"/>
      <c r="Q12" s="205" t="n"/>
      <c r="R12" s="205" t="n"/>
      <c r="S12" s="207" t="n"/>
      <c r="T12" s="205" t="n"/>
      <c r="U12" s="205" t="n"/>
      <c r="V12" s="205" t="n"/>
      <c r="W12" s="205" t="n"/>
      <c r="X12" s="205" t="n"/>
      <c r="Y12" s="205" t="n"/>
      <c r="Z12" s="205" t="n"/>
      <c r="AA12" s="205" t="n"/>
      <c r="AB12" s="205" t="n"/>
      <c r="AC12" s="207" t="n"/>
      <c r="AD12" s="205" t="n"/>
      <c r="AE12" s="205" t="n"/>
      <c r="AF12" s="205" t="n"/>
      <c r="AG12" s="205" t="n"/>
      <c r="AH12" s="207" t="n"/>
      <c r="AI12" s="205" t="n"/>
      <c r="AJ12" s="205" t="n"/>
      <c r="AK12" s="205" t="n"/>
      <c r="AL12" s="205" t="n"/>
      <c r="AM12" s="205" t="n"/>
      <c r="AN12" s="205" t="n"/>
      <c r="AO12" s="205" t="n"/>
      <c r="AP12" s="205" t="n"/>
      <c r="AQ12" s="205" t="n"/>
      <c r="AR12" s="207" t="n"/>
      <c r="AS12" s="205" t="n"/>
      <c r="AT12" s="205" t="n"/>
      <c r="AU12" s="208" t="n"/>
      <c r="AV12" s="205" t="n"/>
      <c r="AW12" s="205" t="n"/>
      <c r="AX12" s="207" t="n"/>
      <c r="AY12" s="205" t="n"/>
      <c r="AZ12" s="205" t="n"/>
      <c r="BA12" s="205" t="n"/>
      <c r="BB12" s="205" t="n"/>
      <c r="BC12" s="205" t="n"/>
      <c r="BD12" s="205" t="n"/>
      <c r="BE12" s="205" t="n"/>
      <c r="BF12" s="205" t="n"/>
      <c r="BG12" s="205" t="n"/>
      <c r="BH12" s="205" t="n"/>
      <c r="BI12" s="205" t="n"/>
      <c r="BJ12" s="205" t="n"/>
      <c r="BK12" s="205" t="n"/>
      <c r="BL12" s="207" t="n"/>
      <c r="BM12" s="205" t="n"/>
      <c r="BN12" s="205" t="n"/>
      <c r="BO12" s="205" t="n"/>
      <c r="BP12" s="205" t="n"/>
      <c r="BQ12" s="205" t="n"/>
      <c r="BR12" s="205" t="n"/>
      <c r="BS12" s="205" t="n"/>
      <c r="BT12" s="205" t="n"/>
      <c r="BU12" s="205" t="n"/>
      <c r="BV12" s="205" t="n"/>
      <c r="BW12" s="208" t="n"/>
      <c r="BX12" s="204" t="n"/>
      <c r="BY12" s="205" t="n"/>
      <c r="BZ12" s="205" t="n"/>
      <c r="CA12" s="205" t="n"/>
      <c r="CB12" s="206" t="n"/>
      <c r="CC12" s="207" t="n"/>
      <c r="CD12" s="205" t="n"/>
      <c r="CE12" s="205" t="n"/>
      <c r="CF12" s="206" t="n"/>
      <c r="CG12" s="160" t="n"/>
    </row>
    <row r="13">
      <c r="A13" s="160" t="n"/>
      <c r="B13" s="202" t="n"/>
      <c r="C13" s="203" t="inlineStr">
        <is>
          <t>12A</t>
        </is>
      </c>
      <c r="D13" s="204" t="n"/>
      <c r="E13" s="205" t="n"/>
      <c r="F13" s="205" t="n"/>
      <c r="G13" s="205" t="n"/>
      <c r="H13" s="205" t="n"/>
      <c r="I13" s="205" t="n"/>
      <c r="J13" s="205" t="n"/>
      <c r="K13" s="205" t="n"/>
      <c r="L13" s="205" t="n"/>
      <c r="M13" s="205" t="n"/>
      <c r="N13" s="205" t="inlineStr">
        <is>
          <t>●</t>
        </is>
      </c>
      <c r="O13" s="206" t="inlineStr">
        <is>
          <t>●</t>
        </is>
      </c>
      <c r="P13" s="207" t="n"/>
      <c r="Q13" s="205" t="n"/>
      <c r="R13" s="205" t="n"/>
      <c r="S13" s="207" t="n"/>
      <c r="T13" s="205" t="n"/>
      <c r="U13" s="205" t="n"/>
      <c r="V13" s="205" t="n"/>
      <c r="W13" s="205" t="n"/>
      <c r="X13" s="205" t="n"/>
      <c r="Y13" s="205" t="n"/>
      <c r="Z13" s="205" t="n"/>
      <c r="AA13" s="205" t="n"/>
      <c r="AB13" s="205" t="n"/>
      <c r="AC13" s="207" t="n"/>
      <c r="AD13" s="205" t="n"/>
      <c r="AE13" s="205" t="n"/>
      <c r="AF13" s="205" t="n"/>
      <c r="AG13" s="205" t="n"/>
      <c r="AH13" s="207" t="n"/>
      <c r="AI13" s="205" t="n"/>
      <c r="AJ13" s="205" t="n"/>
      <c r="AK13" s="205" t="n"/>
      <c r="AL13" s="205" t="n"/>
      <c r="AM13" s="205" t="n"/>
      <c r="AN13" s="205" t="n"/>
      <c r="AO13" s="205" t="n"/>
      <c r="AP13" s="205" t="n"/>
      <c r="AQ13" s="205" t="n"/>
      <c r="AR13" s="207" t="n"/>
      <c r="AS13" s="205" t="n"/>
      <c r="AT13" s="205" t="n"/>
      <c r="AU13" s="208" t="n"/>
      <c r="AV13" s="205" t="n"/>
      <c r="AW13" s="205" t="n"/>
      <c r="AX13" s="207" t="n"/>
      <c r="AY13" s="205" t="n"/>
      <c r="AZ13" s="205" t="n"/>
      <c r="BA13" s="205" t="n"/>
      <c r="BB13" s="205" t="n"/>
      <c r="BC13" s="205" t="n"/>
      <c r="BD13" s="205" t="n"/>
      <c r="BE13" s="205" t="n"/>
      <c r="BF13" s="205" t="n"/>
      <c r="BG13" s="205" t="n"/>
      <c r="BH13" s="205" t="n"/>
      <c r="BI13" s="205" t="n"/>
      <c r="BJ13" s="205" t="n"/>
      <c r="BK13" s="205" t="n"/>
      <c r="BL13" s="207" t="n"/>
      <c r="BM13" s="205" t="n"/>
      <c r="BN13" s="205" t="n"/>
      <c r="BO13" s="205" t="n"/>
      <c r="BP13" s="205" t="n"/>
      <c r="BQ13" s="205" t="n"/>
      <c r="BR13" s="205" t="n"/>
      <c r="BS13" s="205" t="n"/>
      <c r="BT13" s="205" t="n"/>
      <c r="BU13" s="205" t="n"/>
      <c r="BV13" s="205" t="n"/>
      <c r="BW13" s="208" t="n"/>
      <c r="BX13" s="204" t="n"/>
      <c r="BY13" s="205" t="n"/>
      <c r="BZ13" s="205" t="n"/>
      <c r="CA13" s="205" t="n"/>
      <c r="CB13" s="206" t="n"/>
      <c r="CC13" s="207" t="n"/>
      <c r="CD13" s="205" t="n"/>
      <c r="CE13" s="205" t="n"/>
      <c r="CF13" s="206" t="n"/>
      <c r="CG13" s="160" t="n"/>
    </row>
    <row r="14">
      <c r="A14" s="160" t="n"/>
      <c r="B14" s="202" t="n"/>
      <c r="C14" s="203" t="inlineStr">
        <is>
          <t>13A</t>
        </is>
      </c>
      <c r="D14" s="204" t="n"/>
      <c r="E14" s="205" t="n"/>
      <c r="F14" s="205" t="n"/>
      <c r="G14" s="205" t="n"/>
      <c r="H14" s="205" t="n"/>
      <c r="I14" s="205" t="n"/>
      <c r="J14" s="205" t="n"/>
      <c r="K14" s="205" t="n"/>
      <c r="L14" s="205" t="n"/>
      <c r="M14" s="205" t="n"/>
      <c r="N14" s="205" t="inlineStr">
        <is>
          <t>●</t>
        </is>
      </c>
      <c r="O14" s="206" t="inlineStr">
        <is>
          <t>●</t>
        </is>
      </c>
      <c r="P14" s="207" t="n"/>
      <c r="Q14" s="205" t="n"/>
      <c r="R14" s="205" t="n"/>
      <c r="S14" s="207" t="n"/>
      <c r="T14" s="205" t="n"/>
      <c r="U14" s="205" t="n"/>
      <c r="V14" s="205" t="n"/>
      <c r="W14" s="205" t="n"/>
      <c r="X14" s="205" t="n"/>
      <c r="Y14" s="205" t="n"/>
      <c r="Z14" s="205" t="n"/>
      <c r="AA14" s="205" t="n"/>
      <c r="AB14" s="205" t="n"/>
      <c r="AC14" s="207" t="n"/>
      <c r="AD14" s="205" t="n"/>
      <c r="AE14" s="205" t="n"/>
      <c r="AF14" s="205" t="n"/>
      <c r="AG14" s="205" t="n"/>
      <c r="AH14" s="207" t="n"/>
      <c r="AI14" s="205" t="n"/>
      <c r="AJ14" s="205" t="n"/>
      <c r="AK14" s="205" t="n"/>
      <c r="AL14" s="205" t="n"/>
      <c r="AM14" s="205" t="n"/>
      <c r="AN14" s="205" t="n"/>
      <c r="AO14" s="205" t="n"/>
      <c r="AP14" s="205" t="n"/>
      <c r="AQ14" s="205" t="n"/>
      <c r="AR14" s="207" t="n"/>
      <c r="AS14" s="205" t="n"/>
      <c r="AT14" s="205" t="n"/>
      <c r="AU14" s="208" t="n"/>
      <c r="AV14" s="205" t="n"/>
      <c r="AW14" s="205" t="n"/>
      <c r="AX14" s="207" t="n"/>
      <c r="AY14" s="205" t="n"/>
      <c r="AZ14" s="205" t="n"/>
      <c r="BA14" s="205" t="n"/>
      <c r="BB14" s="205" t="n"/>
      <c r="BC14" s="205" t="n"/>
      <c r="BD14" s="205" t="n"/>
      <c r="BE14" s="205" t="n"/>
      <c r="BF14" s="205" t="n"/>
      <c r="BG14" s="205" t="n"/>
      <c r="BH14" s="205" t="n"/>
      <c r="BI14" s="205" t="n"/>
      <c r="BJ14" s="205" t="n"/>
      <c r="BK14" s="205" t="n"/>
      <c r="BL14" s="207" t="n"/>
      <c r="BM14" s="205" t="n"/>
      <c r="BN14" s="205" t="n"/>
      <c r="BO14" s="205" t="n"/>
      <c r="BP14" s="205" t="n"/>
      <c r="BQ14" s="205" t="n"/>
      <c r="BR14" s="205" t="n"/>
      <c r="BS14" s="205" t="n"/>
      <c r="BT14" s="205" t="n"/>
      <c r="BU14" s="205" t="n"/>
      <c r="BV14" s="205" t="n"/>
      <c r="BW14" s="208" t="n"/>
      <c r="BX14" s="204" t="n"/>
      <c r="BY14" s="205" t="n"/>
      <c r="BZ14" s="205" t="n"/>
      <c r="CA14" s="205" t="n"/>
      <c r="CB14" s="206" t="n"/>
      <c r="CC14" s="207" t="n"/>
      <c r="CD14" s="205" t="n"/>
      <c r="CE14" s="205" t="n"/>
      <c r="CF14" s="206" t="n"/>
      <c r="CG14" s="160" t="n"/>
    </row>
    <row r="15">
      <c r="A15" s="160" t="n"/>
      <c r="B15" s="202" t="n"/>
      <c r="C15" s="203" t="inlineStr">
        <is>
          <t>14A</t>
        </is>
      </c>
      <c r="D15" s="204" t="n"/>
      <c r="E15" s="205" t="n"/>
      <c r="F15" s="205" t="n"/>
      <c r="G15" s="205" t="n"/>
      <c r="H15" s="205" t="n"/>
      <c r="I15" s="205" t="n"/>
      <c r="J15" s="205" t="n"/>
      <c r="K15" s="205" t="n"/>
      <c r="L15" s="205" t="n"/>
      <c r="M15" s="205" t="n"/>
      <c r="N15" s="205" t="inlineStr">
        <is>
          <t>●</t>
        </is>
      </c>
      <c r="O15" s="206" t="n"/>
      <c r="P15" s="207" t="n"/>
      <c r="Q15" s="205" t="n"/>
      <c r="R15" s="205" t="n"/>
      <c r="S15" s="207" t="n"/>
      <c r="T15" s="205" t="n"/>
      <c r="U15" s="205" t="n"/>
      <c r="V15" s="205" t="n"/>
      <c r="W15" s="205" t="n"/>
      <c r="X15" s="205" t="n"/>
      <c r="Y15" s="205" t="n"/>
      <c r="Z15" s="205" t="n"/>
      <c r="AA15" s="205" t="n"/>
      <c r="AB15" s="205" t="n"/>
      <c r="AC15" s="207" t="n"/>
      <c r="AD15" s="205" t="n"/>
      <c r="AE15" s="205" t="n"/>
      <c r="AF15" s="205" t="n"/>
      <c r="AG15" s="205" t="n"/>
      <c r="AH15" s="207" t="n"/>
      <c r="AI15" s="205" t="n"/>
      <c r="AJ15" s="205" t="n"/>
      <c r="AK15" s="205" t="n"/>
      <c r="AL15" s="205" t="n"/>
      <c r="AM15" s="205" t="n"/>
      <c r="AN15" s="205" t="n"/>
      <c r="AO15" s="205" t="n"/>
      <c r="AP15" s="205" t="n"/>
      <c r="AQ15" s="205" t="n"/>
      <c r="AR15" s="207" t="n"/>
      <c r="AS15" s="205" t="n"/>
      <c r="AT15" s="205" t="n"/>
      <c r="AU15" s="208" t="n"/>
      <c r="AV15" s="205" t="n"/>
      <c r="AW15" s="205" t="n"/>
      <c r="AX15" s="207" t="n"/>
      <c r="AY15" s="205" t="n"/>
      <c r="AZ15" s="205" t="n"/>
      <c r="BA15" s="205" t="n"/>
      <c r="BB15" s="205" t="n"/>
      <c r="BC15" s="205" t="n"/>
      <c r="BD15" s="205" t="n"/>
      <c r="BE15" s="205" t="n"/>
      <c r="BF15" s="205" t="n"/>
      <c r="BG15" s="205" t="n"/>
      <c r="BH15" s="205" t="n"/>
      <c r="BI15" s="205" t="n"/>
      <c r="BJ15" s="205" t="n"/>
      <c r="BK15" s="205" t="n"/>
      <c r="BL15" s="207" t="n"/>
      <c r="BM15" s="205" t="n"/>
      <c r="BN15" s="205" t="n"/>
      <c r="BO15" s="205" t="n"/>
      <c r="BP15" s="205" t="n"/>
      <c r="BQ15" s="205" t="n"/>
      <c r="BR15" s="205" t="n"/>
      <c r="BS15" s="205" t="n"/>
      <c r="BT15" s="205" t="n"/>
      <c r="BU15" s="205" t="n"/>
      <c r="BV15" s="205" t="n"/>
      <c r="BW15" s="208" t="n"/>
      <c r="BX15" s="204" t="n"/>
      <c r="BY15" s="205" t="n"/>
      <c r="BZ15" s="205" t="n"/>
      <c r="CA15" s="205" t="n"/>
      <c r="CB15" s="206" t="n"/>
      <c r="CC15" s="207" t="inlineStr">
        <is>
          <t>●</t>
        </is>
      </c>
      <c r="CD15" s="205" t="n"/>
      <c r="CE15" s="205" t="inlineStr">
        <is>
          <t>●</t>
        </is>
      </c>
      <c r="CF15" s="206" t="n"/>
      <c r="CG15" s="160" t="n"/>
    </row>
    <row r="16">
      <c r="A16" s="160" t="n"/>
      <c r="B16" s="202" t="n"/>
      <c r="C16" s="203" t="inlineStr">
        <is>
          <t>15A</t>
        </is>
      </c>
      <c r="D16" s="204" t="n"/>
      <c r="E16" s="205" t="n"/>
      <c r="F16" s="205" t="n"/>
      <c r="G16" s="205" t="n"/>
      <c r="H16" s="205" t="n"/>
      <c r="I16" s="205" t="n"/>
      <c r="J16" s="205" t="n"/>
      <c r="K16" s="205" t="n"/>
      <c r="L16" s="205" t="n"/>
      <c r="M16" s="205" t="n"/>
      <c r="N16" s="205" t="inlineStr">
        <is>
          <t>●</t>
        </is>
      </c>
      <c r="O16" s="206" t="n"/>
      <c r="P16" s="207" t="n"/>
      <c r="Q16" s="205" t="n"/>
      <c r="R16" s="205" t="n"/>
      <c r="S16" s="207" t="n"/>
      <c r="T16" s="205" t="n"/>
      <c r="U16" s="205" t="n"/>
      <c r="V16" s="205" t="n"/>
      <c r="W16" s="205" t="n"/>
      <c r="X16" s="205" t="n"/>
      <c r="Y16" s="205" t="n"/>
      <c r="Z16" s="205" t="n"/>
      <c r="AA16" s="205" t="n"/>
      <c r="AB16" s="205" t="n"/>
      <c r="AC16" s="207" t="n"/>
      <c r="AD16" s="205" t="n"/>
      <c r="AE16" s="205" t="n"/>
      <c r="AF16" s="205" t="n"/>
      <c r="AG16" s="205" t="n"/>
      <c r="AH16" s="207" t="n"/>
      <c r="AI16" s="205" t="n"/>
      <c r="AJ16" s="205" t="n"/>
      <c r="AK16" s="205" t="n"/>
      <c r="AL16" s="205" t="n"/>
      <c r="AM16" s="205" t="n"/>
      <c r="AN16" s="205" t="n"/>
      <c r="AO16" s="205" t="n"/>
      <c r="AP16" s="205" t="n"/>
      <c r="AQ16" s="205" t="n"/>
      <c r="AR16" s="207" t="n"/>
      <c r="AS16" s="205" t="n"/>
      <c r="AT16" s="205" t="n"/>
      <c r="AU16" s="208" t="n"/>
      <c r="AV16" s="205" t="n"/>
      <c r="AW16" s="205" t="n"/>
      <c r="AX16" s="207" t="n"/>
      <c r="AY16" s="205" t="n"/>
      <c r="AZ16" s="205" t="n"/>
      <c r="BA16" s="205" t="n"/>
      <c r="BB16" s="205" t="n"/>
      <c r="BC16" s="205" t="n"/>
      <c r="BD16" s="205" t="n"/>
      <c r="BE16" s="205" t="n"/>
      <c r="BF16" s="205" t="n"/>
      <c r="BG16" s="205" t="n"/>
      <c r="BH16" s="205" t="n"/>
      <c r="BI16" s="205" t="n"/>
      <c r="BJ16" s="205" t="n"/>
      <c r="BK16" s="205" t="n"/>
      <c r="BL16" s="207" t="n"/>
      <c r="BM16" s="205" t="n"/>
      <c r="BN16" s="205" t="n"/>
      <c r="BO16" s="205" t="n"/>
      <c r="BP16" s="205" t="n"/>
      <c r="BQ16" s="205" t="n"/>
      <c r="BR16" s="205" t="n"/>
      <c r="BS16" s="205" t="n"/>
      <c r="BT16" s="205" t="n"/>
      <c r="BU16" s="205" t="n"/>
      <c r="BV16" s="205" t="n"/>
      <c r="BW16" s="208" t="n"/>
      <c r="BX16" s="204" t="n"/>
      <c r="BY16" s="205" t="n"/>
      <c r="BZ16" s="205" t="n"/>
      <c r="CA16" s="205" t="n"/>
      <c r="CB16" s="206" t="n"/>
      <c r="CC16" s="207" t="inlineStr">
        <is>
          <t>●</t>
        </is>
      </c>
      <c r="CD16" s="205" t="n"/>
      <c r="CE16" s="205" t="inlineStr">
        <is>
          <t>●</t>
        </is>
      </c>
      <c r="CF16" s="206" t="n"/>
      <c r="CG16" s="160" t="n"/>
    </row>
    <row r="17">
      <c r="A17" s="160" t="n"/>
      <c r="B17" s="202" t="n"/>
      <c r="C17" s="203" t="inlineStr">
        <is>
          <t>16A</t>
        </is>
      </c>
      <c r="D17" s="204" t="n"/>
      <c r="E17" s="205" t="n"/>
      <c r="F17" s="205" t="n"/>
      <c r="G17" s="205" t="n"/>
      <c r="H17" s="205" t="n"/>
      <c r="I17" s="205" t="n"/>
      <c r="J17" s="205" t="n"/>
      <c r="K17" s="205" t="n"/>
      <c r="L17" s="205" t="n"/>
      <c r="M17" s="205" t="n"/>
      <c r="N17" s="205" t="inlineStr">
        <is>
          <t>●</t>
        </is>
      </c>
      <c r="O17" s="206" t="inlineStr">
        <is>
          <t>●</t>
        </is>
      </c>
      <c r="P17" s="207" t="n"/>
      <c r="Q17" s="205" t="n"/>
      <c r="R17" s="205" t="n"/>
      <c r="S17" s="207" t="n"/>
      <c r="T17" s="205" t="n"/>
      <c r="U17" s="205" t="n"/>
      <c r="V17" s="205" t="n"/>
      <c r="W17" s="205" t="n"/>
      <c r="X17" s="205" t="n"/>
      <c r="Y17" s="205" t="n"/>
      <c r="Z17" s="205" t="n"/>
      <c r="AA17" s="205" t="n"/>
      <c r="AB17" s="205" t="n"/>
      <c r="AC17" s="207" t="n"/>
      <c r="AD17" s="205" t="n"/>
      <c r="AE17" s="205" t="n"/>
      <c r="AF17" s="205" t="n"/>
      <c r="AG17" s="205" t="n"/>
      <c r="AH17" s="207" t="n"/>
      <c r="AI17" s="205" t="n"/>
      <c r="AJ17" s="205" t="n"/>
      <c r="AK17" s="205" t="n"/>
      <c r="AL17" s="205" t="n"/>
      <c r="AM17" s="205" t="n"/>
      <c r="AN17" s="205" t="n"/>
      <c r="AO17" s="205" t="n"/>
      <c r="AP17" s="205" t="n"/>
      <c r="AQ17" s="205" t="n"/>
      <c r="AR17" s="207" t="n"/>
      <c r="AS17" s="205" t="n"/>
      <c r="AT17" s="205" t="n"/>
      <c r="AU17" s="208" t="n"/>
      <c r="AV17" s="205" t="n"/>
      <c r="AW17" s="205" t="n"/>
      <c r="AX17" s="207" t="n"/>
      <c r="AY17" s="205" t="n"/>
      <c r="AZ17" s="205" t="n"/>
      <c r="BA17" s="205" t="n"/>
      <c r="BB17" s="205" t="n"/>
      <c r="BC17" s="205" t="n"/>
      <c r="BD17" s="205" t="n"/>
      <c r="BE17" s="205" t="n"/>
      <c r="BF17" s="205" t="n"/>
      <c r="BG17" s="205" t="n"/>
      <c r="BH17" s="205" t="n"/>
      <c r="BI17" s="205" t="n"/>
      <c r="BJ17" s="205" t="n"/>
      <c r="BK17" s="205" t="n"/>
      <c r="BL17" s="207" t="n"/>
      <c r="BM17" s="205" t="n"/>
      <c r="BN17" s="205" t="n"/>
      <c r="BO17" s="205" t="n"/>
      <c r="BP17" s="205" t="n"/>
      <c r="BQ17" s="205" t="n"/>
      <c r="BR17" s="205" t="n"/>
      <c r="BS17" s="205" t="n"/>
      <c r="BT17" s="205" t="n"/>
      <c r="BU17" s="205" t="n"/>
      <c r="BV17" s="205" t="n"/>
      <c r="BW17" s="208" t="n"/>
      <c r="BX17" s="204" t="n"/>
      <c r="BY17" s="205" t="n"/>
      <c r="BZ17" s="205" t="n"/>
      <c r="CA17" s="205" t="n"/>
      <c r="CB17" s="206" t="n"/>
      <c r="CC17" s="207" t="inlineStr">
        <is>
          <t>●</t>
        </is>
      </c>
      <c r="CD17" s="205" t="n"/>
      <c r="CE17" s="205" t="inlineStr">
        <is>
          <t>●</t>
        </is>
      </c>
      <c r="CF17" s="206" t="n"/>
      <c r="CG17" s="160" t="n"/>
    </row>
    <row r="18">
      <c r="A18" s="160" t="n"/>
      <c r="B18" s="202" t="n"/>
      <c r="C18" s="203" t="inlineStr">
        <is>
          <t>17A</t>
        </is>
      </c>
      <c r="D18" s="204" t="n"/>
      <c r="E18" s="205" t="n"/>
      <c r="F18" s="205" t="n"/>
      <c r="G18" s="205" t="n"/>
      <c r="H18" s="205" t="n"/>
      <c r="I18" s="205" t="n"/>
      <c r="J18" s="205" t="n"/>
      <c r="K18" s="205" t="n"/>
      <c r="L18" s="205" t="n"/>
      <c r="M18" s="205" t="n"/>
      <c r="N18" s="205" t="inlineStr">
        <is>
          <t>●</t>
        </is>
      </c>
      <c r="O18" s="206" t="inlineStr">
        <is>
          <t>●</t>
        </is>
      </c>
      <c r="P18" s="207" t="n"/>
      <c r="Q18" s="205" t="n"/>
      <c r="R18" s="205" t="n"/>
      <c r="S18" s="207" t="n"/>
      <c r="T18" s="205" t="n"/>
      <c r="U18" s="205" t="n"/>
      <c r="V18" s="205" t="n"/>
      <c r="W18" s="205" t="n"/>
      <c r="X18" s="205" t="n"/>
      <c r="Y18" s="205" t="n"/>
      <c r="Z18" s="205" t="n"/>
      <c r="AA18" s="205" t="n"/>
      <c r="AB18" s="205" t="n"/>
      <c r="AC18" s="207" t="n"/>
      <c r="AD18" s="205" t="n"/>
      <c r="AE18" s="205" t="n"/>
      <c r="AF18" s="205" t="n"/>
      <c r="AG18" s="205" t="n"/>
      <c r="AH18" s="207" t="n"/>
      <c r="AI18" s="205" t="n"/>
      <c r="AJ18" s="205" t="n"/>
      <c r="AK18" s="205" t="n"/>
      <c r="AL18" s="205" t="n"/>
      <c r="AM18" s="205" t="n"/>
      <c r="AN18" s="205" t="n"/>
      <c r="AO18" s="205" t="n"/>
      <c r="AP18" s="205" t="n"/>
      <c r="AQ18" s="205" t="n"/>
      <c r="AR18" s="207" t="n"/>
      <c r="AS18" s="205" t="n"/>
      <c r="AT18" s="205" t="n"/>
      <c r="AU18" s="208" t="n"/>
      <c r="AV18" s="205" t="n"/>
      <c r="AW18" s="205" t="n"/>
      <c r="AX18" s="207" t="n"/>
      <c r="AY18" s="205" t="n"/>
      <c r="AZ18" s="205" t="n"/>
      <c r="BA18" s="205" t="n"/>
      <c r="BB18" s="205" t="n"/>
      <c r="BC18" s="205" t="n"/>
      <c r="BD18" s="205" t="n"/>
      <c r="BE18" s="205" t="n"/>
      <c r="BF18" s="205" t="n"/>
      <c r="BG18" s="205" t="n"/>
      <c r="BH18" s="205" t="n"/>
      <c r="BI18" s="205" t="n"/>
      <c r="BJ18" s="205" t="n"/>
      <c r="BK18" s="205" t="n"/>
      <c r="BL18" s="207" t="n"/>
      <c r="BM18" s="205" t="n"/>
      <c r="BN18" s="205" t="n"/>
      <c r="BO18" s="205" t="n"/>
      <c r="BP18" s="205" t="n"/>
      <c r="BQ18" s="205" t="n"/>
      <c r="BR18" s="205" t="n"/>
      <c r="BS18" s="205" t="n"/>
      <c r="BT18" s="205" t="n"/>
      <c r="BU18" s="205" t="n"/>
      <c r="BV18" s="205" t="n"/>
      <c r="BW18" s="208" t="n"/>
      <c r="BX18" s="204" t="n"/>
      <c r="BY18" s="205" t="n"/>
      <c r="BZ18" s="205" t="n"/>
      <c r="CA18" s="205" t="n"/>
      <c r="CB18" s="206" t="n"/>
      <c r="CC18" s="207" t="inlineStr">
        <is>
          <t>●</t>
        </is>
      </c>
      <c r="CD18" s="205" t="n"/>
      <c r="CE18" s="205" t="inlineStr">
        <is>
          <t>●</t>
        </is>
      </c>
      <c r="CF18" s="206" t="n"/>
      <c r="CG18" s="160" t="n"/>
    </row>
    <row r="19">
      <c r="A19" s="160" t="n"/>
      <c r="B19" s="202" t="n"/>
      <c r="C19" s="203" t="inlineStr">
        <is>
          <t>20A</t>
        </is>
      </c>
      <c r="D19" s="204" t="n"/>
      <c r="E19" s="205" t="n"/>
      <c r="F19" s="205" t="n"/>
      <c r="G19" s="205" t="n"/>
      <c r="H19" s="205" t="n"/>
      <c r="I19" s="205" t="n"/>
      <c r="J19" s="205" t="inlineStr">
        <is>
          <t>●</t>
        </is>
      </c>
      <c r="K19" s="205" t="inlineStr">
        <is>
          <t>●</t>
        </is>
      </c>
      <c r="L19" s="205" t="inlineStr">
        <is>
          <t>●</t>
        </is>
      </c>
      <c r="M19" s="205" t="inlineStr">
        <is>
          <t>●</t>
        </is>
      </c>
      <c r="N19" s="205" t="n"/>
      <c r="O19" s="206" t="n"/>
      <c r="P19" s="207" t="n"/>
      <c r="Q19" s="205" t="n"/>
      <c r="R19" s="205" t="n"/>
      <c r="S19" s="207" t="n"/>
      <c r="T19" s="205" t="n"/>
      <c r="U19" s="205" t="n"/>
      <c r="V19" s="205" t="n"/>
      <c r="W19" s="205" t="n"/>
      <c r="X19" s="205" t="n"/>
      <c r="Y19" s="205" t="n"/>
      <c r="Z19" s="205" t="n"/>
      <c r="AA19" s="205" t="n"/>
      <c r="AB19" s="205" t="n"/>
      <c r="AC19" s="207" t="n"/>
      <c r="AD19" s="205" t="n"/>
      <c r="AE19" s="205" t="n"/>
      <c r="AF19" s="205" t="n"/>
      <c r="AG19" s="205" t="n"/>
      <c r="AH19" s="207" t="n"/>
      <c r="AI19" s="205" t="n"/>
      <c r="AJ19" s="205" t="n"/>
      <c r="AK19" s="205" t="n"/>
      <c r="AL19" s="205" t="n"/>
      <c r="AM19" s="205" t="n"/>
      <c r="AN19" s="205" t="n"/>
      <c r="AO19" s="205" t="n"/>
      <c r="AP19" s="205" t="n"/>
      <c r="AQ19" s="205" t="n"/>
      <c r="AR19" s="207" t="n"/>
      <c r="AS19" s="205" t="n"/>
      <c r="AT19" s="205" t="n"/>
      <c r="AU19" s="208" t="n"/>
      <c r="AV19" s="205" t="n"/>
      <c r="AW19" s="205" t="n"/>
      <c r="AX19" s="207" t="n"/>
      <c r="AY19" s="205" t="n"/>
      <c r="AZ19" s="205" t="n"/>
      <c r="BA19" s="205" t="n"/>
      <c r="BB19" s="205" t="n"/>
      <c r="BC19" s="205" t="n"/>
      <c r="BD19" s="205" t="n"/>
      <c r="BE19" s="205" t="n"/>
      <c r="BF19" s="205" t="n"/>
      <c r="BG19" s="205" t="n"/>
      <c r="BH19" s="205" t="n"/>
      <c r="BI19" s="205" t="n"/>
      <c r="BJ19" s="205" t="n"/>
      <c r="BK19" s="205" t="n"/>
      <c r="BL19" s="207" t="n"/>
      <c r="BM19" s="205" t="n"/>
      <c r="BN19" s="205" t="n"/>
      <c r="BO19" s="205" t="n"/>
      <c r="BP19" s="205" t="n"/>
      <c r="BQ19" s="205" t="n"/>
      <c r="BR19" s="205" t="n"/>
      <c r="BS19" s="205" t="n"/>
      <c r="BT19" s="205" t="n"/>
      <c r="BU19" s="205" t="n"/>
      <c r="BV19" s="205" t="n"/>
      <c r="BW19" s="208" t="n"/>
      <c r="BX19" s="204" t="n"/>
      <c r="BY19" s="205" t="n"/>
      <c r="BZ19" s="205" t="n"/>
      <c r="CA19" s="205" t="n"/>
      <c r="CB19" s="206" t="n"/>
      <c r="CC19" s="207" t="n"/>
      <c r="CD19" s="205" t="n"/>
      <c r="CE19" s="205" t="n"/>
      <c r="CF19" s="206" t="n"/>
      <c r="CG19" s="160" t="n"/>
    </row>
    <row r="20">
      <c r="A20" s="160" t="n"/>
      <c r="B20" s="202" t="n"/>
      <c r="C20" s="203" t="inlineStr">
        <is>
          <t>21A</t>
        </is>
      </c>
      <c r="D20" s="204" t="n"/>
      <c r="E20" s="205" t="n"/>
      <c r="F20" s="205" t="n"/>
      <c r="G20" s="205" t="n"/>
      <c r="H20" s="205" t="n"/>
      <c r="I20" s="205" t="n"/>
      <c r="J20" s="205" t="inlineStr">
        <is>
          <t>●</t>
        </is>
      </c>
      <c r="K20" s="205" t="inlineStr">
        <is>
          <t>●</t>
        </is>
      </c>
      <c r="L20" s="205" t="inlineStr">
        <is>
          <t>●</t>
        </is>
      </c>
      <c r="M20" s="205" t="inlineStr">
        <is>
          <t>●</t>
        </is>
      </c>
      <c r="N20" s="205" t="n"/>
      <c r="O20" s="206" t="n"/>
      <c r="P20" s="207" t="n"/>
      <c r="Q20" s="205" t="n"/>
      <c r="R20" s="205" t="n"/>
      <c r="S20" s="207" t="n"/>
      <c r="T20" s="205" t="n"/>
      <c r="U20" s="205" t="n"/>
      <c r="V20" s="205" t="n"/>
      <c r="W20" s="205" t="n"/>
      <c r="X20" s="205" t="n"/>
      <c r="Y20" s="205" t="n"/>
      <c r="Z20" s="205" t="n"/>
      <c r="AA20" s="205" t="n"/>
      <c r="AB20" s="205" t="n"/>
      <c r="AC20" s="207" t="n"/>
      <c r="AD20" s="205" t="n"/>
      <c r="AE20" s="205" t="n"/>
      <c r="AF20" s="205" t="n"/>
      <c r="AG20" s="205" t="n"/>
      <c r="AH20" s="207" t="n"/>
      <c r="AI20" s="205" t="n"/>
      <c r="AJ20" s="205" t="n"/>
      <c r="AK20" s="205" t="n"/>
      <c r="AL20" s="205" t="n"/>
      <c r="AM20" s="205" t="n"/>
      <c r="AN20" s="205" t="n"/>
      <c r="AO20" s="205" t="n"/>
      <c r="AP20" s="205" t="n"/>
      <c r="AQ20" s="205" t="n"/>
      <c r="AR20" s="207" t="n"/>
      <c r="AS20" s="205" t="n"/>
      <c r="AT20" s="205" t="n"/>
      <c r="AU20" s="208" t="n"/>
      <c r="AV20" s="205" t="n"/>
      <c r="AW20" s="205" t="n"/>
      <c r="AX20" s="207" t="n"/>
      <c r="AY20" s="205" t="n"/>
      <c r="AZ20" s="205" t="n"/>
      <c r="BA20" s="205" t="n"/>
      <c r="BB20" s="205" t="n"/>
      <c r="BC20" s="205" t="n"/>
      <c r="BD20" s="205" t="n"/>
      <c r="BE20" s="205" t="n"/>
      <c r="BF20" s="205" t="n"/>
      <c r="BG20" s="205" t="n"/>
      <c r="BH20" s="205" t="n"/>
      <c r="BI20" s="205" t="n"/>
      <c r="BJ20" s="205" t="n"/>
      <c r="BK20" s="205" t="n"/>
      <c r="BL20" s="207" t="n"/>
      <c r="BM20" s="205" t="n"/>
      <c r="BN20" s="205" t="n"/>
      <c r="BO20" s="205" t="n"/>
      <c r="BP20" s="205" t="n"/>
      <c r="BQ20" s="205" t="n"/>
      <c r="BR20" s="205" t="n"/>
      <c r="BS20" s="205" t="n"/>
      <c r="BT20" s="205" t="n"/>
      <c r="BU20" s="205" t="n"/>
      <c r="BV20" s="205" t="n"/>
      <c r="BW20" s="208" t="n"/>
      <c r="BX20" s="204" t="n"/>
      <c r="BY20" s="205" t="n"/>
      <c r="BZ20" s="205" t="n"/>
      <c r="CA20" s="205" t="n"/>
      <c r="CB20" s="206" t="n"/>
      <c r="CC20" s="207" t="inlineStr">
        <is>
          <t>●</t>
        </is>
      </c>
      <c r="CD20" s="205" t="n"/>
      <c r="CE20" s="205" t="n"/>
      <c r="CF20" s="206" t="n"/>
      <c r="CG20" s="160" t="n"/>
    </row>
    <row r="21">
      <c r="A21" s="160" t="n"/>
      <c r="B21" s="202" t="n"/>
      <c r="C21" s="203" t="inlineStr">
        <is>
          <t>22A</t>
        </is>
      </c>
      <c r="D21" s="204" t="n"/>
      <c r="E21" s="205" t="n"/>
      <c r="F21" s="205" t="n"/>
      <c r="G21" s="205" t="n"/>
      <c r="H21" s="205" t="n"/>
      <c r="I21" s="205" t="n"/>
      <c r="J21" s="205" t="inlineStr">
        <is>
          <t>●</t>
        </is>
      </c>
      <c r="K21" s="205" t="inlineStr">
        <is>
          <t>●</t>
        </is>
      </c>
      <c r="L21" s="205" t="inlineStr">
        <is>
          <t>●</t>
        </is>
      </c>
      <c r="M21" s="205" t="inlineStr">
        <is>
          <t>●</t>
        </is>
      </c>
      <c r="N21" s="205" t="n"/>
      <c r="O21" s="206" t="inlineStr">
        <is>
          <t>●</t>
        </is>
      </c>
      <c r="P21" s="207" t="n"/>
      <c r="Q21" s="205" t="n"/>
      <c r="R21" s="205" t="n"/>
      <c r="S21" s="207" t="n"/>
      <c r="T21" s="205" t="n"/>
      <c r="U21" s="205" t="n"/>
      <c r="V21" s="205" t="n"/>
      <c r="W21" s="205" t="n"/>
      <c r="X21" s="205" t="n"/>
      <c r="Y21" s="205" t="n"/>
      <c r="Z21" s="205" t="n"/>
      <c r="AA21" s="205" t="n"/>
      <c r="AB21" s="205" t="n"/>
      <c r="AC21" s="207" t="n"/>
      <c r="AD21" s="205" t="n"/>
      <c r="AE21" s="205" t="n"/>
      <c r="AF21" s="205" t="n"/>
      <c r="AG21" s="205" t="n"/>
      <c r="AH21" s="207" t="n"/>
      <c r="AI21" s="205" t="n"/>
      <c r="AJ21" s="205" t="n"/>
      <c r="AK21" s="205" t="n"/>
      <c r="AL21" s="205" t="n"/>
      <c r="AM21" s="205" t="n"/>
      <c r="AN21" s="205" t="n"/>
      <c r="AO21" s="205" t="n"/>
      <c r="AP21" s="205" t="n"/>
      <c r="AQ21" s="205" t="n"/>
      <c r="AR21" s="207" t="n"/>
      <c r="AS21" s="205" t="n"/>
      <c r="AT21" s="205" t="n"/>
      <c r="AU21" s="208" t="n"/>
      <c r="AV21" s="205" t="n"/>
      <c r="AW21" s="205" t="n"/>
      <c r="AX21" s="207" t="n"/>
      <c r="AY21" s="205" t="n"/>
      <c r="AZ21" s="205" t="n"/>
      <c r="BA21" s="205" t="n"/>
      <c r="BB21" s="205" t="n"/>
      <c r="BC21" s="205" t="n"/>
      <c r="BD21" s="205" t="n"/>
      <c r="BE21" s="205" t="n"/>
      <c r="BF21" s="205" t="n"/>
      <c r="BG21" s="205" t="n"/>
      <c r="BH21" s="205" t="n"/>
      <c r="BI21" s="205" t="n"/>
      <c r="BJ21" s="205" t="n"/>
      <c r="BK21" s="205" t="n"/>
      <c r="BL21" s="207" t="n"/>
      <c r="BM21" s="205" t="n"/>
      <c r="BN21" s="205" t="n"/>
      <c r="BO21" s="205" t="n"/>
      <c r="BP21" s="205" t="n"/>
      <c r="BQ21" s="205" t="n"/>
      <c r="BR21" s="205" t="n"/>
      <c r="BS21" s="205" t="n"/>
      <c r="BT21" s="205" t="n"/>
      <c r="BU21" s="205" t="n"/>
      <c r="BV21" s="205" t="n"/>
      <c r="BW21" s="208" t="n"/>
      <c r="BX21" s="204" t="n"/>
      <c r="BY21" s="205" t="n"/>
      <c r="BZ21" s="205" t="n"/>
      <c r="CA21" s="205" t="n"/>
      <c r="CB21" s="206" t="n"/>
      <c r="CC21" s="207" t="n"/>
      <c r="CD21" s="205" t="n"/>
      <c r="CE21" s="205" t="n"/>
      <c r="CF21" s="206" t="n"/>
      <c r="CG21" s="160" t="n"/>
    </row>
    <row r="22">
      <c r="A22" s="160" t="n"/>
      <c r="B22" s="202" t="n"/>
      <c r="C22" s="203" t="inlineStr">
        <is>
          <t>23A</t>
        </is>
      </c>
      <c r="D22" s="204" t="n"/>
      <c r="E22" s="205" t="n"/>
      <c r="F22" s="205" t="n"/>
      <c r="G22" s="205" t="n"/>
      <c r="H22" s="205" t="n"/>
      <c r="I22" s="205" t="n"/>
      <c r="J22" s="205" t="inlineStr">
        <is>
          <t>●</t>
        </is>
      </c>
      <c r="K22" s="205" t="inlineStr">
        <is>
          <t>●</t>
        </is>
      </c>
      <c r="L22" s="205" t="inlineStr">
        <is>
          <t>●</t>
        </is>
      </c>
      <c r="M22" s="205" t="inlineStr">
        <is>
          <t>●</t>
        </is>
      </c>
      <c r="N22" s="205" t="n"/>
      <c r="O22" s="206" t="inlineStr">
        <is>
          <t>●</t>
        </is>
      </c>
      <c r="P22" s="207" t="n"/>
      <c r="Q22" s="205" t="n"/>
      <c r="R22" s="205" t="n"/>
      <c r="S22" s="207" t="n"/>
      <c r="T22" s="205" t="n"/>
      <c r="U22" s="205" t="n"/>
      <c r="V22" s="205" t="n"/>
      <c r="W22" s="205" t="n"/>
      <c r="X22" s="205" t="n"/>
      <c r="Y22" s="205" t="n"/>
      <c r="Z22" s="205" t="n"/>
      <c r="AA22" s="205" t="n"/>
      <c r="AB22" s="205" t="n"/>
      <c r="AC22" s="207" t="n"/>
      <c r="AD22" s="205" t="n"/>
      <c r="AE22" s="205" t="n"/>
      <c r="AF22" s="205" t="n"/>
      <c r="AG22" s="205" t="n"/>
      <c r="AH22" s="207" t="n"/>
      <c r="AI22" s="205" t="n"/>
      <c r="AJ22" s="205" t="n"/>
      <c r="AK22" s="205" t="n"/>
      <c r="AL22" s="205" t="n"/>
      <c r="AM22" s="205" t="n"/>
      <c r="AN22" s="205" t="n"/>
      <c r="AO22" s="205" t="n"/>
      <c r="AP22" s="205" t="n"/>
      <c r="AQ22" s="205" t="n"/>
      <c r="AR22" s="207" t="n"/>
      <c r="AS22" s="205" t="n"/>
      <c r="AT22" s="205" t="n"/>
      <c r="AU22" s="208" t="n"/>
      <c r="AV22" s="205" t="n"/>
      <c r="AW22" s="205" t="n"/>
      <c r="AX22" s="207" t="n"/>
      <c r="AY22" s="205" t="n"/>
      <c r="AZ22" s="205" t="n"/>
      <c r="BA22" s="205" t="n"/>
      <c r="BB22" s="205" t="n"/>
      <c r="BC22" s="205" t="n"/>
      <c r="BD22" s="205" t="n"/>
      <c r="BE22" s="205" t="n"/>
      <c r="BF22" s="205" t="n"/>
      <c r="BG22" s="205" t="n"/>
      <c r="BH22" s="205" t="n"/>
      <c r="BI22" s="205" t="n"/>
      <c r="BJ22" s="205" t="n"/>
      <c r="BK22" s="205" t="n"/>
      <c r="BL22" s="207" t="n"/>
      <c r="BM22" s="205" t="n"/>
      <c r="BN22" s="205" t="n"/>
      <c r="BO22" s="205" t="n"/>
      <c r="BP22" s="205" t="n"/>
      <c r="BQ22" s="205" t="n"/>
      <c r="BR22" s="205" t="n"/>
      <c r="BS22" s="205" t="n"/>
      <c r="BT22" s="205" t="n"/>
      <c r="BU22" s="205" t="n"/>
      <c r="BV22" s="205" t="n"/>
      <c r="BW22" s="208" t="n"/>
      <c r="BX22" s="204" t="n"/>
      <c r="BY22" s="205" t="n"/>
      <c r="BZ22" s="205" t="n"/>
      <c r="CA22" s="205" t="n"/>
      <c r="CB22" s="206" t="n"/>
      <c r="CC22" s="207" t="inlineStr">
        <is>
          <t>●</t>
        </is>
      </c>
      <c r="CD22" s="205" t="n"/>
      <c r="CE22" s="205" t="n"/>
      <c r="CF22" s="206" t="n"/>
      <c r="CG22" s="160" t="n"/>
    </row>
    <row r="23">
      <c r="A23" s="160" t="n"/>
      <c r="B23" s="202" t="n"/>
      <c r="C23" s="203" t="inlineStr">
        <is>
          <t>24A</t>
        </is>
      </c>
      <c r="D23" s="204" t="n"/>
      <c r="E23" s="205" t="n"/>
      <c r="F23" s="205" t="n"/>
      <c r="G23" s="205" t="n"/>
      <c r="H23" s="205" t="n"/>
      <c r="I23" s="205" t="n"/>
      <c r="J23" s="205" t="inlineStr">
        <is>
          <t>●</t>
        </is>
      </c>
      <c r="K23" s="205" t="inlineStr">
        <is>
          <t>●</t>
        </is>
      </c>
      <c r="L23" s="205" t="inlineStr">
        <is>
          <t>●</t>
        </is>
      </c>
      <c r="M23" s="205" t="inlineStr">
        <is>
          <t>●</t>
        </is>
      </c>
      <c r="N23" s="205" t="n"/>
      <c r="O23" s="206" t="n"/>
      <c r="P23" s="207" t="n"/>
      <c r="Q23" s="205" t="n"/>
      <c r="R23" s="205" t="n"/>
      <c r="S23" s="207" t="n"/>
      <c r="T23" s="205" t="n"/>
      <c r="U23" s="205" t="n"/>
      <c r="V23" s="205" t="n"/>
      <c r="W23" s="205" t="n"/>
      <c r="X23" s="205" t="n"/>
      <c r="Y23" s="205" t="n"/>
      <c r="Z23" s="205" t="n"/>
      <c r="AA23" s="205" t="n"/>
      <c r="AB23" s="205" t="n"/>
      <c r="AC23" s="207" t="n"/>
      <c r="AD23" s="205" t="n"/>
      <c r="AE23" s="205" t="n"/>
      <c r="AF23" s="205" t="n"/>
      <c r="AG23" s="205" t="n"/>
      <c r="AH23" s="207" t="n"/>
      <c r="AI23" s="205" t="n"/>
      <c r="AJ23" s="205" t="n"/>
      <c r="AK23" s="205" t="n"/>
      <c r="AL23" s="205" t="n"/>
      <c r="AM23" s="205" t="n"/>
      <c r="AN23" s="205" t="n"/>
      <c r="AO23" s="205" t="n"/>
      <c r="AP23" s="205" t="n"/>
      <c r="AQ23" s="205" t="n"/>
      <c r="AR23" s="207" t="n"/>
      <c r="AS23" s="205" t="n"/>
      <c r="AT23" s="205" t="n"/>
      <c r="AU23" s="208" t="n"/>
      <c r="AV23" s="205" t="n"/>
      <c r="AW23" s="205" t="n"/>
      <c r="AX23" s="207" t="n"/>
      <c r="AY23" s="205" t="n"/>
      <c r="AZ23" s="205" t="n"/>
      <c r="BA23" s="205" t="n"/>
      <c r="BB23" s="205" t="n"/>
      <c r="BC23" s="205" t="n"/>
      <c r="BD23" s="205" t="n"/>
      <c r="BE23" s="205" t="n"/>
      <c r="BF23" s="205" t="n"/>
      <c r="BG23" s="205" t="n"/>
      <c r="BH23" s="205" t="n"/>
      <c r="BI23" s="205" t="n"/>
      <c r="BJ23" s="205" t="n"/>
      <c r="BK23" s="205" t="n"/>
      <c r="BL23" s="207" t="n"/>
      <c r="BM23" s="205" t="n"/>
      <c r="BN23" s="205" t="n"/>
      <c r="BO23" s="205" t="n"/>
      <c r="BP23" s="205" t="n"/>
      <c r="BQ23" s="205" t="n"/>
      <c r="BR23" s="205" t="n"/>
      <c r="BS23" s="205" t="n"/>
      <c r="BT23" s="205" t="n"/>
      <c r="BU23" s="205" t="n"/>
      <c r="BV23" s="205" t="n"/>
      <c r="BW23" s="208" t="n"/>
      <c r="BX23" s="204" t="n"/>
      <c r="BY23" s="205" t="n"/>
      <c r="BZ23" s="205" t="n"/>
      <c r="CA23" s="205" t="n"/>
      <c r="CB23" s="206" t="n"/>
      <c r="CC23" s="207" t="inlineStr">
        <is>
          <t>●</t>
        </is>
      </c>
      <c r="CD23" s="205" t="n"/>
      <c r="CE23" s="205" t="inlineStr">
        <is>
          <t>●</t>
        </is>
      </c>
      <c r="CF23" s="206" t="n"/>
      <c r="CG23" s="160" t="n"/>
    </row>
    <row r="24">
      <c r="A24" s="160" t="n"/>
      <c r="B24" s="202" t="n"/>
      <c r="C24" s="203" t="inlineStr">
        <is>
          <t>25A</t>
        </is>
      </c>
      <c r="D24" s="204" t="n"/>
      <c r="E24" s="205" t="n"/>
      <c r="F24" s="205" t="n"/>
      <c r="G24" s="205" t="n"/>
      <c r="H24" s="205" t="n"/>
      <c r="I24" s="205" t="n"/>
      <c r="J24" s="205" t="inlineStr">
        <is>
          <t>●</t>
        </is>
      </c>
      <c r="K24" s="205" t="inlineStr">
        <is>
          <t>●</t>
        </is>
      </c>
      <c r="L24" s="205" t="inlineStr">
        <is>
          <t>●</t>
        </is>
      </c>
      <c r="M24" s="205" t="inlineStr">
        <is>
          <t>●</t>
        </is>
      </c>
      <c r="N24" s="205" t="n"/>
      <c r="O24" s="206" t="n"/>
      <c r="P24" s="207" t="n"/>
      <c r="Q24" s="205" t="n"/>
      <c r="R24" s="205" t="n"/>
      <c r="S24" s="207" t="n"/>
      <c r="T24" s="205" t="n"/>
      <c r="U24" s="205" t="n"/>
      <c r="V24" s="205" t="n"/>
      <c r="W24" s="205" t="n"/>
      <c r="X24" s="205" t="n"/>
      <c r="Y24" s="205" t="n"/>
      <c r="Z24" s="205" t="n"/>
      <c r="AA24" s="205" t="n"/>
      <c r="AB24" s="205" t="n"/>
      <c r="AC24" s="207" t="n"/>
      <c r="AD24" s="205" t="n"/>
      <c r="AE24" s="205" t="n"/>
      <c r="AF24" s="205" t="n"/>
      <c r="AG24" s="205" t="n"/>
      <c r="AH24" s="207" t="n"/>
      <c r="AI24" s="205" t="n"/>
      <c r="AJ24" s="205" t="n"/>
      <c r="AK24" s="205" t="n"/>
      <c r="AL24" s="205" t="n"/>
      <c r="AM24" s="205" t="n"/>
      <c r="AN24" s="205" t="n"/>
      <c r="AO24" s="205" t="n"/>
      <c r="AP24" s="205" t="n"/>
      <c r="AQ24" s="205" t="n"/>
      <c r="AR24" s="207" t="n"/>
      <c r="AS24" s="205" t="n"/>
      <c r="AT24" s="205" t="n"/>
      <c r="AU24" s="208" t="n"/>
      <c r="AV24" s="205" t="n"/>
      <c r="AW24" s="205" t="n"/>
      <c r="AX24" s="207" t="n"/>
      <c r="AY24" s="205" t="n"/>
      <c r="AZ24" s="205" t="n"/>
      <c r="BA24" s="205" t="n"/>
      <c r="BB24" s="205" t="n"/>
      <c r="BC24" s="205" t="n"/>
      <c r="BD24" s="205" t="n"/>
      <c r="BE24" s="205" t="n"/>
      <c r="BF24" s="205" t="n"/>
      <c r="BG24" s="205" t="n"/>
      <c r="BH24" s="205" t="n"/>
      <c r="BI24" s="205" t="n"/>
      <c r="BJ24" s="205" t="n"/>
      <c r="BK24" s="205" t="n"/>
      <c r="BL24" s="207" t="n"/>
      <c r="BM24" s="205" t="n"/>
      <c r="BN24" s="205" t="n"/>
      <c r="BO24" s="205" t="n"/>
      <c r="BP24" s="205" t="n"/>
      <c r="BQ24" s="205" t="n"/>
      <c r="BR24" s="205" t="n"/>
      <c r="BS24" s="205" t="n"/>
      <c r="BT24" s="205" t="n"/>
      <c r="BU24" s="205" t="n"/>
      <c r="BV24" s="205" t="n"/>
      <c r="BW24" s="208" t="n"/>
      <c r="BX24" s="204" t="n"/>
      <c r="BY24" s="205" t="n"/>
      <c r="BZ24" s="205" t="n"/>
      <c r="CA24" s="205" t="n"/>
      <c r="CB24" s="206" t="n"/>
      <c r="CC24" s="207" t="inlineStr">
        <is>
          <t>●</t>
        </is>
      </c>
      <c r="CD24" s="205" t="n"/>
      <c r="CE24" s="205" t="inlineStr">
        <is>
          <t>●</t>
        </is>
      </c>
      <c r="CF24" s="206" t="n"/>
      <c r="CG24" s="160" t="n"/>
    </row>
    <row r="25">
      <c r="A25" s="160" t="n"/>
      <c r="B25" s="202" t="n"/>
      <c r="C25" s="203" t="inlineStr">
        <is>
          <t>26A</t>
        </is>
      </c>
      <c r="D25" s="204" t="n"/>
      <c r="E25" s="205" t="n"/>
      <c r="F25" s="205" t="n"/>
      <c r="G25" s="205" t="n"/>
      <c r="H25" s="205" t="n"/>
      <c r="I25" s="205" t="n"/>
      <c r="J25" s="205" t="inlineStr">
        <is>
          <t>●</t>
        </is>
      </c>
      <c r="K25" s="205" t="inlineStr">
        <is>
          <t>●</t>
        </is>
      </c>
      <c r="L25" s="205" t="inlineStr">
        <is>
          <t>●</t>
        </is>
      </c>
      <c r="M25" s="205" t="inlineStr">
        <is>
          <t>●</t>
        </is>
      </c>
      <c r="N25" s="205" t="n"/>
      <c r="O25" s="206" t="inlineStr">
        <is>
          <t>●</t>
        </is>
      </c>
      <c r="P25" s="207" t="n"/>
      <c r="Q25" s="205" t="n"/>
      <c r="R25" s="205" t="n"/>
      <c r="S25" s="207" t="n"/>
      <c r="T25" s="205" t="n"/>
      <c r="U25" s="205" t="n"/>
      <c r="V25" s="205" t="n"/>
      <c r="W25" s="205" t="n"/>
      <c r="X25" s="205" t="n"/>
      <c r="Y25" s="205" t="n"/>
      <c r="Z25" s="205" t="n"/>
      <c r="AA25" s="205" t="n"/>
      <c r="AB25" s="205" t="n"/>
      <c r="AC25" s="207" t="n"/>
      <c r="AD25" s="205" t="n"/>
      <c r="AE25" s="205" t="n"/>
      <c r="AF25" s="205" t="n"/>
      <c r="AG25" s="205" t="n"/>
      <c r="AH25" s="207" t="n"/>
      <c r="AI25" s="205" t="n"/>
      <c r="AJ25" s="205" t="n"/>
      <c r="AK25" s="205" t="n"/>
      <c r="AL25" s="205" t="n"/>
      <c r="AM25" s="205" t="n"/>
      <c r="AN25" s="205" t="n"/>
      <c r="AO25" s="205" t="n"/>
      <c r="AP25" s="205" t="n"/>
      <c r="AQ25" s="205" t="n"/>
      <c r="AR25" s="207" t="n"/>
      <c r="AS25" s="205" t="n"/>
      <c r="AT25" s="205" t="n"/>
      <c r="AU25" s="208" t="n"/>
      <c r="AV25" s="205" t="n"/>
      <c r="AW25" s="205" t="n"/>
      <c r="AX25" s="207" t="n"/>
      <c r="AY25" s="205" t="n"/>
      <c r="AZ25" s="205" t="n"/>
      <c r="BA25" s="205" t="n"/>
      <c r="BB25" s="205" t="n"/>
      <c r="BC25" s="205" t="n"/>
      <c r="BD25" s="205" t="n"/>
      <c r="BE25" s="205" t="n"/>
      <c r="BF25" s="205" t="n"/>
      <c r="BG25" s="205" t="n"/>
      <c r="BH25" s="205" t="n"/>
      <c r="BI25" s="205" t="n"/>
      <c r="BJ25" s="205" t="n"/>
      <c r="BK25" s="205" t="n"/>
      <c r="BL25" s="207" t="n"/>
      <c r="BM25" s="205" t="n"/>
      <c r="BN25" s="205" t="n"/>
      <c r="BO25" s="205" t="n"/>
      <c r="BP25" s="205" t="n"/>
      <c r="BQ25" s="205" t="n"/>
      <c r="BR25" s="205" t="n"/>
      <c r="BS25" s="205" t="n"/>
      <c r="BT25" s="205" t="n"/>
      <c r="BU25" s="205" t="n"/>
      <c r="BV25" s="205" t="n"/>
      <c r="BW25" s="208" t="n"/>
      <c r="BX25" s="204" t="n"/>
      <c r="BY25" s="205" t="n"/>
      <c r="BZ25" s="205" t="n"/>
      <c r="CA25" s="205" t="n"/>
      <c r="CB25" s="206" t="n"/>
      <c r="CC25" s="207" t="inlineStr">
        <is>
          <t>●</t>
        </is>
      </c>
      <c r="CD25" s="205" t="n"/>
      <c r="CE25" s="205" t="inlineStr">
        <is>
          <t>●</t>
        </is>
      </c>
      <c r="CF25" s="206" t="n"/>
      <c r="CG25" s="160" t="n"/>
    </row>
    <row r="26">
      <c r="A26" s="160" t="n"/>
      <c r="B26" s="202" t="n"/>
      <c r="C26" s="203" t="inlineStr">
        <is>
          <t>27A</t>
        </is>
      </c>
      <c r="D26" s="204" t="n"/>
      <c r="E26" s="205" t="n"/>
      <c r="F26" s="205" t="n"/>
      <c r="G26" s="205" t="n"/>
      <c r="H26" s="205" t="n"/>
      <c r="I26" s="205" t="n"/>
      <c r="J26" s="205" t="inlineStr">
        <is>
          <t>●</t>
        </is>
      </c>
      <c r="K26" s="205" t="inlineStr">
        <is>
          <t>●</t>
        </is>
      </c>
      <c r="L26" s="205" t="inlineStr">
        <is>
          <t>●</t>
        </is>
      </c>
      <c r="M26" s="205" t="inlineStr">
        <is>
          <t>●</t>
        </is>
      </c>
      <c r="N26" s="205" t="n"/>
      <c r="O26" s="206" t="inlineStr">
        <is>
          <t>●</t>
        </is>
      </c>
      <c r="P26" s="207" t="n"/>
      <c r="Q26" s="205" t="n"/>
      <c r="R26" s="205" t="n"/>
      <c r="S26" s="207" t="n"/>
      <c r="T26" s="205" t="n"/>
      <c r="U26" s="205" t="n"/>
      <c r="V26" s="205" t="n"/>
      <c r="W26" s="205" t="n"/>
      <c r="X26" s="205" t="n"/>
      <c r="Y26" s="205" t="n"/>
      <c r="Z26" s="205" t="n"/>
      <c r="AA26" s="205" t="n"/>
      <c r="AB26" s="205" t="n"/>
      <c r="AC26" s="207" t="n"/>
      <c r="AD26" s="205" t="n"/>
      <c r="AE26" s="205" t="n"/>
      <c r="AF26" s="205" t="n"/>
      <c r="AG26" s="205" t="n"/>
      <c r="AH26" s="207" t="n"/>
      <c r="AI26" s="205" t="n"/>
      <c r="AJ26" s="205" t="n"/>
      <c r="AK26" s="205" t="n"/>
      <c r="AL26" s="205" t="n"/>
      <c r="AM26" s="205" t="n"/>
      <c r="AN26" s="205" t="n"/>
      <c r="AO26" s="205" t="n"/>
      <c r="AP26" s="205" t="n"/>
      <c r="AQ26" s="205" t="n"/>
      <c r="AR26" s="207" t="n"/>
      <c r="AS26" s="205" t="n"/>
      <c r="AT26" s="205" t="n"/>
      <c r="AU26" s="208" t="n"/>
      <c r="AV26" s="205" t="n"/>
      <c r="AW26" s="205" t="n"/>
      <c r="AX26" s="207" t="n"/>
      <c r="AY26" s="205" t="n"/>
      <c r="AZ26" s="205" t="n"/>
      <c r="BA26" s="205" t="n"/>
      <c r="BB26" s="205" t="n"/>
      <c r="BC26" s="205" t="n"/>
      <c r="BD26" s="205" t="n"/>
      <c r="BE26" s="205" t="n"/>
      <c r="BF26" s="205" t="n"/>
      <c r="BG26" s="205" t="n"/>
      <c r="BH26" s="205" t="n"/>
      <c r="BI26" s="205" t="n"/>
      <c r="BJ26" s="205" t="n"/>
      <c r="BK26" s="205" t="n"/>
      <c r="BL26" s="207" t="n"/>
      <c r="BM26" s="205" t="n"/>
      <c r="BN26" s="205" t="n"/>
      <c r="BO26" s="205" t="n"/>
      <c r="BP26" s="205" t="n"/>
      <c r="BQ26" s="205" t="n"/>
      <c r="BR26" s="205" t="n"/>
      <c r="BS26" s="205" t="n"/>
      <c r="BT26" s="205" t="n"/>
      <c r="BU26" s="205" t="n"/>
      <c r="BV26" s="205" t="n"/>
      <c r="BW26" s="208" t="n"/>
      <c r="BX26" s="204" t="n"/>
      <c r="BY26" s="205" t="n"/>
      <c r="BZ26" s="205" t="n"/>
      <c r="CA26" s="205" t="n"/>
      <c r="CB26" s="206" t="n"/>
      <c r="CC26" s="207" t="inlineStr">
        <is>
          <t>●</t>
        </is>
      </c>
      <c r="CD26" s="205" t="n"/>
      <c r="CE26" s="205" t="inlineStr">
        <is>
          <t>●</t>
        </is>
      </c>
      <c r="CF26" s="206" t="n"/>
      <c r="CG26" s="160" t="n"/>
    </row>
    <row r="27">
      <c r="A27" s="160" t="n"/>
      <c r="B27" s="202" t="n"/>
      <c r="C27" s="203" t="inlineStr">
        <is>
          <t>28A</t>
        </is>
      </c>
      <c r="D27" s="204" t="n"/>
      <c r="E27" s="205" t="n"/>
      <c r="F27" s="205" t="n"/>
      <c r="G27" s="205" t="n"/>
      <c r="H27" s="205" t="n"/>
      <c r="I27" s="205" t="n"/>
      <c r="J27" s="205" t="inlineStr">
        <is>
          <t>●</t>
        </is>
      </c>
      <c r="K27" s="205" t="inlineStr">
        <is>
          <t>●</t>
        </is>
      </c>
      <c r="L27" s="205" t="inlineStr">
        <is>
          <t>●</t>
        </is>
      </c>
      <c r="M27" s="205" t="inlineStr">
        <is>
          <t>●</t>
        </is>
      </c>
      <c r="N27" s="205" t="n"/>
      <c r="O27" s="206" t="inlineStr">
        <is>
          <t>●</t>
        </is>
      </c>
      <c r="P27" s="207" t="n"/>
      <c r="Q27" s="205" t="n"/>
      <c r="R27" s="205" t="n"/>
      <c r="S27" s="207" t="n"/>
      <c r="T27" s="205" t="n"/>
      <c r="U27" s="205" t="n"/>
      <c r="V27" s="205" t="n"/>
      <c r="W27" s="205" t="n"/>
      <c r="X27" s="205" t="n"/>
      <c r="Y27" s="205" t="n"/>
      <c r="Z27" s="205" t="n"/>
      <c r="AA27" s="205" t="n"/>
      <c r="AB27" s="205" t="n"/>
      <c r="AC27" s="207" t="n"/>
      <c r="AD27" s="205" t="n"/>
      <c r="AE27" s="205" t="n"/>
      <c r="AF27" s="205" t="n"/>
      <c r="AG27" s="205" t="n"/>
      <c r="AH27" s="207" t="n"/>
      <c r="AI27" s="205" t="n"/>
      <c r="AJ27" s="205" t="n"/>
      <c r="AK27" s="205" t="n"/>
      <c r="AL27" s="205" t="n"/>
      <c r="AM27" s="205" t="n"/>
      <c r="AN27" s="205" t="n"/>
      <c r="AO27" s="205" t="n"/>
      <c r="AP27" s="205" t="n"/>
      <c r="AQ27" s="205" t="n"/>
      <c r="AR27" s="207" t="n"/>
      <c r="AS27" s="205" t="n"/>
      <c r="AT27" s="205" t="n"/>
      <c r="AU27" s="208" t="n"/>
      <c r="AV27" s="205" t="n"/>
      <c r="AW27" s="205" t="n"/>
      <c r="AX27" s="207" t="n"/>
      <c r="AY27" s="205" t="n"/>
      <c r="AZ27" s="205" t="n"/>
      <c r="BA27" s="205" t="n"/>
      <c r="BB27" s="205" t="n"/>
      <c r="BC27" s="205" t="n"/>
      <c r="BD27" s="205" t="n"/>
      <c r="BE27" s="205" t="n"/>
      <c r="BF27" s="205" t="n"/>
      <c r="BG27" s="205" t="n"/>
      <c r="BH27" s="205" t="n"/>
      <c r="BI27" s="205" t="n"/>
      <c r="BJ27" s="205" t="n"/>
      <c r="BK27" s="205" t="n"/>
      <c r="BL27" s="207" t="n"/>
      <c r="BM27" s="205" t="n"/>
      <c r="BN27" s="205" t="n"/>
      <c r="BO27" s="205" t="n"/>
      <c r="BP27" s="205" t="n"/>
      <c r="BQ27" s="205" t="n"/>
      <c r="BR27" s="205" t="n"/>
      <c r="BS27" s="205" t="n"/>
      <c r="BT27" s="205" t="n"/>
      <c r="BU27" s="205" t="n"/>
      <c r="BV27" s="205" t="n"/>
      <c r="BW27" s="208" t="n"/>
      <c r="BX27" s="204" t="n"/>
      <c r="BY27" s="205" t="n"/>
      <c r="BZ27" s="205" t="n"/>
      <c r="CA27" s="205" t="n"/>
      <c r="CB27" s="206" t="n"/>
      <c r="CC27" s="207" t="inlineStr">
        <is>
          <t>●</t>
        </is>
      </c>
      <c r="CD27" s="205" t="n"/>
      <c r="CE27" s="205" t="inlineStr">
        <is>
          <t>●</t>
        </is>
      </c>
      <c r="CF27" s="206" t="n"/>
      <c r="CG27" s="160" t="n"/>
    </row>
    <row r="28">
      <c r="A28" s="160" t="n"/>
      <c r="B28" s="202" t="n"/>
      <c r="C28" s="203" t="inlineStr">
        <is>
          <t>30A</t>
        </is>
      </c>
      <c r="D28" s="204" t="n"/>
      <c r="E28" s="205" t="n"/>
      <c r="F28" s="205" t="n"/>
      <c r="G28" s="205" t="n"/>
      <c r="H28" s="205" t="n"/>
      <c r="I28" s="205" t="n"/>
      <c r="J28" s="205" t="inlineStr">
        <is>
          <t>●</t>
        </is>
      </c>
      <c r="K28" s="205" t="inlineStr">
        <is>
          <t>●</t>
        </is>
      </c>
      <c r="L28" s="205" t="inlineStr">
        <is>
          <t>●</t>
        </is>
      </c>
      <c r="M28" s="205" t="inlineStr">
        <is>
          <t>●</t>
        </is>
      </c>
      <c r="N28" s="205" t="inlineStr">
        <is>
          <t>●</t>
        </is>
      </c>
      <c r="O28" s="206" t="n"/>
      <c r="P28" s="207" t="n"/>
      <c r="Q28" s="205" t="n"/>
      <c r="R28" s="205" t="n"/>
      <c r="S28" s="207" t="n"/>
      <c r="T28" s="205" t="n"/>
      <c r="U28" s="205" t="n"/>
      <c r="V28" s="205" t="n"/>
      <c r="W28" s="205" t="n"/>
      <c r="X28" s="205" t="n"/>
      <c r="Y28" s="205" t="n"/>
      <c r="Z28" s="205" t="n"/>
      <c r="AA28" s="205" t="n"/>
      <c r="AB28" s="205" t="n"/>
      <c r="AC28" s="207" t="n"/>
      <c r="AD28" s="205" t="n"/>
      <c r="AE28" s="205" t="n"/>
      <c r="AF28" s="205" t="n"/>
      <c r="AG28" s="205" t="n"/>
      <c r="AH28" s="207" t="n"/>
      <c r="AI28" s="205" t="n"/>
      <c r="AJ28" s="205" t="n"/>
      <c r="AK28" s="205" t="n"/>
      <c r="AL28" s="205" t="n"/>
      <c r="AM28" s="205" t="n"/>
      <c r="AN28" s="205" t="n"/>
      <c r="AO28" s="205" t="n"/>
      <c r="AP28" s="205" t="n"/>
      <c r="AQ28" s="205" t="n"/>
      <c r="AR28" s="207" t="n"/>
      <c r="AS28" s="205" t="n"/>
      <c r="AT28" s="205" t="n"/>
      <c r="AU28" s="208" t="n"/>
      <c r="AV28" s="205" t="n"/>
      <c r="AW28" s="205" t="n"/>
      <c r="AX28" s="207" t="n"/>
      <c r="AY28" s="205" t="n"/>
      <c r="AZ28" s="205" t="n"/>
      <c r="BA28" s="205" t="n"/>
      <c r="BB28" s="205" t="n"/>
      <c r="BC28" s="205" t="n"/>
      <c r="BD28" s="205" t="n"/>
      <c r="BE28" s="205" t="n"/>
      <c r="BF28" s="205" t="n"/>
      <c r="BG28" s="205" t="n"/>
      <c r="BH28" s="205" t="n"/>
      <c r="BI28" s="205" t="n"/>
      <c r="BJ28" s="205" t="n"/>
      <c r="BK28" s="205" t="n"/>
      <c r="BL28" s="207" t="n"/>
      <c r="BM28" s="205" t="n"/>
      <c r="BN28" s="205" t="n"/>
      <c r="BO28" s="205" t="n"/>
      <c r="BP28" s="205" t="n"/>
      <c r="BQ28" s="205" t="n"/>
      <c r="BR28" s="205" t="n"/>
      <c r="BS28" s="205" t="n"/>
      <c r="BT28" s="205" t="n"/>
      <c r="BU28" s="205" t="n"/>
      <c r="BV28" s="205" t="n"/>
      <c r="BW28" s="208" t="n"/>
      <c r="BX28" s="204" t="n"/>
      <c r="BY28" s="205" t="n"/>
      <c r="BZ28" s="205" t="n"/>
      <c r="CA28" s="205" t="n"/>
      <c r="CB28" s="206" t="n"/>
      <c r="CC28" s="207" t="n"/>
      <c r="CD28" s="205" t="n"/>
      <c r="CE28" s="205" t="n"/>
      <c r="CF28" s="206" t="n"/>
      <c r="CG28" s="160" t="n"/>
    </row>
    <row r="29">
      <c r="A29" s="160" t="n"/>
      <c r="B29" s="202" t="n"/>
      <c r="C29" s="203" t="inlineStr">
        <is>
          <t>31A</t>
        </is>
      </c>
      <c r="D29" s="204" t="n"/>
      <c r="E29" s="205" t="n"/>
      <c r="F29" s="205" t="n"/>
      <c r="G29" s="205" t="n"/>
      <c r="H29" s="205" t="n"/>
      <c r="I29" s="205" t="n"/>
      <c r="J29" s="205" t="inlineStr">
        <is>
          <t>●</t>
        </is>
      </c>
      <c r="K29" s="205" t="inlineStr">
        <is>
          <t>●</t>
        </is>
      </c>
      <c r="L29" s="205" t="inlineStr">
        <is>
          <t>●</t>
        </is>
      </c>
      <c r="M29" s="205" t="inlineStr">
        <is>
          <t>●</t>
        </is>
      </c>
      <c r="N29" s="205" t="inlineStr">
        <is>
          <t>●</t>
        </is>
      </c>
      <c r="O29" s="206" t="n"/>
      <c r="P29" s="207" t="n"/>
      <c r="Q29" s="205" t="n"/>
      <c r="R29" s="205" t="n"/>
      <c r="S29" s="207" t="n"/>
      <c r="T29" s="205" t="n"/>
      <c r="U29" s="205" t="n"/>
      <c r="V29" s="205" t="n"/>
      <c r="W29" s="205" t="n"/>
      <c r="X29" s="205" t="n"/>
      <c r="Y29" s="205" t="n"/>
      <c r="Z29" s="205" t="n"/>
      <c r="AA29" s="205" t="n"/>
      <c r="AB29" s="205" t="n"/>
      <c r="AC29" s="207" t="n"/>
      <c r="AD29" s="205" t="n"/>
      <c r="AE29" s="205" t="n"/>
      <c r="AF29" s="205" t="n"/>
      <c r="AG29" s="205" t="n"/>
      <c r="AH29" s="207" t="n"/>
      <c r="AI29" s="205" t="n"/>
      <c r="AJ29" s="205" t="n"/>
      <c r="AK29" s="205" t="n"/>
      <c r="AL29" s="205" t="n"/>
      <c r="AM29" s="205" t="n"/>
      <c r="AN29" s="205" t="n"/>
      <c r="AO29" s="205" t="n"/>
      <c r="AP29" s="205" t="n"/>
      <c r="AQ29" s="205" t="n"/>
      <c r="AR29" s="207" t="n"/>
      <c r="AS29" s="205" t="n"/>
      <c r="AT29" s="205" t="n"/>
      <c r="AU29" s="208" t="n"/>
      <c r="AV29" s="205" t="n"/>
      <c r="AW29" s="205" t="n"/>
      <c r="AX29" s="207" t="n"/>
      <c r="AY29" s="205" t="n"/>
      <c r="AZ29" s="205" t="n"/>
      <c r="BA29" s="205" t="n"/>
      <c r="BB29" s="205" t="n"/>
      <c r="BC29" s="205" t="n"/>
      <c r="BD29" s="205" t="n"/>
      <c r="BE29" s="205" t="n"/>
      <c r="BF29" s="205" t="n"/>
      <c r="BG29" s="205" t="n"/>
      <c r="BH29" s="205" t="n"/>
      <c r="BI29" s="205" t="n"/>
      <c r="BJ29" s="205" t="n"/>
      <c r="BK29" s="205" t="n"/>
      <c r="BL29" s="207" t="n"/>
      <c r="BM29" s="205" t="n"/>
      <c r="BN29" s="205" t="n"/>
      <c r="BO29" s="205" t="n"/>
      <c r="BP29" s="205" t="n"/>
      <c r="BQ29" s="205" t="n"/>
      <c r="BR29" s="205" t="n"/>
      <c r="BS29" s="205" t="n"/>
      <c r="BT29" s="205" t="n"/>
      <c r="BU29" s="205" t="n"/>
      <c r="BV29" s="205" t="n"/>
      <c r="BW29" s="208" t="n"/>
      <c r="BX29" s="204" t="n"/>
      <c r="BY29" s="205" t="n"/>
      <c r="BZ29" s="205" t="n"/>
      <c r="CA29" s="205" t="n"/>
      <c r="CB29" s="206" t="n"/>
      <c r="CC29" s="207" t="n"/>
      <c r="CD29" s="205" t="n"/>
      <c r="CE29" s="205" t="n"/>
      <c r="CF29" s="206" t="n"/>
      <c r="CG29" s="160" t="n"/>
    </row>
    <row r="30">
      <c r="A30" s="160" t="n"/>
      <c r="B30" s="202" t="n"/>
      <c r="C30" s="203" t="inlineStr">
        <is>
          <t>32A</t>
        </is>
      </c>
      <c r="D30" s="204" t="n"/>
      <c r="E30" s="205" t="n"/>
      <c r="F30" s="205" t="n"/>
      <c r="G30" s="205" t="n"/>
      <c r="H30" s="205" t="n"/>
      <c r="I30" s="205" t="n"/>
      <c r="J30" s="205" t="inlineStr">
        <is>
          <t>●</t>
        </is>
      </c>
      <c r="K30" s="205" t="inlineStr">
        <is>
          <t>●</t>
        </is>
      </c>
      <c r="L30" s="205" t="inlineStr">
        <is>
          <t>●</t>
        </is>
      </c>
      <c r="M30" s="205" t="inlineStr">
        <is>
          <t>●</t>
        </is>
      </c>
      <c r="N30" s="205" t="inlineStr">
        <is>
          <t>●</t>
        </is>
      </c>
      <c r="O30" s="206" t="inlineStr">
        <is>
          <t>●</t>
        </is>
      </c>
      <c r="P30" s="207" t="n"/>
      <c r="Q30" s="205" t="n"/>
      <c r="R30" s="205" t="n"/>
      <c r="S30" s="207" t="n"/>
      <c r="T30" s="205" t="n"/>
      <c r="U30" s="205" t="n"/>
      <c r="V30" s="205" t="n"/>
      <c r="W30" s="205" t="n"/>
      <c r="X30" s="205" t="n"/>
      <c r="Y30" s="205" t="n"/>
      <c r="Z30" s="205" t="n"/>
      <c r="AA30" s="205" t="n"/>
      <c r="AB30" s="205" t="n"/>
      <c r="AC30" s="207" t="n"/>
      <c r="AD30" s="205" t="n"/>
      <c r="AE30" s="205" t="n"/>
      <c r="AF30" s="205" t="n"/>
      <c r="AG30" s="205" t="n"/>
      <c r="AH30" s="207" t="n"/>
      <c r="AI30" s="205" t="n"/>
      <c r="AJ30" s="205" t="n"/>
      <c r="AK30" s="205" t="n"/>
      <c r="AL30" s="205" t="n"/>
      <c r="AM30" s="205" t="n"/>
      <c r="AN30" s="205" t="n"/>
      <c r="AO30" s="205" t="n"/>
      <c r="AP30" s="205" t="n"/>
      <c r="AQ30" s="205" t="n"/>
      <c r="AR30" s="207" t="n"/>
      <c r="AS30" s="205" t="n"/>
      <c r="AT30" s="205" t="n"/>
      <c r="AU30" s="208" t="n"/>
      <c r="AV30" s="205" t="n"/>
      <c r="AW30" s="205" t="n"/>
      <c r="AX30" s="207" t="n"/>
      <c r="AY30" s="205" t="n"/>
      <c r="AZ30" s="205" t="n"/>
      <c r="BA30" s="205" t="n"/>
      <c r="BB30" s="205" t="n"/>
      <c r="BC30" s="205" t="n"/>
      <c r="BD30" s="205" t="n"/>
      <c r="BE30" s="205" t="n"/>
      <c r="BF30" s="205" t="n"/>
      <c r="BG30" s="205" t="n"/>
      <c r="BH30" s="205" t="n"/>
      <c r="BI30" s="205" t="n"/>
      <c r="BJ30" s="205" t="n"/>
      <c r="BK30" s="205" t="n"/>
      <c r="BL30" s="207" t="n"/>
      <c r="BM30" s="205" t="n"/>
      <c r="BN30" s="205" t="n"/>
      <c r="BO30" s="205" t="n"/>
      <c r="BP30" s="205" t="n"/>
      <c r="BQ30" s="205" t="n"/>
      <c r="BR30" s="205" t="n"/>
      <c r="BS30" s="205" t="n"/>
      <c r="BT30" s="205" t="n"/>
      <c r="BU30" s="205" t="n"/>
      <c r="BV30" s="205" t="n"/>
      <c r="BW30" s="208" t="n"/>
      <c r="BX30" s="204" t="n"/>
      <c r="BY30" s="205" t="n"/>
      <c r="BZ30" s="205" t="n"/>
      <c r="CA30" s="205" t="n"/>
      <c r="CB30" s="206" t="n"/>
      <c r="CC30" s="207" t="n"/>
      <c r="CD30" s="205" t="n"/>
      <c r="CE30" s="205" t="n"/>
      <c r="CF30" s="206" t="n"/>
      <c r="CG30" s="160" t="n"/>
    </row>
    <row r="31">
      <c r="A31" s="160" t="n"/>
      <c r="B31" s="202" t="n"/>
      <c r="C31" s="203" t="inlineStr">
        <is>
          <t>33A</t>
        </is>
      </c>
      <c r="D31" s="204" t="n"/>
      <c r="E31" s="205" t="n"/>
      <c r="F31" s="205" t="n"/>
      <c r="G31" s="205" t="n"/>
      <c r="H31" s="205" t="n"/>
      <c r="I31" s="205" t="n"/>
      <c r="J31" s="205" t="inlineStr">
        <is>
          <t>●</t>
        </is>
      </c>
      <c r="K31" s="205" t="inlineStr">
        <is>
          <t>●</t>
        </is>
      </c>
      <c r="L31" s="205" t="inlineStr">
        <is>
          <t>●</t>
        </is>
      </c>
      <c r="M31" s="205" t="inlineStr">
        <is>
          <t>●</t>
        </is>
      </c>
      <c r="N31" s="205" t="inlineStr">
        <is>
          <t>●</t>
        </is>
      </c>
      <c r="O31" s="206" t="inlineStr">
        <is>
          <t>●</t>
        </is>
      </c>
      <c r="P31" s="207" t="n"/>
      <c r="Q31" s="205" t="n"/>
      <c r="R31" s="205" t="n"/>
      <c r="S31" s="207" t="n"/>
      <c r="T31" s="205" t="n"/>
      <c r="U31" s="205" t="n"/>
      <c r="V31" s="205" t="n"/>
      <c r="W31" s="205" t="n"/>
      <c r="X31" s="205" t="n"/>
      <c r="Y31" s="205" t="n"/>
      <c r="Z31" s="205" t="n"/>
      <c r="AA31" s="205" t="n"/>
      <c r="AB31" s="205" t="n"/>
      <c r="AC31" s="207" t="n"/>
      <c r="AD31" s="205" t="n"/>
      <c r="AE31" s="205" t="n"/>
      <c r="AF31" s="205" t="n"/>
      <c r="AG31" s="205" t="n"/>
      <c r="AH31" s="207" t="n"/>
      <c r="AI31" s="205" t="n"/>
      <c r="AJ31" s="205" t="n"/>
      <c r="AK31" s="205" t="n"/>
      <c r="AL31" s="205" t="n"/>
      <c r="AM31" s="205" t="n"/>
      <c r="AN31" s="205" t="n"/>
      <c r="AO31" s="205" t="n"/>
      <c r="AP31" s="205" t="n"/>
      <c r="AQ31" s="205" t="n"/>
      <c r="AR31" s="207" t="n"/>
      <c r="AS31" s="205" t="n"/>
      <c r="AT31" s="205" t="n"/>
      <c r="AU31" s="208" t="n"/>
      <c r="AV31" s="205" t="n"/>
      <c r="AW31" s="205" t="n"/>
      <c r="AX31" s="207" t="n"/>
      <c r="AY31" s="205" t="n"/>
      <c r="AZ31" s="205" t="n"/>
      <c r="BA31" s="205" t="n"/>
      <c r="BB31" s="205" t="n"/>
      <c r="BC31" s="205" t="n"/>
      <c r="BD31" s="205" t="n"/>
      <c r="BE31" s="205" t="n"/>
      <c r="BF31" s="205" t="n"/>
      <c r="BG31" s="205" t="n"/>
      <c r="BH31" s="205" t="n"/>
      <c r="BI31" s="205" t="n"/>
      <c r="BJ31" s="205" t="n"/>
      <c r="BK31" s="205" t="n"/>
      <c r="BL31" s="207" t="n"/>
      <c r="BM31" s="205" t="n"/>
      <c r="BN31" s="205" t="n"/>
      <c r="BO31" s="205" t="n"/>
      <c r="BP31" s="205" t="n"/>
      <c r="BQ31" s="205" t="n"/>
      <c r="BR31" s="205" t="n"/>
      <c r="BS31" s="205" t="n"/>
      <c r="BT31" s="205" t="n"/>
      <c r="BU31" s="205" t="n"/>
      <c r="BV31" s="205" t="n"/>
      <c r="BW31" s="208" t="n"/>
      <c r="BX31" s="204" t="n"/>
      <c r="BY31" s="205" t="n"/>
      <c r="BZ31" s="205" t="n"/>
      <c r="CA31" s="205" t="n"/>
      <c r="CB31" s="206" t="n"/>
      <c r="CC31" s="207" t="inlineStr">
        <is>
          <t>●</t>
        </is>
      </c>
      <c r="CD31" s="205" t="n"/>
      <c r="CE31" s="205" t="n"/>
      <c r="CF31" s="206" t="n"/>
      <c r="CG31" s="160" t="n"/>
    </row>
    <row r="32">
      <c r="A32" s="160" t="n"/>
      <c r="B32" s="202" t="n"/>
      <c r="C32" s="203" t="inlineStr">
        <is>
          <t>34A</t>
        </is>
      </c>
      <c r="D32" s="204" t="n"/>
      <c r="E32" s="205" t="n"/>
      <c r="F32" s="205" t="n"/>
      <c r="G32" s="205" t="n"/>
      <c r="H32" s="205" t="n"/>
      <c r="I32" s="205" t="n"/>
      <c r="J32" s="205" t="inlineStr">
        <is>
          <t>●</t>
        </is>
      </c>
      <c r="K32" s="205" t="inlineStr">
        <is>
          <t>●</t>
        </is>
      </c>
      <c r="L32" s="205" t="inlineStr">
        <is>
          <t>●</t>
        </is>
      </c>
      <c r="M32" s="205" t="inlineStr">
        <is>
          <t>●</t>
        </is>
      </c>
      <c r="N32" s="205" t="inlineStr">
        <is>
          <t>●</t>
        </is>
      </c>
      <c r="O32" s="206" t="n"/>
      <c r="P32" s="207" t="n"/>
      <c r="Q32" s="205" t="n"/>
      <c r="R32" s="205" t="n"/>
      <c r="S32" s="207" t="n"/>
      <c r="T32" s="205" t="n"/>
      <c r="U32" s="205" t="n"/>
      <c r="V32" s="205" t="n"/>
      <c r="W32" s="205" t="n"/>
      <c r="X32" s="205" t="n"/>
      <c r="Y32" s="205" t="n"/>
      <c r="Z32" s="205" t="n"/>
      <c r="AA32" s="205" t="n"/>
      <c r="AB32" s="205" t="n"/>
      <c r="AC32" s="207" t="n"/>
      <c r="AD32" s="205" t="n"/>
      <c r="AE32" s="205" t="n"/>
      <c r="AF32" s="205" t="n"/>
      <c r="AG32" s="205" t="n"/>
      <c r="AH32" s="207" t="n"/>
      <c r="AI32" s="205" t="n"/>
      <c r="AJ32" s="205" t="n"/>
      <c r="AK32" s="205" t="n"/>
      <c r="AL32" s="205" t="n"/>
      <c r="AM32" s="205" t="n"/>
      <c r="AN32" s="205" t="n"/>
      <c r="AO32" s="205" t="n"/>
      <c r="AP32" s="205" t="n"/>
      <c r="AQ32" s="205" t="n"/>
      <c r="AR32" s="207" t="n"/>
      <c r="AS32" s="205" t="n"/>
      <c r="AT32" s="205" t="n"/>
      <c r="AU32" s="208" t="n"/>
      <c r="AV32" s="205" t="n"/>
      <c r="AW32" s="205" t="n"/>
      <c r="AX32" s="207" t="n"/>
      <c r="AY32" s="205" t="n"/>
      <c r="AZ32" s="205" t="n"/>
      <c r="BA32" s="205" t="n"/>
      <c r="BB32" s="205" t="n"/>
      <c r="BC32" s="205" t="n"/>
      <c r="BD32" s="205" t="n"/>
      <c r="BE32" s="205" t="n"/>
      <c r="BF32" s="205" t="n"/>
      <c r="BG32" s="205" t="n"/>
      <c r="BH32" s="205" t="n"/>
      <c r="BI32" s="205" t="n"/>
      <c r="BJ32" s="205" t="n"/>
      <c r="BK32" s="205" t="n"/>
      <c r="BL32" s="207" t="n"/>
      <c r="BM32" s="205" t="n"/>
      <c r="BN32" s="205" t="n"/>
      <c r="BO32" s="205" t="n"/>
      <c r="BP32" s="205" t="n"/>
      <c r="BQ32" s="205" t="n"/>
      <c r="BR32" s="205" t="n"/>
      <c r="BS32" s="205" t="n"/>
      <c r="BT32" s="205" t="n"/>
      <c r="BU32" s="205" t="n"/>
      <c r="BV32" s="205" t="n"/>
      <c r="BW32" s="208" t="n"/>
      <c r="BX32" s="204" t="n"/>
      <c r="BY32" s="205" t="n"/>
      <c r="BZ32" s="205" t="n"/>
      <c r="CA32" s="205" t="n"/>
      <c r="CB32" s="206" t="n"/>
      <c r="CC32" s="207" t="inlineStr">
        <is>
          <t>●</t>
        </is>
      </c>
      <c r="CD32" s="205" t="n"/>
      <c r="CE32" s="205" t="inlineStr">
        <is>
          <t>●</t>
        </is>
      </c>
      <c r="CF32" s="206" t="n"/>
      <c r="CG32" s="160" t="n"/>
    </row>
    <row r="33">
      <c r="A33" s="160" t="n"/>
      <c r="B33" s="202" t="n"/>
      <c r="C33" s="203" t="inlineStr">
        <is>
          <t>35A</t>
        </is>
      </c>
      <c r="D33" s="204" t="n"/>
      <c r="E33" s="205" t="n"/>
      <c r="F33" s="205" t="n"/>
      <c r="G33" s="205" t="n"/>
      <c r="H33" s="205" t="n"/>
      <c r="I33" s="205" t="n"/>
      <c r="J33" s="205" t="inlineStr">
        <is>
          <t>●</t>
        </is>
      </c>
      <c r="K33" s="205" t="inlineStr">
        <is>
          <t>●</t>
        </is>
      </c>
      <c r="L33" s="205" t="inlineStr">
        <is>
          <t>●</t>
        </is>
      </c>
      <c r="M33" s="205" t="inlineStr">
        <is>
          <t>●</t>
        </is>
      </c>
      <c r="N33" s="205" t="inlineStr">
        <is>
          <t>●</t>
        </is>
      </c>
      <c r="O33" s="206" t="n"/>
      <c r="P33" s="207" t="n"/>
      <c r="Q33" s="205" t="n"/>
      <c r="R33" s="205" t="n"/>
      <c r="S33" s="207" t="n"/>
      <c r="T33" s="205" t="n"/>
      <c r="U33" s="205" t="n"/>
      <c r="V33" s="205" t="n"/>
      <c r="W33" s="205" t="n"/>
      <c r="X33" s="205" t="n"/>
      <c r="Y33" s="205" t="n"/>
      <c r="Z33" s="205" t="n"/>
      <c r="AA33" s="205" t="n"/>
      <c r="AB33" s="205" t="n"/>
      <c r="AC33" s="207" t="n"/>
      <c r="AD33" s="205" t="n"/>
      <c r="AE33" s="205" t="n"/>
      <c r="AF33" s="205" t="n"/>
      <c r="AG33" s="205" t="n"/>
      <c r="AH33" s="207" t="n"/>
      <c r="AI33" s="205" t="n"/>
      <c r="AJ33" s="205" t="n"/>
      <c r="AK33" s="205" t="n"/>
      <c r="AL33" s="205" t="n"/>
      <c r="AM33" s="205" t="n"/>
      <c r="AN33" s="205" t="n"/>
      <c r="AO33" s="205" t="n"/>
      <c r="AP33" s="205" t="n"/>
      <c r="AQ33" s="205" t="n"/>
      <c r="AR33" s="207" t="n"/>
      <c r="AS33" s="205" t="n"/>
      <c r="AT33" s="205" t="n"/>
      <c r="AU33" s="208" t="n"/>
      <c r="AV33" s="205" t="n"/>
      <c r="AW33" s="205" t="n"/>
      <c r="AX33" s="207" t="n"/>
      <c r="AY33" s="205" t="n"/>
      <c r="AZ33" s="205" t="n"/>
      <c r="BA33" s="205" t="n"/>
      <c r="BB33" s="205" t="n"/>
      <c r="BC33" s="205" t="n"/>
      <c r="BD33" s="205" t="n"/>
      <c r="BE33" s="205" t="n"/>
      <c r="BF33" s="205" t="n"/>
      <c r="BG33" s="205" t="n"/>
      <c r="BH33" s="205" t="n"/>
      <c r="BI33" s="205" t="n"/>
      <c r="BJ33" s="205" t="n"/>
      <c r="BK33" s="205" t="n"/>
      <c r="BL33" s="207" t="n"/>
      <c r="BM33" s="205" t="n"/>
      <c r="BN33" s="205" t="n"/>
      <c r="BO33" s="205" t="n"/>
      <c r="BP33" s="205" t="n"/>
      <c r="BQ33" s="205" t="n"/>
      <c r="BR33" s="205" t="n"/>
      <c r="BS33" s="205" t="n"/>
      <c r="BT33" s="205" t="n"/>
      <c r="BU33" s="205" t="n"/>
      <c r="BV33" s="205" t="n"/>
      <c r="BW33" s="208" t="n"/>
      <c r="BX33" s="204" t="n"/>
      <c r="BY33" s="205" t="n"/>
      <c r="BZ33" s="205" t="n"/>
      <c r="CA33" s="205" t="n"/>
      <c r="CB33" s="206" t="n"/>
      <c r="CC33" s="207" t="inlineStr">
        <is>
          <t>●</t>
        </is>
      </c>
      <c r="CD33" s="205" t="n"/>
      <c r="CE33" s="205" t="n"/>
      <c r="CF33" s="206" t="n"/>
      <c r="CG33" s="160" t="n"/>
    </row>
    <row r="34">
      <c r="A34" s="160" t="n"/>
      <c r="B34" s="202" t="n"/>
      <c r="C34" s="203" t="inlineStr">
        <is>
          <t>36A</t>
        </is>
      </c>
      <c r="D34" s="204" t="n"/>
      <c r="E34" s="205" t="n"/>
      <c r="F34" s="205" t="n"/>
      <c r="G34" s="205" t="n"/>
      <c r="H34" s="205" t="n"/>
      <c r="I34" s="205" t="n"/>
      <c r="J34" s="205" t="inlineStr">
        <is>
          <t>●</t>
        </is>
      </c>
      <c r="K34" s="205" t="inlineStr">
        <is>
          <t>●</t>
        </is>
      </c>
      <c r="L34" s="205" t="inlineStr">
        <is>
          <t>●</t>
        </is>
      </c>
      <c r="M34" s="205" t="inlineStr">
        <is>
          <t>●</t>
        </is>
      </c>
      <c r="N34" s="205" t="inlineStr">
        <is>
          <t>●</t>
        </is>
      </c>
      <c r="O34" s="206" t="inlineStr">
        <is>
          <t>●</t>
        </is>
      </c>
      <c r="P34" s="207" t="n"/>
      <c r="Q34" s="205" t="n"/>
      <c r="R34" s="205" t="n"/>
      <c r="S34" s="207" t="n"/>
      <c r="T34" s="205" t="n"/>
      <c r="U34" s="205" t="n"/>
      <c r="V34" s="205" t="n"/>
      <c r="W34" s="205" t="n"/>
      <c r="X34" s="205" t="n"/>
      <c r="Y34" s="205" t="n"/>
      <c r="Z34" s="205" t="n"/>
      <c r="AA34" s="205" t="n"/>
      <c r="AB34" s="205" t="n"/>
      <c r="AC34" s="207" t="n"/>
      <c r="AD34" s="205" t="n"/>
      <c r="AE34" s="205" t="n"/>
      <c r="AF34" s="205" t="n"/>
      <c r="AG34" s="205" t="n"/>
      <c r="AH34" s="207" t="n"/>
      <c r="AI34" s="205" t="n"/>
      <c r="AJ34" s="205" t="n"/>
      <c r="AK34" s="205" t="n"/>
      <c r="AL34" s="205" t="n"/>
      <c r="AM34" s="205" t="n"/>
      <c r="AN34" s="205" t="n"/>
      <c r="AO34" s="205" t="n"/>
      <c r="AP34" s="205" t="n"/>
      <c r="AQ34" s="205" t="n"/>
      <c r="AR34" s="207" t="n"/>
      <c r="AS34" s="205" t="n"/>
      <c r="AT34" s="205" t="n"/>
      <c r="AU34" s="208" t="n"/>
      <c r="AV34" s="205" t="n"/>
      <c r="AW34" s="205" t="n"/>
      <c r="AX34" s="207" t="n"/>
      <c r="AY34" s="205" t="n"/>
      <c r="AZ34" s="205" t="n"/>
      <c r="BA34" s="205" t="n"/>
      <c r="BB34" s="205" t="n"/>
      <c r="BC34" s="205" t="n"/>
      <c r="BD34" s="205" t="n"/>
      <c r="BE34" s="205" t="n"/>
      <c r="BF34" s="205" t="n"/>
      <c r="BG34" s="205" t="n"/>
      <c r="BH34" s="205" t="n"/>
      <c r="BI34" s="205" t="n"/>
      <c r="BJ34" s="205" t="n"/>
      <c r="BK34" s="205" t="n"/>
      <c r="BL34" s="207" t="n"/>
      <c r="BM34" s="205" t="n"/>
      <c r="BN34" s="205" t="n"/>
      <c r="BO34" s="205" t="n"/>
      <c r="BP34" s="205" t="n"/>
      <c r="BQ34" s="205" t="n"/>
      <c r="BR34" s="205" t="n"/>
      <c r="BS34" s="205" t="n"/>
      <c r="BT34" s="205" t="n"/>
      <c r="BU34" s="205" t="n"/>
      <c r="BV34" s="205" t="n"/>
      <c r="BW34" s="208" t="n"/>
      <c r="BX34" s="204" t="n"/>
      <c r="BY34" s="205" t="n"/>
      <c r="BZ34" s="205" t="n"/>
      <c r="CA34" s="205" t="n"/>
      <c r="CB34" s="206" t="n"/>
      <c r="CC34" s="207" t="inlineStr">
        <is>
          <t>●</t>
        </is>
      </c>
      <c r="CD34" s="205" t="n"/>
      <c r="CE34" s="205" t="inlineStr">
        <is>
          <t>●</t>
        </is>
      </c>
      <c r="CF34" s="206" t="n"/>
      <c r="CG34" s="160" t="n"/>
    </row>
    <row r="35">
      <c r="A35" s="160" t="n"/>
      <c r="B35" s="202" t="n"/>
      <c r="C35" s="203" t="inlineStr">
        <is>
          <t>37A</t>
        </is>
      </c>
      <c r="D35" s="204" t="n"/>
      <c r="E35" s="205" t="n"/>
      <c r="F35" s="205" t="n"/>
      <c r="G35" s="205" t="n"/>
      <c r="H35" s="205" t="n"/>
      <c r="I35" s="205" t="n"/>
      <c r="J35" s="205" t="inlineStr">
        <is>
          <t>●</t>
        </is>
      </c>
      <c r="K35" s="205" t="inlineStr">
        <is>
          <t>●</t>
        </is>
      </c>
      <c r="L35" s="205" t="inlineStr">
        <is>
          <t>●</t>
        </is>
      </c>
      <c r="M35" s="205" t="inlineStr">
        <is>
          <t>●</t>
        </is>
      </c>
      <c r="N35" s="205" t="inlineStr">
        <is>
          <t>●</t>
        </is>
      </c>
      <c r="O35" s="206" t="inlineStr">
        <is>
          <t>●</t>
        </is>
      </c>
      <c r="P35" s="207" t="n"/>
      <c r="Q35" s="205" t="n"/>
      <c r="R35" s="205" t="n"/>
      <c r="S35" s="207" t="n"/>
      <c r="T35" s="205" t="n"/>
      <c r="U35" s="205" t="n"/>
      <c r="V35" s="205" t="n"/>
      <c r="W35" s="205" t="n"/>
      <c r="X35" s="205" t="n"/>
      <c r="Y35" s="205" t="n"/>
      <c r="Z35" s="205" t="n"/>
      <c r="AA35" s="205" t="n"/>
      <c r="AB35" s="205" t="n"/>
      <c r="AC35" s="207" t="n"/>
      <c r="AD35" s="205" t="n"/>
      <c r="AE35" s="205" t="n"/>
      <c r="AF35" s="205" t="n"/>
      <c r="AG35" s="205" t="n"/>
      <c r="AH35" s="207" t="n"/>
      <c r="AI35" s="205" t="n"/>
      <c r="AJ35" s="205" t="n"/>
      <c r="AK35" s="205" t="n"/>
      <c r="AL35" s="205" t="n"/>
      <c r="AM35" s="205" t="n"/>
      <c r="AN35" s="205" t="n"/>
      <c r="AO35" s="205" t="n"/>
      <c r="AP35" s="205" t="n"/>
      <c r="AQ35" s="205" t="n"/>
      <c r="AR35" s="207" t="n"/>
      <c r="AS35" s="205" t="n"/>
      <c r="AT35" s="205" t="n"/>
      <c r="AU35" s="208" t="n"/>
      <c r="AV35" s="205" t="n"/>
      <c r="AW35" s="205" t="n"/>
      <c r="AX35" s="207" t="n"/>
      <c r="AY35" s="205" t="n"/>
      <c r="AZ35" s="205" t="n"/>
      <c r="BA35" s="205" t="n"/>
      <c r="BB35" s="205" t="n"/>
      <c r="BC35" s="205" t="n"/>
      <c r="BD35" s="205" t="n"/>
      <c r="BE35" s="205" t="n"/>
      <c r="BF35" s="205" t="n"/>
      <c r="BG35" s="205" t="n"/>
      <c r="BH35" s="205" t="n"/>
      <c r="BI35" s="205" t="n"/>
      <c r="BJ35" s="205" t="n"/>
      <c r="BK35" s="205" t="n"/>
      <c r="BL35" s="207" t="n"/>
      <c r="BM35" s="205" t="n"/>
      <c r="BN35" s="205" t="n"/>
      <c r="BO35" s="205" t="n"/>
      <c r="BP35" s="205" t="n"/>
      <c r="BQ35" s="205" t="n"/>
      <c r="BR35" s="205" t="n"/>
      <c r="BS35" s="205" t="n"/>
      <c r="BT35" s="205" t="n"/>
      <c r="BU35" s="205" t="n"/>
      <c r="BV35" s="205" t="n"/>
      <c r="BW35" s="208" t="n"/>
      <c r="BX35" s="204" t="n"/>
      <c r="BY35" s="205" t="n"/>
      <c r="BZ35" s="205" t="n"/>
      <c r="CA35" s="205" t="n"/>
      <c r="CB35" s="206" t="n"/>
      <c r="CC35" s="207" t="inlineStr">
        <is>
          <t>●</t>
        </is>
      </c>
      <c r="CD35" s="205" t="n"/>
      <c r="CE35" s="205" t="inlineStr">
        <is>
          <t>●</t>
        </is>
      </c>
      <c r="CF35" s="206" t="n"/>
      <c r="CG35" s="160" t="n"/>
    </row>
    <row r="36">
      <c r="A36" s="160" t="n"/>
      <c r="B36" s="202" t="n"/>
      <c r="C36" s="203" t="inlineStr">
        <is>
          <t>40A</t>
        </is>
      </c>
      <c r="D36" s="204" t="n"/>
      <c r="E36" s="205" t="inlineStr">
        <is>
          <t>●</t>
        </is>
      </c>
      <c r="F36" s="205" t="inlineStr">
        <is>
          <t>●</t>
        </is>
      </c>
      <c r="G36" s="205" t="inlineStr">
        <is>
          <t>●</t>
        </is>
      </c>
      <c r="H36" s="205" t="inlineStr">
        <is>
          <t>●</t>
        </is>
      </c>
      <c r="I36" s="205" t="n"/>
      <c r="J36" s="205" t="n"/>
      <c r="K36" s="205" t="n"/>
      <c r="L36" s="205" t="n"/>
      <c r="M36" s="205" t="n"/>
      <c r="N36" s="205" t="n"/>
      <c r="O36" s="206" t="n"/>
      <c r="P36" s="207" t="n"/>
      <c r="Q36" s="205" t="n"/>
      <c r="R36" s="205" t="n"/>
      <c r="S36" s="207" t="n"/>
      <c r="T36" s="205" t="n"/>
      <c r="U36" s="205" t="n"/>
      <c r="V36" s="205" t="n"/>
      <c r="W36" s="205" t="n"/>
      <c r="X36" s="205" t="n"/>
      <c r="Y36" s="205" t="n"/>
      <c r="Z36" s="205" t="n"/>
      <c r="AA36" s="205" t="n"/>
      <c r="AB36" s="205" t="n"/>
      <c r="AC36" s="207" t="n"/>
      <c r="AD36" s="205" t="n"/>
      <c r="AE36" s="205" t="n"/>
      <c r="AF36" s="205" t="n"/>
      <c r="AG36" s="205" t="n"/>
      <c r="AH36" s="207" t="n"/>
      <c r="AI36" s="205" t="n"/>
      <c r="AJ36" s="205" t="n"/>
      <c r="AK36" s="205" t="n"/>
      <c r="AL36" s="205" t="n"/>
      <c r="AM36" s="205" t="n"/>
      <c r="AN36" s="205" t="n"/>
      <c r="AO36" s="205" t="n"/>
      <c r="AP36" s="205" t="n"/>
      <c r="AQ36" s="205" t="n"/>
      <c r="AR36" s="207" t="n"/>
      <c r="AS36" s="205" t="n"/>
      <c r="AT36" s="205" t="n"/>
      <c r="AU36" s="208" t="n"/>
      <c r="AV36" s="205" t="n"/>
      <c r="AW36" s="205" t="n"/>
      <c r="AX36" s="207" t="n"/>
      <c r="AY36" s="205" t="n"/>
      <c r="AZ36" s="205" t="n"/>
      <c r="BA36" s="205" t="n"/>
      <c r="BB36" s="205" t="n"/>
      <c r="BC36" s="205" t="n"/>
      <c r="BD36" s="205" t="n"/>
      <c r="BE36" s="205" t="n"/>
      <c r="BF36" s="205" t="n"/>
      <c r="BG36" s="205" t="n"/>
      <c r="BH36" s="205" t="n"/>
      <c r="BI36" s="205" t="n"/>
      <c r="BJ36" s="205" t="n"/>
      <c r="BK36" s="205" t="n"/>
      <c r="BL36" s="207" t="n"/>
      <c r="BM36" s="205" t="n"/>
      <c r="BN36" s="205" t="n"/>
      <c r="BO36" s="205" t="n"/>
      <c r="BP36" s="205" t="n"/>
      <c r="BQ36" s="205" t="n"/>
      <c r="BR36" s="205" t="n"/>
      <c r="BS36" s="205" t="n"/>
      <c r="BT36" s="205" t="n"/>
      <c r="BU36" s="205" t="n"/>
      <c r="BV36" s="205" t="n"/>
      <c r="BW36" s="208" t="n"/>
      <c r="BX36" s="204" t="n"/>
      <c r="BY36" s="205" t="n"/>
      <c r="BZ36" s="205" t="n"/>
      <c r="CA36" s="205" t="n"/>
      <c r="CB36" s="206" t="n"/>
      <c r="CC36" s="207" t="n"/>
      <c r="CD36" s="205" t="n"/>
      <c r="CE36" s="205" t="n"/>
      <c r="CF36" s="206" t="n"/>
      <c r="CG36" s="160" t="n"/>
    </row>
    <row r="37">
      <c r="A37" s="160" t="n"/>
      <c r="B37" s="202" t="n"/>
      <c r="C37" s="203" t="inlineStr">
        <is>
          <t>41A</t>
        </is>
      </c>
      <c r="D37" s="204" t="n"/>
      <c r="E37" s="205" t="inlineStr">
        <is>
          <t>●</t>
        </is>
      </c>
      <c r="F37" s="205" t="inlineStr">
        <is>
          <t>●</t>
        </is>
      </c>
      <c r="G37" s="205" t="inlineStr">
        <is>
          <t>●</t>
        </is>
      </c>
      <c r="H37" s="205" t="inlineStr">
        <is>
          <t>●</t>
        </is>
      </c>
      <c r="I37" s="205" t="n"/>
      <c r="J37" s="205" t="n"/>
      <c r="K37" s="205" t="n"/>
      <c r="L37" s="205" t="n"/>
      <c r="M37" s="205" t="n"/>
      <c r="N37" s="205" t="n"/>
      <c r="O37" s="206" t="n"/>
      <c r="P37" s="207" t="n"/>
      <c r="Q37" s="205" t="n"/>
      <c r="R37" s="205" t="n"/>
      <c r="S37" s="207" t="n"/>
      <c r="T37" s="205" t="n"/>
      <c r="U37" s="205" t="n"/>
      <c r="V37" s="205" t="n"/>
      <c r="W37" s="205" t="n"/>
      <c r="X37" s="205" t="n"/>
      <c r="Y37" s="205" t="n"/>
      <c r="Z37" s="205" t="n"/>
      <c r="AA37" s="205" t="n"/>
      <c r="AB37" s="205" t="n"/>
      <c r="AC37" s="207" t="n"/>
      <c r="AD37" s="205" t="n"/>
      <c r="AE37" s="205" t="n"/>
      <c r="AF37" s="205" t="n"/>
      <c r="AG37" s="205" t="n"/>
      <c r="AH37" s="207" t="n"/>
      <c r="AI37" s="205" t="n"/>
      <c r="AJ37" s="205" t="n"/>
      <c r="AK37" s="205" t="n"/>
      <c r="AL37" s="205" t="n"/>
      <c r="AM37" s="205" t="n"/>
      <c r="AN37" s="205" t="n"/>
      <c r="AO37" s="205" t="n"/>
      <c r="AP37" s="205" t="n"/>
      <c r="AQ37" s="205" t="n"/>
      <c r="AR37" s="207" t="n"/>
      <c r="AS37" s="205" t="n"/>
      <c r="AT37" s="205" t="n"/>
      <c r="AU37" s="208" t="n"/>
      <c r="AV37" s="205" t="n"/>
      <c r="AW37" s="205" t="n"/>
      <c r="AX37" s="207" t="n"/>
      <c r="AY37" s="205" t="n"/>
      <c r="AZ37" s="205" t="n"/>
      <c r="BA37" s="205" t="n"/>
      <c r="BB37" s="205" t="n"/>
      <c r="BC37" s="205" t="n"/>
      <c r="BD37" s="205" t="n"/>
      <c r="BE37" s="205" t="n"/>
      <c r="BF37" s="205" t="n"/>
      <c r="BG37" s="205" t="n"/>
      <c r="BH37" s="205" t="n"/>
      <c r="BI37" s="205" t="n"/>
      <c r="BJ37" s="205" t="n"/>
      <c r="BK37" s="205" t="n"/>
      <c r="BL37" s="207" t="n"/>
      <c r="BM37" s="205" t="n"/>
      <c r="BN37" s="205" t="n"/>
      <c r="BO37" s="205" t="n"/>
      <c r="BP37" s="205" t="n"/>
      <c r="BQ37" s="205" t="n"/>
      <c r="BR37" s="205" t="n"/>
      <c r="BS37" s="205" t="n"/>
      <c r="BT37" s="205" t="n"/>
      <c r="BU37" s="205" t="n"/>
      <c r="BV37" s="205" t="n"/>
      <c r="BW37" s="208" t="n"/>
      <c r="BX37" s="204" t="n"/>
      <c r="BY37" s="205" t="n"/>
      <c r="BZ37" s="205" t="n"/>
      <c r="CA37" s="205" t="n"/>
      <c r="CB37" s="206" t="n"/>
      <c r="CC37" s="207" t="n"/>
      <c r="CD37" s="205" t="n"/>
      <c r="CE37" s="205" t="n"/>
      <c r="CF37" s="206" t="n"/>
      <c r="CG37" s="160" t="n"/>
    </row>
    <row r="38">
      <c r="A38" s="160" t="n"/>
      <c r="B38" s="202" t="n"/>
      <c r="C38" s="203" t="inlineStr">
        <is>
          <t>42A</t>
        </is>
      </c>
      <c r="D38" s="204" t="n"/>
      <c r="E38" s="205" t="inlineStr">
        <is>
          <t>●</t>
        </is>
      </c>
      <c r="F38" s="205" t="inlineStr">
        <is>
          <t>●</t>
        </is>
      </c>
      <c r="G38" s="205" t="inlineStr">
        <is>
          <t>●</t>
        </is>
      </c>
      <c r="H38" s="205" t="inlineStr">
        <is>
          <t>●</t>
        </is>
      </c>
      <c r="I38" s="205" t="n"/>
      <c r="J38" s="205" t="n"/>
      <c r="K38" s="205" t="n"/>
      <c r="L38" s="205" t="n"/>
      <c r="M38" s="205" t="n"/>
      <c r="N38" s="205" t="n"/>
      <c r="O38" s="206" t="inlineStr">
        <is>
          <t>●</t>
        </is>
      </c>
      <c r="P38" s="207" t="n"/>
      <c r="Q38" s="205" t="n"/>
      <c r="R38" s="205" t="n"/>
      <c r="S38" s="207" t="n"/>
      <c r="T38" s="205" t="n"/>
      <c r="U38" s="205" t="n"/>
      <c r="V38" s="205" t="n"/>
      <c r="W38" s="205" t="n"/>
      <c r="X38" s="205" t="n"/>
      <c r="Y38" s="205" t="n"/>
      <c r="Z38" s="205" t="n"/>
      <c r="AA38" s="205" t="n"/>
      <c r="AB38" s="205" t="n"/>
      <c r="AC38" s="207" t="n"/>
      <c r="AD38" s="205" t="n"/>
      <c r="AE38" s="205" t="n"/>
      <c r="AF38" s="205" t="n"/>
      <c r="AG38" s="205" t="n"/>
      <c r="AH38" s="207" t="n"/>
      <c r="AI38" s="205" t="n"/>
      <c r="AJ38" s="205" t="n"/>
      <c r="AK38" s="205" t="n"/>
      <c r="AL38" s="205" t="n"/>
      <c r="AM38" s="205" t="n"/>
      <c r="AN38" s="205" t="n"/>
      <c r="AO38" s="205" t="n"/>
      <c r="AP38" s="205" t="n"/>
      <c r="AQ38" s="205" t="n"/>
      <c r="AR38" s="207" t="n"/>
      <c r="AS38" s="205" t="n"/>
      <c r="AT38" s="205" t="n"/>
      <c r="AU38" s="208" t="n"/>
      <c r="AV38" s="205" t="n"/>
      <c r="AW38" s="205" t="n"/>
      <c r="AX38" s="207" t="n"/>
      <c r="AY38" s="205" t="n"/>
      <c r="AZ38" s="205" t="n"/>
      <c r="BA38" s="205" t="n"/>
      <c r="BB38" s="205" t="n"/>
      <c r="BC38" s="205" t="n"/>
      <c r="BD38" s="205" t="n"/>
      <c r="BE38" s="205" t="n"/>
      <c r="BF38" s="205" t="n"/>
      <c r="BG38" s="205" t="n"/>
      <c r="BH38" s="205" t="n"/>
      <c r="BI38" s="205" t="n"/>
      <c r="BJ38" s="205" t="n"/>
      <c r="BK38" s="205" t="n"/>
      <c r="BL38" s="207" t="n"/>
      <c r="BM38" s="205" t="n"/>
      <c r="BN38" s="205" t="n"/>
      <c r="BO38" s="205" t="n"/>
      <c r="BP38" s="205" t="n"/>
      <c r="BQ38" s="205" t="n"/>
      <c r="BR38" s="205" t="n"/>
      <c r="BS38" s="205" t="n"/>
      <c r="BT38" s="205" t="n"/>
      <c r="BU38" s="205" t="n"/>
      <c r="BV38" s="205" t="n"/>
      <c r="BW38" s="208" t="n"/>
      <c r="BX38" s="204" t="n"/>
      <c r="BY38" s="205" t="n"/>
      <c r="BZ38" s="205" t="n"/>
      <c r="CA38" s="205" t="n"/>
      <c r="CB38" s="206" t="n"/>
      <c r="CC38" s="207" t="n"/>
      <c r="CD38" s="205" t="n"/>
      <c r="CE38" s="205" t="n"/>
      <c r="CF38" s="206" t="n"/>
      <c r="CG38" s="160" t="n"/>
    </row>
    <row r="39">
      <c r="A39" s="160" t="n"/>
      <c r="B39" s="202" t="n"/>
      <c r="C39" s="203" t="inlineStr">
        <is>
          <t>43A</t>
        </is>
      </c>
      <c r="D39" s="204" t="n"/>
      <c r="E39" s="205" t="inlineStr">
        <is>
          <t>●</t>
        </is>
      </c>
      <c r="F39" s="205" t="inlineStr">
        <is>
          <t>●</t>
        </is>
      </c>
      <c r="G39" s="205" t="inlineStr">
        <is>
          <t>●</t>
        </is>
      </c>
      <c r="H39" s="205" t="inlineStr">
        <is>
          <t>●</t>
        </is>
      </c>
      <c r="I39" s="205" t="n"/>
      <c r="J39" s="205" t="n"/>
      <c r="K39" s="205" t="n"/>
      <c r="L39" s="205" t="n"/>
      <c r="M39" s="205" t="n"/>
      <c r="N39" s="205" t="n"/>
      <c r="O39" s="206" t="inlineStr">
        <is>
          <t>●</t>
        </is>
      </c>
      <c r="P39" s="207" t="n"/>
      <c r="Q39" s="205" t="n"/>
      <c r="R39" s="205" t="n"/>
      <c r="S39" s="207" t="n"/>
      <c r="T39" s="205" t="n"/>
      <c r="U39" s="205" t="n"/>
      <c r="V39" s="205" t="n"/>
      <c r="W39" s="205" t="n"/>
      <c r="X39" s="205" t="n"/>
      <c r="Y39" s="205" t="n"/>
      <c r="Z39" s="205" t="n"/>
      <c r="AA39" s="205" t="n"/>
      <c r="AB39" s="205" t="n"/>
      <c r="AC39" s="207" t="n"/>
      <c r="AD39" s="205" t="n"/>
      <c r="AE39" s="205" t="n"/>
      <c r="AF39" s="205" t="n"/>
      <c r="AG39" s="205" t="n"/>
      <c r="AH39" s="207" t="n"/>
      <c r="AI39" s="205" t="n"/>
      <c r="AJ39" s="205" t="n"/>
      <c r="AK39" s="205" t="n"/>
      <c r="AL39" s="205" t="n"/>
      <c r="AM39" s="205" t="n"/>
      <c r="AN39" s="205" t="n"/>
      <c r="AO39" s="205" t="n"/>
      <c r="AP39" s="205" t="n"/>
      <c r="AQ39" s="205" t="n"/>
      <c r="AR39" s="207" t="n"/>
      <c r="AS39" s="205" t="n"/>
      <c r="AT39" s="205" t="n"/>
      <c r="AU39" s="208" t="n"/>
      <c r="AV39" s="205" t="n"/>
      <c r="AW39" s="205" t="n"/>
      <c r="AX39" s="207" t="n"/>
      <c r="AY39" s="205" t="n"/>
      <c r="AZ39" s="205" t="n"/>
      <c r="BA39" s="205" t="n"/>
      <c r="BB39" s="205" t="n"/>
      <c r="BC39" s="205" t="n"/>
      <c r="BD39" s="205" t="n"/>
      <c r="BE39" s="205" t="n"/>
      <c r="BF39" s="205" t="n"/>
      <c r="BG39" s="205" t="n"/>
      <c r="BH39" s="205" t="n"/>
      <c r="BI39" s="205" t="n"/>
      <c r="BJ39" s="205" t="n"/>
      <c r="BK39" s="205" t="n"/>
      <c r="BL39" s="207" t="n"/>
      <c r="BM39" s="205" t="n"/>
      <c r="BN39" s="205" t="n"/>
      <c r="BO39" s="205" t="n"/>
      <c r="BP39" s="205" t="n"/>
      <c r="BQ39" s="205" t="n"/>
      <c r="BR39" s="205" t="n"/>
      <c r="BS39" s="205" t="n"/>
      <c r="BT39" s="205" t="n"/>
      <c r="BU39" s="205" t="n"/>
      <c r="BV39" s="205" t="n"/>
      <c r="BW39" s="208" t="n"/>
      <c r="BX39" s="204" t="n"/>
      <c r="BY39" s="205" t="n"/>
      <c r="BZ39" s="205" t="n"/>
      <c r="CA39" s="205" t="n"/>
      <c r="CB39" s="206" t="n"/>
      <c r="CC39" s="207" t="n"/>
      <c r="CD39" s="205" t="n"/>
      <c r="CE39" s="205" t="n"/>
      <c r="CF39" s="206" t="n"/>
      <c r="CG39" s="160" t="n"/>
    </row>
    <row r="40">
      <c r="A40" s="160" t="n"/>
      <c r="B40" s="202" t="n"/>
      <c r="C40" s="203" t="inlineStr">
        <is>
          <t>44A</t>
        </is>
      </c>
      <c r="D40" s="204" t="n"/>
      <c r="E40" s="205" t="inlineStr">
        <is>
          <t>●</t>
        </is>
      </c>
      <c r="F40" s="205" t="inlineStr">
        <is>
          <t>●</t>
        </is>
      </c>
      <c r="G40" s="205" t="inlineStr">
        <is>
          <t>●</t>
        </is>
      </c>
      <c r="H40" s="205" t="inlineStr">
        <is>
          <t>●</t>
        </is>
      </c>
      <c r="I40" s="205" t="n"/>
      <c r="J40" s="205" t="n"/>
      <c r="K40" s="205" t="n"/>
      <c r="L40" s="205" t="n"/>
      <c r="M40" s="205" t="n"/>
      <c r="N40" s="205" t="n"/>
      <c r="O40" s="206" t="n"/>
      <c r="P40" s="207" t="n"/>
      <c r="Q40" s="205" t="n"/>
      <c r="R40" s="205" t="n"/>
      <c r="S40" s="207" t="n"/>
      <c r="T40" s="205" t="n"/>
      <c r="U40" s="205" t="n"/>
      <c r="V40" s="205" t="n"/>
      <c r="W40" s="205" t="n"/>
      <c r="X40" s="205" t="n"/>
      <c r="Y40" s="205" t="n"/>
      <c r="Z40" s="205" t="n"/>
      <c r="AA40" s="205" t="n"/>
      <c r="AB40" s="205" t="n"/>
      <c r="AC40" s="207" t="n"/>
      <c r="AD40" s="205" t="n"/>
      <c r="AE40" s="205" t="n"/>
      <c r="AF40" s="205" t="n"/>
      <c r="AG40" s="205" t="n"/>
      <c r="AH40" s="207" t="n"/>
      <c r="AI40" s="205" t="n"/>
      <c r="AJ40" s="205" t="n"/>
      <c r="AK40" s="205" t="n"/>
      <c r="AL40" s="205" t="n"/>
      <c r="AM40" s="205" t="n"/>
      <c r="AN40" s="205" t="n"/>
      <c r="AO40" s="205" t="n"/>
      <c r="AP40" s="205" t="n"/>
      <c r="AQ40" s="205" t="n"/>
      <c r="AR40" s="207" t="n"/>
      <c r="AS40" s="205" t="n"/>
      <c r="AT40" s="205" t="n"/>
      <c r="AU40" s="208" t="n"/>
      <c r="AV40" s="205" t="n"/>
      <c r="AW40" s="205" t="n"/>
      <c r="AX40" s="207" t="n"/>
      <c r="AY40" s="205" t="n"/>
      <c r="AZ40" s="205" t="n"/>
      <c r="BA40" s="205" t="n"/>
      <c r="BB40" s="205" t="n"/>
      <c r="BC40" s="205" t="n"/>
      <c r="BD40" s="205" t="n"/>
      <c r="BE40" s="205" t="n"/>
      <c r="BF40" s="205" t="n"/>
      <c r="BG40" s="205" t="n"/>
      <c r="BH40" s="205" t="n"/>
      <c r="BI40" s="205" t="n"/>
      <c r="BJ40" s="205" t="n"/>
      <c r="BK40" s="205" t="n"/>
      <c r="BL40" s="207" t="n"/>
      <c r="BM40" s="205" t="n"/>
      <c r="BN40" s="205" t="n"/>
      <c r="BO40" s="205" t="n"/>
      <c r="BP40" s="205" t="n"/>
      <c r="BQ40" s="205" t="n"/>
      <c r="BR40" s="205" t="n"/>
      <c r="BS40" s="205" t="n"/>
      <c r="BT40" s="205" t="n"/>
      <c r="BU40" s="205" t="n"/>
      <c r="BV40" s="205" t="n"/>
      <c r="BW40" s="208" t="n"/>
      <c r="BX40" s="204" t="n"/>
      <c r="BY40" s="205" t="n"/>
      <c r="BZ40" s="205" t="n"/>
      <c r="CA40" s="205" t="n"/>
      <c r="CB40" s="206" t="n"/>
      <c r="CC40" s="207" t="inlineStr">
        <is>
          <t>●</t>
        </is>
      </c>
      <c r="CD40" s="205" t="n"/>
      <c r="CE40" s="205" t="inlineStr">
        <is>
          <t>●</t>
        </is>
      </c>
      <c r="CF40" s="206" t="n"/>
      <c r="CG40" s="160" t="n"/>
    </row>
    <row r="41">
      <c r="A41" s="160" t="n"/>
      <c r="B41" s="202" t="n"/>
      <c r="C41" s="203" t="inlineStr">
        <is>
          <t>45A</t>
        </is>
      </c>
      <c r="D41" s="204" t="n"/>
      <c r="E41" s="205" t="inlineStr">
        <is>
          <t>●</t>
        </is>
      </c>
      <c r="F41" s="205" t="inlineStr">
        <is>
          <t>●</t>
        </is>
      </c>
      <c r="G41" s="205" t="inlineStr">
        <is>
          <t>●</t>
        </is>
      </c>
      <c r="H41" s="205" t="inlineStr">
        <is>
          <t>●</t>
        </is>
      </c>
      <c r="I41" s="205" t="n"/>
      <c r="J41" s="205" t="n"/>
      <c r="K41" s="205" t="n"/>
      <c r="L41" s="205" t="n"/>
      <c r="M41" s="205" t="n"/>
      <c r="N41" s="205" t="n"/>
      <c r="O41" s="206" t="n"/>
      <c r="P41" s="207" t="n"/>
      <c r="Q41" s="205" t="n"/>
      <c r="R41" s="205" t="n"/>
      <c r="S41" s="207" t="n"/>
      <c r="T41" s="205" t="n"/>
      <c r="U41" s="205" t="n"/>
      <c r="V41" s="205" t="n"/>
      <c r="W41" s="205" t="n"/>
      <c r="X41" s="205" t="n"/>
      <c r="Y41" s="205" t="n"/>
      <c r="Z41" s="205" t="n"/>
      <c r="AA41" s="205" t="n"/>
      <c r="AB41" s="205" t="n"/>
      <c r="AC41" s="207" t="n"/>
      <c r="AD41" s="205" t="n"/>
      <c r="AE41" s="205" t="n"/>
      <c r="AF41" s="205" t="n"/>
      <c r="AG41" s="205" t="n"/>
      <c r="AH41" s="207" t="n"/>
      <c r="AI41" s="205" t="n"/>
      <c r="AJ41" s="205" t="n"/>
      <c r="AK41" s="205" t="n"/>
      <c r="AL41" s="205" t="n"/>
      <c r="AM41" s="205" t="n"/>
      <c r="AN41" s="205" t="n"/>
      <c r="AO41" s="205" t="n"/>
      <c r="AP41" s="205" t="n"/>
      <c r="AQ41" s="205" t="n"/>
      <c r="AR41" s="207" t="n"/>
      <c r="AS41" s="205" t="n"/>
      <c r="AT41" s="205" t="n"/>
      <c r="AU41" s="208" t="n"/>
      <c r="AV41" s="205" t="n"/>
      <c r="AW41" s="205" t="n"/>
      <c r="AX41" s="207" t="n"/>
      <c r="AY41" s="205" t="n"/>
      <c r="AZ41" s="205" t="n"/>
      <c r="BA41" s="205" t="n"/>
      <c r="BB41" s="205" t="n"/>
      <c r="BC41" s="205" t="n"/>
      <c r="BD41" s="205" t="n"/>
      <c r="BE41" s="205" t="n"/>
      <c r="BF41" s="205" t="n"/>
      <c r="BG41" s="205" t="n"/>
      <c r="BH41" s="205" t="n"/>
      <c r="BI41" s="205" t="n"/>
      <c r="BJ41" s="205" t="n"/>
      <c r="BK41" s="205" t="n"/>
      <c r="BL41" s="207" t="n"/>
      <c r="BM41" s="205" t="n"/>
      <c r="BN41" s="205" t="n"/>
      <c r="BO41" s="205" t="n"/>
      <c r="BP41" s="205" t="n"/>
      <c r="BQ41" s="205" t="n"/>
      <c r="BR41" s="205" t="n"/>
      <c r="BS41" s="205" t="n"/>
      <c r="BT41" s="205" t="n"/>
      <c r="BU41" s="205" t="n"/>
      <c r="BV41" s="205" t="n"/>
      <c r="BW41" s="208" t="n"/>
      <c r="BX41" s="204" t="n"/>
      <c r="BY41" s="205" t="n"/>
      <c r="BZ41" s="205" t="n"/>
      <c r="CA41" s="205" t="n"/>
      <c r="CB41" s="206" t="n"/>
      <c r="CC41" s="207" t="inlineStr">
        <is>
          <t>●</t>
        </is>
      </c>
      <c r="CD41" s="205" t="n"/>
      <c r="CE41" s="205" t="inlineStr">
        <is>
          <t>●</t>
        </is>
      </c>
      <c r="CF41" s="206" t="n"/>
      <c r="CG41" s="160" t="n"/>
    </row>
    <row r="42">
      <c r="A42" s="160" t="n"/>
      <c r="B42" s="202" t="n"/>
      <c r="C42" s="203" t="inlineStr">
        <is>
          <t>46A</t>
        </is>
      </c>
      <c r="D42" s="204" t="n"/>
      <c r="E42" s="205" t="inlineStr">
        <is>
          <t>●</t>
        </is>
      </c>
      <c r="F42" s="205" t="inlineStr">
        <is>
          <t>●</t>
        </is>
      </c>
      <c r="G42" s="205" t="inlineStr">
        <is>
          <t>●</t>
        </is>
      </c>
      <c r="H42" s="205" t="inlineStr">
        <is>
          <t>●</t>
        </is>
      </c>
      <c r="I42" s="205" t="n"/>
      <c r="J42" s="205" t="n"/>
      <c r="K42" s="205" t="n"/>
      <c r="L42" s="205" t="n"/>
      <c r="M42" s="205" t="n"/>
      <c r="N42" s="205" t="n"/>
      <c r="O42" s="206" t="inlineStr">
        <is>
          <t>●</t>
        </is>
      </c>
      <c r="P42" s="207" t="n"/>
      <c r="Q42" s="205" t="n"/>
      <c r="R42" s="205" t="n"/>
      <c r="S42" s="207" t="n"/>
      <c r="T42" s="205" t="n"/>
      <c r="U42" s="205" t="n"/>
      <c r="V42" s="205" t="n"/>
      <c r="W42" s="205" t="n"/>
      <c r="X42" s="205" t="n"/>
      <c r="Y42" s="205" t="n"/>
      <c r="Z42" s="205" t="n"/>
      <c r="AA42" s="205" t="n"/>
      <c r="AB42" s="205" t="n"/>
      <c r="AC42" s="207" t="n"/>
      <c r="AD42" s="205" t="n"/>
      <c r="AE42" s="205" t="n"/>
      <c r="AF42" s="205" t="n"/>
      <c r="AG42" s="205" t="n"/>
      <c r="AH42" s="207" t="n"/>
      <c r="AI42" s="205" t="n"/>
      <c r="AJ42" s="205" t="n"/>
      <c r="AK42" s="205" t="n"/>
      <c r="AL42" s="205" t="n"/>
      <c r="AM42" s="205" t="n"/>
      <c r="AN42" s="205" t="n"/>
      <c r="AO42" s="205" t="n"/>
      <c r="AP42" s="205" t="n"/>
      <c r="AQ42" s="205" t="n"/>
      <c r="AR42" s="207" t="n"/>
      <c r="AS42" s="205" t="n"/>
      <c r="AT42" s="205" t="n"/>
      <c r="AU42" s="208" t="n"/>
      <c r="AV42" s="205" t="n"/>
      <c r="AW42" s="205" t="n"/>
      <c r="AX42" s="207" t="n"/>
      <c r="AY42" s="205" t="n"/>
      <c r="AZ42" s="205" t="n"/>
      <c r="BA42" s="205" t="n"/>
      <c r="BB42" s="205" t="n"/>
      <c r="BC42" s="205" t="n"/>
      <c r="BD42" s="205" t="n"/>
      <c r="BE42" s="205" t="n"/>
      <c r="BF42" s="205" t="n"/>
      <c r="BG42" s="205" t="n"/>
      <c r="BH42" s="205" t="n"/>
      <c r="BI42" s="205" t="n"/>
      <c r="BJ42" s="205" t="n"/>
      <c r="BK42" s="205" t="n"/>
      <c r="BL42" s="207" t="n"/>
      <c r="BM42" s="205" t="n"/>
      <c r="BN42" s="205" t="n"/>
      <c r="BO42" s="205" t="n"/>
      <c r="BP42" s="205" t="n"/>
      <c r="BQ42" s="205" t="n"/>
      <c r="BR42" s="205" t="n"/>
      <c r="BS42" s="205" t="n"/>
      <c r="BT42" s="205" t="n"/>
      <c r="BU42" s="205" t="n"/>
      <c r="BV42" s="205" t="n"/>
      <c r="BW42" s="208" t="n"/>
      <c r="BX42" s="204" t="n"/>
      <c r="BY42" s="205" t="n"/>
      <c r="BZ42" s="205" t="n"/>
      <c r="CA42" s="205" t="n"/>
      <c r="CB42" s="206" t="n"/>
      <c r="CC42" s="207" t="inlineStr">
        <is>
          <t>●</t>
        </is>
      </c>
      <c r="CD42" s="205" t="n"/>
      <c r="CE42" s="205" t="inlineStr">
        <is>
          <t>●</t>
        </is>
      </c>
      <c r="CF42" s="206" t="n"/>
      <c r="CG42" s="160" t="n"/>
    </row>
    <row r="43">
      <c r="A43" s="160" t="n"/>
      <c r="B43" s="202" t="n"/>
      <c r="C43" s="203" t="inlineStr">
        <is>
          <t>47A</t>
        </is>
      </c>
      <c r="D43" s="204" t="n"/>
      <c r="E43" s="205" t="inlineStr">
        <is>
          <t>●</t>
        </is>
      </c>
      <c r="F43" s="205" t="inlineStr">
        <is>
          <t>●</t>
        </is>
      </c>
      <c r="G43" s="205" t="inlineStr">
        <is>
          <t>●</t>
        </is>
      </c>
      <c r="H43" s="205" t="inlineStr">
        <is>
          <t>●</t>
        </is>
      </c>
      <c r="I43" s="205" t="n"/>
      <c r="J43" s="205" t="n"/>
      <c r="K43" s="205" t="n"/>
      <c r="L43" s="205" t="n"/>
      <c r="M43" s="205" t="n"/>
      <c r="N43" s="205" t="n"/>
      <c r="O43" s="206" t="inlineStr">
        <is>
          <t>●</t>
        </is>
      </c>
      <c r="P43" s="207" t="n"/>
      <c r="Q43" s="205" t="n"/>
      <c r="R43" s="205" t="n"/>
      <c r="S43" s="207" t="n"/>
      <c r="T43" s="205" t="n"/>
      <c r="U43" s="205" t="n"/>
      <c r="V43" s="205" t="n"/>
      <c r="W43" s="205" t="n"/>
      <c r="X43" s="205" t="n"/>
      <c r="Y43" s="205" t="n"/>
      <c r="Z43" s="205" t="n"/>
      <c r="AA43" s="205" t="n"/>
      <c r="AB43" s="205" t="n"/>
      <c r="AC43" s="207" t="n"/>
      <c r="AD43" s="205" t="n"/>
      <c r="AE43" s="205" t="n"/>
      <c r="AF43" s="205" t="n"/>
      <c r="AG43" s="205" t="n"/>
      <c r="AH43" s="207" t="n"/>
      <c r="AI43" s="205" t="n"/>
      <c r="AJ43" s="205" t="n"/>
      <c r="AK43" s="205" t="n"/>
      <c r="AL43" s="205" t="n"/>
      <c r="AM43" s="205" t="n"/>
      <c r="AN43" s="205" t="n"/>
      <c r="AO43" s="205" t="n"/>
      <c r="AP43" s="205" t="n"/>
      <c r="AQ43" s="205" t="n"/>
      <c r="AR43" s="207" t="n"/>
      <c r="AS43" s="205" t="n"/>
      <c r="AT43" s="205" t="n"/>
      <c r="AU43" s="208" t="n"/>
      <c r="AV43" s="205" t="n"/>
      <c r="AW43" s="205" t="n"/>
      <c r="AX43" s="207" t="n"/>
      <c r="AY43" s="205" t="n"/>
      <c r="AZ43" s="205" t="n"/>
      <c r="BA43" s="205" t="n"/>
      <c r="BB43" s="205" t="n"/>
      <c r="BC43" s="205" t="n"/>
      <c r="BD43" s="205" t="n"/>
      <c r="BE43" s="205" t="n"/>
      <c r="BF43" s="205" t="n"/>
      <c r="BG43" s="205" t="n"/>
      <c r="BH43" s="205" t="n"/>
      <c r="BI43" s="205" t="n"/>
      <c r="BJ43" s="205" t="n"/>
      <c r="BK43" s="205" t="n"/>
      <c r="BL43" s="207" t="n"/>
      <c r="BM43" s="205" t="n"/>
      <c r="BN43" s="205" t="n"/>
      <c r="BO43" s="205" t="n"/>
      <c r="BP43" s="205" t="n"/>
      <c r="BQ43" s="205" t="n"/>
      <c r="BR43" s="205" t="n"/>
      <c r="BS43" s="205" t="n"/>
      <c r="BT43" s="205" t="n"/>
      <c r="BU43" s="205" t="n"/>
      <c r="BV43" s="205" t="n"/>
      <c r="BW43" s="208" t="n"/>
      <c r="BX43" s="204" t="n"/>
      <c r="BY43" s="205" t="n"/>
      <c r="BZ43" s="205" t="n"/>
      <c r="CA43" s="205" t="n"/>
      <c r="CB43" s="206" t="n"/>
      <c r="CC43" s="207" t="inlineStr">
        <is>
          <t>●</t>
        </is>
      </c>
      <c r="CD43" s="205" t="n"/>
      <c r="CE43" s="205" t="inlineStr">
        <is>
          <t>●</t>
        </is>
      </c>
      <c r="CF43" s="206" t="n"/>
      <c r="CG43" s="160" t="n"/>
    </row>
    <row r="44">
      <c r="A44" s="160" t="n"/>
      <c r="B44" s="202" t="n"/>
      <c r="C44" s="203" t="inlineStr">
        <is>
          <t>60A</t>
        </is>
      </c>
      <c r="D44" s="204" t="n"/>
      <c r="E44" s="205" t="inlineStr">
        <is>
          <t>●</t>
        </is>
      </c>
      <c r="F44" s="205" t="inlineStr">
        <is>
          <t>●</t>
        </is>
      </c>
      <c r="G44" s="205" t="inlineStr">
        <is>
          <t>●</t>
        </is>
      </c>
      <c r="H44" s="205" t="inlineStr">
        <is>
          <t>●</t>
        </is>
      </c>
      <c r="I44" s="205" t="n"/>
      <c r="J44" s="205" t="inlineStr">
        <is>
          <t>●</t>
        </is>
      </c>
      <c r="K44" s="205" t="inlineStr">
        <is>
          <t>●</t>
        </is>
      </c>
      <c r="L44" s="205" t="inlineStr">
        <is>
          <t>●</t>
        </is>
      </c>
      <c r="M44" s="205" t="inlineStr">
        <is>
          <t>●</t>
        </is>
      </c>
      <c r="N44" s="205" t="n"/>
      <c r="O44" s="206" t="n"/>
      <c r="P44" s="207" t="n"/>
      <c r="Q44" s="205" t="n"/>
      <c r="R44" s="205" t="n"/>
      <c r="S44" s="207" t="n"/>
      <c r="T44" s="205" t="n"/>
      <c r="U44" s="205" t="n"/>
      <c r="V44" s="205" t="n"/>
      <c r="W44" s="205" t="n"/>
      <c r="X44" s="205" t="n"/>
      <c r="Y44" s="205" t="n"/>
      <c r="Z44" s="205" t="n"/>
      <c r="AA44" s="205" t="n"/>
      <c r="AB44" s="205" t="n"/>
      <c r="AC44" s="207" t="n"/>
      <c r="AD44" s="205" t="n"/>
      <c r="AE44" s="205" t="n"/>
      <c r="AF44" s="205" t="n"/>
      <c r="AG44" s="205" t="n"/>
      <c r="AH44" s="207" t="n"/>
      <c r="AI44" s="205" t="n"/>
      <c r="AJ44" s="205" t="n"/>
      <c r="AK44" s="205" t="n"/>
      <c r="AL44" s="205" t="n"/>
      <c r="AM44" s="205" t="n"/>
      <c r="AN44" s="205" t="n"/>
      <c r="AO44" s="205" t="n"/>
      <c r="AP44" s="205" t="n"/>
      <c r="AQ44" s="205" t="n"/>
      <c r="AR44" s="207" t="n"/>
      <c r="AS44" s="205" t="n"/>
      <c r="AT44" s="205" t="n"/>
      <c r="AU44" s="208" t="n"/>
      <c r="AV44" s="205" t="n"/>
      <c r="AW44" s="205" t="n"/>
      <c r="AX44" s="207" t="n"/>
      <c r="AY44" s="205" t="n"/>
      <c r="AZ44" s="205" t="n"/>
      <c r="BA44" s="205" t="n"/>
      <c r="BB44" s="205" t="n"/>
      <c r="BC44" s="205" t="n"/>
      <c r="BD44" s="205" t="n"/>
      <c r="BE44" s="205" t="n"/>
      <c r="BF44" s="205" t="n"/>
      <c r="BG44" s="205" t="n"/>
      <c r="BH44" s="205" t="n"/>
      <c r="BI44" s="205" t="n"/>
      <c r="BJ44" s="205" t="n"/>
      <c r="BK44" s="205" t="n"/>
      <c r="BL44" s="207" t="n"/>
      <c r="BM44" s="205" t="n"/>
      <c r="BN44" s="205" t="n"/>
      <c r="BO44" s="205" t="n"/>
      <c r="BP44" s="205" t="n"/>
      <c r="BQ44" s="205" t="n"/>
      <c r="BR44" s="205" t="n"/>
      <c r="BS44" s="205" t="n"/>
      <c r="BT44" s="205" t="n"/>
      <c r="BU44" s="205" t="n"/>
      <c r="BV44" s="205" t="n"/>
      <c r="BW44" s="208" t="n"/>
      <c r="BX44" s="204" t="n"/>
      <c r="BY44" s="205" t="n"/>
      <c r="BZ44" s="205" t="n"/>
      <c r="CA44" s="205" t="n"/>
      <c r="CB44" s="206" t="n"/>
      <c r="CC44" s="207" t="n"/>
      <c r="CD44" s="205" t="n"/>
      <c r="CE44" s="205" t="n"/>
      <c r="CF44" s="206" t="n"/>
      <c r="CG44" s="160" t="n"/>
    </row>
    <row r="45">
      <c r="A45" s="160" t="n"/>
      <c r="B45" s="202" t="n"/>
      <c r="C45" s="203" t="inlineStr">
        <is>
          <t>61A</t>
        </is>
      </c>
      <c r="D45" s="204" t="inlineStr">
        <is>
          <t>●</t>
        </is>
      </c>
      <c r="E45" s="205" t="inlineStr">
        <is>
          <t>●</t>
        </is>
      </c>
      <c r="F45" s="205" t="inlineStr">
        <is>
          <t>●</t>
        </is>
      </c>
      <c r="G45" s="205" t="inlineStr">
        <is>
          <t>●</t>
        </is>
      </c>
      <c r="H45" s="205" t="inlineStr">
        <is>
          <t>●</t>
        </is>
      </c>
      <c r="I45" s="205" t="inlineStr">
        <is>
          <t>●</t>
        </is>
      </c>
      <c r="J45" s="205" t="inlineStr">
        <is>
          <t>●</t>
        </is>
      </c>
      <c r="K45" s="205" t="inlineStr">
        <is>
          <t>●</t>
        </is>
      </c>
      <c r="L45" s="205" t="inlineStr">
        <is>
          <t>●</t>
        </is>
      </c>
      <c r="M45" s="205" t="inlineStr">
        <is>
          <t>●</t>
        </is>
      </c>
      <c r="N45" s="205" t="n"/>
      <c r="O45" s="206" t="n"/>
      <c r="P45" s="207" t="n"/>
      <c r="Q45" s="205" t="n"/>
      <c r="R45" s="205" t="n"/>
      <c r="S45" s="207" t="n"/>
      <c r="T45" s="205" t="n"/>
      <c r="U45" s="205" t="n"/>
      <c r="V45" s="205" t="n"/>
      <c r="W45" s="205" t="n"/>
      <c r="X45" s="205" t="n"/>
      <c r="Y45" s="205" t="n"/>
      <c r="Z45" s="205" t="n"/>
      <c r="AA45" s="205" t="n"/>
      <c r="AB45" s="205" t="n"/>
      <c r="AC45" s="207" t="n"/>
      <c r="AD45" s="205" t="n"/>
      <c r="AE45" s="205" t="n"/>
      <c r="AF45" s="205" t="n"/>
      <c r="AG45" s="205" t="n"/>
      <c r="AH45" s="207" t="n"/>
      <c r="AI45" s="205" t="n"/>
      <c r="AJ45" s="205" t="n"/>
      <c r="AK45" s="205" t="n"/>
      <c r="AL45" s="205" t="n"/>
      <c r="AM45" s="205" t="n"/>
      <c r="AN45" s="205" t="n"/>
      <c r="AO45" s="205" t="n"/>
      <c r="AP45" s="205" t="n"/>
      <c r="AQ45" s="205" t="n"/>
      <c r="AR45" s="207" t="n"/>
      <c r="AS45" s="205" t="n"/>
      <c r="AT45" s="205" t="n"/>
      <c r="AU45" s="208" t="n"/>
      <c r="AV45" s="205" t="n"/>
      <c r="AW45" s="205" t="n"/>
      <c r="AX45" s="207" t="n"/>
      <c r="AY45" s="205" t="n"/>
      <c r="AZ45" s="205" t="n"/>
      <c r="BA45" s="205" t="n"/>
      <c r="BB45" s="205" t="n"/>
      <c r="BC45" s="205" t="n"/>
      <c r="BD45" s="205" t="n"/>
      <c r="BE45" s="205" t="n"/>
      <c r="BF45" s="205" t="n"/>
      <c r="BG45" s="205" t="n"/>
      <c r="BH45" s="205" t="n"/>
      <c r="BI45" s="205" t="n"/>
      <c r="BJ45" s="205" t="n"/>
      <c r="BK45" s="205" t="n"/>
      <c r="BL45" s="207" t="n"/>
      <c r="BM45" s="205" t="n"/>
      <c r="BN45" s="205" t="n"/>
      <c r="BO45" s="205" t="n"/>
      <c r="BP45" s="205" t="n"/>
      <c r="BQ45" s="205" t="n"/>
      <c r="BR45" s="205" t="n"/>
      <c r="BS45" s="205" t="n"/>
      <c r="BT45" s="205" t="n"/>
      <c r="BU45" s="205" t="n"/>
      <c r="BV45" s="205" t="n"/>
      <c r="BW45" s="208" t="n"/>
      <c r="BX45" s="204" t="inlineStr">
        <is>
          <t>●</t>
        </is>
      </c>
      <c r="BY45" s="205" t="inlineStr">
        <is>
          <t>●</t>
        </is>
      </c>
      <c r="BZ45" s="205" t="inlineStr">
        <is>
          <t>●</t>
        </is>
      </c>
      <c r="CA45" s="205" t="inlineStr">
        <is>
          <t>●</t>
        </is>
      </c>
      <c r="CB45" s="206" t="inlineStr">
        <is>
          <t>●</t>
        </is>
      </c>
      <c r="CC45" s="207" t="n"/>
      <c r="CD45" s="205" t="n"/>
      <c r="CE45" s="205" t="n"/>
      <c r="CF45" s="206" t="n"/>
      <c r="CG45" s="160" t="n"/>
    </row>
    <row r="46">
      <c r="A46" s="160" t="n"/>
      <c r="B46" s="202" t="n"/>
      <c r="C46" s="203" t="inlineStr">
        <is>
          <t>62A</t>
        </is>
      </c>
      <c r="D46" s="204" t="n"/>
      <c r="E46" s="205" t="inlineStr">
        <is>
          <t>●</t>
        </is>
      </c>
      <c r="F46" s="205" t="inlineStr">
        <is>
          <t>●</t>
        </is>
      </c>
      <c r="G46" s="205" t="inlineStr">
        <is>
          <t>●</t>
        </is>
      </c>
      <c r="H46" s="205" t="inlineStr">
        <is>
          <t>●</t>
        </is>
      </c>
      <c r="I46" s="205" t="n"/>
      <c r="J46" s="205" t="inlineStr">
        <is>
          <t>●</t>
        </is>
      </c>
      <c r="K46" s="205" t="inlineStr">
        <is>
          <t>●</t>
        </is>
      </c>
      <c r="L46" s="205" t="inlineStr">
        <is>
          <t>●</t>
        </is>
      </c>
      <c r="M46" s="205" t="inlineStr">
        <is>
          <t>●</t>
        </is>
      </c>
      <c r="N46" s="205" t="n"/>
      <c r="O46" s="206" t="inlineStr">
        <is>
          <t>●</t>
        </is>
      </c>
      <c r="P46" s="207" t="n"/>
      <c r="Q46" s="205" t="n"/>
      <c r="R46" s="205" t="n"/>
      <c r="S46" s="207" t="n"/>
      <c r="T46" s="205" t="n"/>
      <c r="U46" s="205" t="n"/>
      <c r="V46" s="205" t="n"/>
      <c r="W46" s="205" t="n"/>
      <c r="X46" s="205" t="n"/>
      <c r="Y46" s="205" t="n"/>
      <c r="Z46" s="205" t="n"/>
      <c r="AA46" s="205" t="n"/>
      <c r="AB46" s="205" t="n"/>
      <c r="AC46" s="207" t="n"/>
      <c r="AD46" s="205" t="n"/>
      <c r="AE46" s="205" t="n"/>
      <c r="AF46" s="205" t="n"/>
      <c r="AG46" s="205" t="n"/>
      <c r="AH46" s="207" t="n"/>
      <c r="AI46" s="205" t="n"/>
      <c r="AJ46" s="205" t="n"/>
      <c r="AK46" s="205" t="n"/>
      <c r="AL46" s="205" t="n"/>
      <c r="AM46" s="205" t="n"/>
      <c r="AN46" s="205" t="n"/>
      <c r="AO46" s="205" t="n"/>
      <c r="AP46" s="205" t="n"/>
      <c r="AQ46" s="205" t="n"/>
      <c r="AR46" s="207" t="n"/>
      <c r="AS46" s="205" t="n"/>
      <c r="AT46" s="205" t="n"/>
      <c r="AU46" s="208" t="n"/>
      <c r="AV46" s="205" t="n"/>
      <c r="AW46" s="205" t="n"/>
      <c r="AX46" s="207" t="n"/>
      <c r="AY46" s="205" t="n"/>
      <c r="AZ46" s="205" t="n"/>
      <c r="BA46" s="205" t="n"/>
      <c r="BB46" s="205" t="n"/>
      <c r="BC46" s="205" t="n"/>
      <c r="BD46" s="205" t="n"/>
      <c r="BE46" s="205" t="n"/>
      <c r="BF46" s="205" t="n"/>
      <c r="BG46" s="205" t="n"/>
      <c r="BH46" s="205" t="n"/>
      <c r="BI46" s="205" t="n"/>
      <c r="BJ46" s="205" t="n"/>
      <c r="BK46" s="205" t="n"/>
      <c r="BL46" s="207" t="n"/>
      <c r="BM46" s="205" t="n"/>
      <c r="BN46" s="205" t="n"/>
      <c r="BO46" s="205" t="n"/>
      <c r="BP46" s="205" t="n"/>
      <c r="BQ46" s="205" t="n"/>
      <c r="BR46" s="205" t="n"/>
      <c r="BS46" s="205" t="n"/>
      <c r="BT46" s="205" t="n"/>
      <c r="BU46" s="205" t="n"/>
      <c r="BV46" s="205" t="n"/>
      <c r="BW46" s="208" t="n"/>
      <c r="BX46" s="204" t="n"/>
      <c r="BY46" s="205" t="n"/>
      <c r="BZ46" s="205" t="n"/>
      <c r="CA46" s="205" t="n"/>
      <c r="CB46" s="206" t="n"/>
      <c r="CC46" s="207" t="n"/>
      <c r="CD46" s="205" t="n"/>
      <c r="CE46" s="205" t="n"/>
      <c r="CF46" s="206" t="n"/>
      <c r="CG46" s="160" t="n"/>
    </row>
    <row r="47">
      <c r="A47" s="160" t="n"/>
      <c r="B47" s="202" t="n"/>
      <c r="C47" s="203" t="inlineStr">
        <is>
          <t>63A</t>
        </is>
      </c>
      <c r="D47" s="204" t="n"/>
      <c r="E47" s="205" t="inlineStr">
        <is>
          <t>●</t>
        </is>
      </c>
      <c r="F47" s="205" t="inlineStr">
        <is>
          <t>●</t>
        </is>
      </c>
      <c r="G47" s="205" t="inlineStr">
        <is>
          <t>●</t>
        </is>
      </c>
      <c r="H47" s="205" t="inlineStr">
        <is>
          <t>●</t>
        </is>
      </c>
      <c r="I47" s="205" t="n"/>
      <c r="J47" s="205" t="inlineStr">
        <is>
          <t>●</t>
        </is>
      </c>
      <c r="K47" s="205" t="inlineStr">
        <is>
          <t>●</t>
        </is>
      </c>
      <c r="L47" s="205" t="inlineStr">
        <is>
          <t>●</t>
        </is>
      </c>
      <c r="M47" s="205" t="inlineStr">
        <is>
          <t>●</t>
        </is>
      </c>
      <c r="N47" s="205" t="n"/>
      <c r="O47" s="206" t="inlineStr">
        <is>
          <t>●</t>
        </is>
      </c>
      <c r="P47" s="207" t="n"/>
      <c r="Q47" s="205" t="n"/>
      <c r="R47" s="205" t="n"/>
      <c r="S47" s="207" t="n"/>
      <c r="T47" s="205" t="n"/>
      <c r="U47" s="205" t="n"/>
      <c r="V47" s="205" t="n"/>
      <c r="W47" s="205" t="n"/>
      <c r="X47" s="205" t="n"/>
      <c r="Y47" s="205" t="n"/>
      <c r="Z47" s="205" t="n"/>
      <c r="AA47" s="205" t="n"/>
      <c r="AB47" s="205" t="n"/>
      <c r="AC47" s="207" t="n"/>
      <c r="AD47" s="205" t="n"/>
      <c r="AE47" s="205" t="n"/>
      <c r="AF47" s="205" t="n"/>
      <c r="AG47" s="205" t="n"/>
      <c r="AH47" s="207" t="n"/>
      <c r="AI47" s="205" t="n"/>
      <c r="AJ47" s="205" t="n"/>
      <c r="AK47" s="205" t="n"/>
      <c r="AL47" s="205" t="n"/>
      <c r="AM47" s="205" t="n"/>
      <c r="AN47" s="205" t="n"/>
      <c r="AO47" s="205" t="n"/>
      <c r="AP47" s="205" t="n"/>
      <c r="AQ47" s="205" t="n"/>
      <c r="AR47" s="207" t="n"/>
      <c r="AS47" s="205" t="n"/>
      <c r="AT47" s="205" t="n"/>
      <c r="AU47" s="208" t="n"/>
      <c r="AV47" s="205" t="n"/>
      <c r="AW47" s="205" t="n"/>
      <c r="AX47" s="207" t="n"/>
      <c r="AY47" s="205" t="n"/>
      <c r="AZ47" s="205" t="n"/>
      <c r="BA47" s="205" t="n"/>
      <c r="BB47" s="205" t="n"/>
      <c r="BC47" s="205" t="n"/>
      <c r="BD47" s="205" t="n"/>
      <c r="BE47" s="205" t="n"/>
      <c r="BF47" s="205" t="n"/>
      <c r="BG47" s="205" t="n"/>
      <c r="BH47" s="205" t="n"/>
      <c r="BI47" s="205" t="n"/>
      <c r="BJ47" s="205" t="n"/>
      <c r="BK47" s="205" t="n"/>
      <c r="BL47" s="207" t="n"/>
      <c r="BM47" s="205" t="n"/>
      <c r="BN47" s="205" t="n"/>
      <c r="BO47" s="205" t="n"/>
      <c r="BP47" s="205" t="n"/>
      <c r="BQ47" s="205" t="n"/>
      <c r="BR47" s="205" t="n"/>
      <c r="BS47" s="205" t="n"/>
      <c r="BT47" s="205" t="n"/>
      <c r="BU47" s="205" t="n"/>
      <c r="BV47" s="205" t="n"/>
      <c r="BW47" s="208" t="n"/>
      <c r="BX47" s="204" t="n"/>
      <c r="BY47" s="205" t="n"/>
      <c r="BZ47" s="205" t="n"/>
      <c r="CA47" s="205" t="n"/>
      <c r="CB47" s="206" t="n"/>
      <c r="CC47" s="207" t="n"/>
      <c r="CD47" s="205" t="n"/>
      <c r="CE47" s="205" t="n"/>
      <c r="CF47" s="206" t="n"/>
      <c r="CG47" s="160" t="n"/>
    </row>
    <row r="48">
      <c r="A48" s="160" t="n"/>
      <c r="B48" s="202" t="n"/>
      <c r="C48" s="203" t="inlineStr">
        <is>
          <t>64A</t>
        </is>
      </c>
      <c r="D48" s="204" t="n"/>
      <c r="E48" s="205" t="inlineStr">
        <is>
          <t>●</t>
        </is>
      </c>
      <c r="F48" s="205" t="inlineStr">
        <is>
          <t>●</t>
        </is>
      </c>
      <c r="G48" s="205" t="inlineStr">
        <is>
          <t>●</t>
        </is>
      </c>
      <c r="H48" s="205" t="inlineStr">
        <is>
          <t>●</t>
        </is>
      </c>
      <c r="I48" s="205" t="n"/>
      <c r="J48" s="205" t="inlineStr">
        <is>
          <t>●</t>
        </is>
      </c>
      <c r="K48" s="205" t="inlineStr">
        <is>
          <t>●</t>
        </is>
      </c>
      <c r="L48" s="205" t="inlineStr">
        <is>
          <t>●</t>
        </is>
      </c>
      <c r="M48" s="205" t="inlineStr">
        <is>
          <t>●</t>
        </is>
      </c>
      <c r="N48" s="205" t="n"/>
      <c r="O48" s="206" t="n"/>
      <c r="P48" s="207" t="n"/>
      <c r="Q48" s="205" t="n"/>
      <c r="R48" s="205" t="n"/>
      <c r="S48" s="207" t="n"/>
      <c r="T48" s="205" t="n"/>
      <c r="U48" s="205" t="n"/>
      <c r="V48" s="205" t="n"/>
      <c r="W48" s="205" t="n"/>
      <c r="X48" s="205" t="n"/>
      <c r="Y48" s="205" t="n"/>
      <c r="Z48" s="205" t="n"/>
      <c r="AA48" s="205" t="n"/>
      <c r="AB48" s="205" t="n"/>
      <c r="AC48" s="207" t="n"/>
      <c r="AD48" s="205" t="n"/>
      <c r="AE48" s="205" t="n"/>
      <c r="AF48" s="205" t="n"/>
      <c r="AG48" s="205" t="n"/>
      <c r="AH48" s="207" t="n"/>
      <c r="AI48" s="205" t="n"/>
      <c r="AJ48" s="205" t="n"/>
      <c r="AK48" s="205" t="n"/>
      <c r="AL48" s="205" t="n"/>
      <c r="AM48" s="205" t="n"/>
      <c r="AN48" s="205" t="n"/>
      <c r="AO48" s="205" t="n"/>
      <c r="AP48" s="205" t="n"/>
      <c r="AQ48" s="205" t="n"/>
      <c r="AR48" s="207" t="n"/>
      <c r="AS48" s="205" t="n"/>
      <c r="AT48" s="205" t="n"/>
      <c r="AU48" s="208" t="n"/>
      <c r="AV48" s="205" t="n"/>
      <c r="AW48" s="205" t="n"/>
      <c r="AX48" s="207" t="n"/>
      <c r="AY48" s="205" t="n"/>
      <c r="AZ48" s="205" t="n"/>
      <c r="BA48" s="205" t="n"/>
      <c r="BB48" s="205" t="n"/>
      <c r="BC48" s="205" t="n"/>
      <c r="BD48" s="205" t="n"/>
      <c r="BE48" s="205" t="n"/>
      <c r="BF48" s="205" t="n"/>
      <c r="BG48" s="205" t="n"/>
      <c r="BH48" s="205" t="n"/>
      <c r="BI48" s="205" t="n"/>
      <c r="BJ48" s="205" t="n"/>
      <c r="BK48" s="205" t="n"/>
      <c r="BL48" s="207" t="n"/>
      <c r="BM48" s="205" t="n"/>
      <c r="BN48" s="205" t="n"/>
      <c r="BO48" s="205" t="n"/>
      <c r="BP48" s="205" t="n"/>
      <c r="BQ48" s="205" t="n"/>
      <c r="BR48" s="205" t="n"/>
      <c r="BS48" s="205" t="n"/>
      <c r="BT48" s="205" t="n"/>
      <c r="BU48" s="205" t="n"/>
      <c r="BV48" s="205" t="n"/>
      <c r="BW48" s="208" t="n"/>
      <c r="BX48" s="204" t="n"/>
      <c r="BY48" s="205" t="n"/>
      <c r="BZ48" s="205" t="n"/>
      <c r="CA48" s="205" t="n"/>
      <c r="CB48" s="206" t="n"/>
      <c r="CC48" s="207" t="inlineStr">
        <is>
          <t>●</t>
        </is>
      </c>
      <c r="CD48" s="205" t="n"/>
      <c r="CE48" s="205" t="inlineStr">
        <is>
          <t>●</t>
        </is>
      </c>
      <c r="CF48" s="206" t="n"/>
      <c r="CG48" s="160" t="n"/>
    </row>
    <row r="49">
      <c r="A49" s="160" t="n"/>
      <c r="B49" s="202" t="n"/>
      <c r="C49" s="203" t="inlineStr">
        <is>
          <t>65A</t>
        </is>
      </c>
      <c r="D49" s="204" t="n"/>
      <c r="E49" s="205" t="inlineStr">
        <is>
          <t>●</t>
        </is>
      </c>
      <c r="F49" s="205" t="inlineStr">
        <is>
          <t>●</t>
        </is>
      </c>
      <c r="G49" s="205" t="inlineStr">
        <is>
          <t>●</t>
        </is>
      </c>
      <c r="H49" s="205" t="inlineStr">
        <is>
          <t>●</t>
        </is>
      </c>
      <c r="I49" s="205" t="n"/>
      <c r="J49" s="205" t="inlineStr">
        <is>
          <t>●</t>
        </is>
      </c>
      <c r="K49" s="205" t="inlineStr">
        <is>
          <t>●</t>
        </is>
      </c>
      <c r="L49" s="205" t="inlineStr">
        <is>
          <t>●</t>
        </is>
      </c>
      <c r="M49" s="205" t="inlineStr">
        <is>
          <t>●</t>
        </is>
      </c>
      <c r="N49" s="205" t="n"/>
      <c r="O49" s="206" t="n"/>
      <c r="P49" s="207" t="n"/>
      <c r="Q49" s="205" t="n"/>
      <c r="R49" s="205" t="n"/>
      <c r="S49" s="207" t="n"/>
      <c r="T49" s="205" t="n"/>
      <c r="U49" s="205" t="n"/>
      <c r="V49" s="205" t="n"/>
      <c r="W49" s="205" t="n"/>
      <c r="X49" s="205" t="n"/>
      <c r="Y49" s="205" t="n"/>
      <c r="Z49" s="205" t="n"/>
      <c r="AA49" s="205" t="n"/>
      <c r="AB49" s="205" t="n"/>
      <c r="AC49" s="207" t="n"/>
      <c r="AD49" s="205" t="n"/>
      <c r="AE49" s="205" t="n"/>
      <c r="AF49" s="205" t="n"/>
      <c r="AG49" s="205" t="n"/>
      <c r="AH49" s="207" t="n"/>
      <c r="AI49" s="205" t="n"/>
      <c r="AJ49" s="205" t="n"/>
      <c r="AK49" s="205" t="n"/>
      <c r="AL49" s="205" t="n"/>
      <c r="AM49" s="205" t="n"/>
      <c r="AN49" s="205" t="n"/>
      <c r="AO49" s="205" t="n"/>
      <c r="AP49" s="205" t="n"/>
      <c r="AQ49" s="205" t="n"/>
      <c r="AR49" s="207" t="n"/>
      <c r="AS49" s="205" t="n"/>
      <c r="AT49" s="205" t="n"/>
      <c r="AU49" s="208" t="n"/>
      <c r="AV49" s="205" t="n"/>
      <c r="AW49" s="205" t="n"/>
      <c r="AX49" s="207" t="n"/>
      <c r="AY49" s="205" t="n"/>
      <c r="AZ49" s="205" t="n"/>
      <c r="BA49" s="205" t="n"/>
      <c r="BB49" s="205" t="n"/>
      <c r="BC49" s="205" t="n"/>
      <c r="BD49" s="205" t="n"/>
      <c r="BE49" s="205" t="n"/>
      <c r="BF49" s="205" t="n"/>
      <c r="BG49" s="205" t="n"/>
      <c r="BH49" s="205" t="n"/>
      <c r="BI49" s="205" t="n"/>
      <c r="BJ49" s="205" t="n"/>
      <c r="BK49" s="205" t="n"/>
      <c r="BL49" s="207" t="n"/>
      <c r="BM49" s="205" t="n"/>
      <c r="BN49" s="205" t="n"/>
      <c r="BO49" s="205" t="n"/>
      <c r="BP49" s="205" t="n"/>
      <c r="BQ49" s="205" t="n"/>
      <c r="BR49" s="205" t="n"/>
      <c r="BS49" s="205" t="n"/>
      <c r="BT49" s="205" t="n"/>
      <c r="BU49" s="205" t="n"/>
      <c r="BV49" s="205" t="n"/>
      <c r="BW49" s="208" t="n"/>
      <c r="BX49" s="204" t="n"/>
      <c r="BY49" s="205" t="n"/>
      <c r="BZ49" s="205" t="n"/>
      <c r="CA49" s="205" t="n"/>
      <c r="CB49" s="206" t="n"/>
      <c r="CC49" s="207" t="inlineStr">
        <is>
          <t>●</t>
        </is>
      </c>
      <c r="CD49" s="205" t="n"/>
      <c r="CE49" s="205" t="inlineStr">
        <is>
          <t>●</t>
        </is>
      </c>
      <c r="CF49" s="206" t="n"/>
      <c r="CG49" s="160" t="n"/>
    </row>
    <row r="50">
      <c r="A50" s="160" t="n"/>
      <c r="B50" s="202" t="n"/>
      <c r="C50" s="203" t="inlineStr">
        <is>
          <t>66A</t>
        </is>
      </c>
      <c r="D50" s="204" t="n"/>
      <c r="E50" s="205" t="inlineStr">
        <is>
          <t>●</t>
        </is>
      </c>
      <c r="F50" s="205" t="inlineStr">
        <is>
          <t>●</t>
        </is>
      </c>
      <c r="G50" s="205" t="inlineStr">
        <is>
          <t>●</t>
        </is>
      </c>
      <c r="H50" s="205" t="inlineStr">
        <is>
          <t>●</t>
        </is>
      </c>
      <c r="I50" s="205" t="n"/>
      <c r="J50" s="205" t="inlineStr">
        <is>
          <t>●</t>
        </is>
      </c>
      <c r="K50" s="205" t="inlineStr">
        <is>
          <t>●</t>
        </is>
      </c>
      <c r="L50" s="205" t="inlineStr">
        <is>
          <t>●</t>
        </is>
      </c>
      <c r="M50" s="205" t="inlineStr">
        <is>
          <t>●</t>
        </is>
      </c>
      <c r="N50" s="205" t="n"/>
      <c r="O50" s="206" t="inlineStr">
        <is>
          <t>●</t>
        </is>
      </c>
      <c r="P50" s="207" t="n"/>
      <c r="Q50" s="205" t="n"/>
      <c r="R50" s="205" t="n"/>
      <c r="S50" s="207" t="n"/>
      <c r="T50" s="205" t="n"/>
      <c r="U50" s="205" t="n"/>
      <c r="V50" s="205" t="n"/>
      <c r="W50" s="205" t="n"/>
      <c r="X50" s="205" t="n"/>
      <c r="Y50" s="205" t="n"/>
      <c r="Z50" s="205" t="n"/>
      <c r="AA50" s="205" t="n"/>
      <c r="AB50" s="205" t="n"/>
      <c r="AC50" s="207" t="n"/>
      <c r="AD50" s="205" t="n"/>
      <c r="AE50" s="205" t="n"/>
      <c r="AF50" s="205" t="n"/>
      <c r="AG50" s="205" t="n"/>
      <c r="AH50" s="207" t="n"/>
      <c r="AI50" s="205" t="n"/>
      <c r="AJ50" s="205" t="n"/>
      <c r="AK50" s="205" t="n"/>
      <c r="AL50" s="205" t="n"/>
      <c r="AM50" s="205" t="n"/>
      <c r="AN50" s="205" t="n"/>
      <c r="AO50" s="205" t="n"/>
      <c r="AP50" s="205" t="n"/>
      <c r="AQ50" s="205" t="n"/>
      <c r="AR50" s="207" t="n"/>
      <c r="AS50" s="205" t="n"/>
      <c r="AT50" s="205" t="n"/>
      <c r="AU50" s="208" t="n"/>
      <c r="AV50" s="205" t="n"/>
      <c r="AW50" s="205" t="n"/>
      <c r="AX50" s="207" t="n"/>
      <c r="AY50" s="205" t="n"/>
      <c r="AZ50" s="205" t="n"/>
      <c r="BA50" s="205" t="n"/>
      <c r="BB50" s="205" t="n"/>
      <c r="BC50" s="205" t="n"/>
      <c r="BD50" s="205" t="n"/>
      <c r="BE50" s="205" t="n"/>
      <c r="BF50" s="205" t="n"/>
      <c r="BG50" s="205" t="n"/>
      <c r="BH50" s="205" t="n"/>
      <c r="BI50" s="205" t="n"/>
      <c r="BJ50" s="205" t="n"/>
      <c r="BK50" s="205" t="n"/>
      <c r="BL50" s="207" t="n"/>
      <c r="BM50" s="205" t="n"/>
      <c r="BN50" s="205" t="n"/>
      <c r="BO50" s="205" t="n"/>
      <c r="BP50" s="205" t="n"/>
      <c r="BQ50" s="205" t="n"/>
      <c r="BR50" s="205" t="n"/>
      <c r="BS50" s="205" t="n"/>
      <c r="BT50" s="205" t="n"/>
      <c r="BU50" s="205" t="n"/>
      <c r="BV50" s="205" t="n"/>
      <c r="BW50" s="208" t="n"/>
      <c r="BX50" s="204" t="n"/>
      <c r="BY50" s="205" t="n"/>
      <c r="BZ50" s="205" t="n"/>
      <c r="CA50" s="205" t="n"/>
      <c r="CB50" s="206" t="n"/>
      <c r="CC50" s="207" t="inlineStr">
        <is>
          <t>●</t>
        </is>
      </c>
      <c r="CD50" s="205" t="n"/>
      <c r="CE50" s="205" t="inlineStr">
        <is>
          <t>●</t>
        </is>
      </c>
      <c r="CF50" s="206" t="n"/>
      <c r="CG50" s="160" t="n"/>
    </row>
    <row r="51">
      <c r="A51" s="160" t="n"/>
      <c r="B51" s="202" t="n"/>
      <c r="C51" s="203" t="inlineStr">
        <is>
          <t>67A</t>
        </is>
      </c>
      <c r="D51" s="204" t="n"/>
      <c r="E51" s="205" t="inlineStr">
        <is>
          <t>●</t>
        </is>
      </c>
      <c r="F51" s="205" t="inlineStr">
        <is>
          <t>●</t>
        </is>
      </c>
      <c r="G51" s="205" t="inlineStr">
        <is>
          <t>●</t>
        </is>
      </c>
      <c r="H51" s="205" t="inlineStr">
        <is>
          <t>●</t>
        </is>
      </c>
      <c r="I51" s="205" t="n"/>
      <c r="J51" s="205" t="inlineStr">
        <is>
          <t>●</t>
        </is>
      </c>
      <c r="K51" s="205" t="inlineStr">
        <is>
          <t>●</t>
        </is>
      </c>
      <c r="L51" s="205" t="inlineStr">
        <is>
          <t>●</t>
        </is>
      </c>
      <c r="M51" s="205" t="inlineStr">
        <is>
          <t>●</t>
        </is>
      </c>
      <c r="N51" s="205" t="n"/>
      <c r="O51" s="206" t="inlineStr">
        <is>
          <t>●</t>
        </is>
      </c>
      <c r="P51" s="207" t="n"/>
      <c r="Q51" s="205" t="n"/>
      <c r="R51" s="205" t="n"/>
      <c r="S51" s="207" t="n"/>
      <c r="T51" s="205" t="n"/>
      <c r="U51" s="205" t="n"/>
      <c r="V51" s="205" t="n"/>
      <c r="W51" s="205" t="n"/>
      <c r="X51" s="205" t="n"/>
      <c r="Y51" s="205" t="n"/>
      <c r="Z51" s="205" t="n"/>
      <c r="AA51" s="205" t="n"/>
      <c r="AB51" s="205" t="n"/>
      <c r="AC51" s="207" t="n"/>
      <c r="AD51" s="205" t="n"/>
      <c r="AE51" s="205" t="n"/>
      <c r="AF51" s="205" t="n"/>
      <c r="AG51" s="205" t="n"/>
      <c r="AH51" s="207" t="n"/>
      <c r="AI51" s="205" t="n"/>
      <c r="AJ51" s="205" t="n"/>
      <c r="AK51" s="205" t="n"/>
      <c r="AL51" s="205" t="n"/>
      <c r="AM51" s="205" t="n"/>
      <c r="AN51" s="205" t="n"/>
      <c r="AO51" s="205" t="n"/>
      <c r="AP51" s="205" t="n"/>
      <c r="AQ51" s="205" t="n"/>
      <c r="AR51" s="207" t="n"/>
      <c r="AS51" s="205" t="n"/>
      <c r="AT51" s="205" t="n"/>
      <c r="AU51" s="208" t="n"/>
      <c r="AV51" s="205" t="n"/>
      <c r="AW51" s="205" t="n"/>
      <c r="AX51" s="207" t="n"/>
      <c r="AY51" s="205" t="n"/>
      <c r="AZ51" s="205" t="n"/>
      <c r="BA51" s="205" t="n"/>
      <c r="BB51" s="205" t="n"/>
      <c r="BC51" s="205" t="n"/>
      <c r="BD51" s="205" t="n"/>
      <c r="BE51" s="205" t="n"/>
      <c r="BF51" s="205" t="n"/>
      <c r="BG51" s="205" t="n"/>
      <c r="BH51" s="205" t="n"/>
      <c r="BI51" s="205" t="n"/>
      <c r="BJ51" s="205" t="n"/>
      <c r="BK51" s="205" t="n"/>
      <c r="BL51" s="207" t="n"/>
      <c r="BM51" s="205" t="n"/>
      <c r="BN51" s="205" t="n"/>
      <c r="BO51" s="205" t="n"/>
      <c r="BP51" s="205" t="n"/>
      <c r="BQ51" s="205" t="n"/>
      <c r="BR51" s="205" t="n"/>
      <c r="BS51" s="205" t="n"/>
      <c r="BT51" s="205" t="n"/>
      <c r="BU51" s="205" t="n"/>
      <c r="BV51" s="205" t="n"/>
      <c r="BW51" s="208" t="n"/>
      <c r="BX51" s="204" t="n"/>
      <c r="BY51" s="205" t="n"/>
      <c r="BZ51" s="205" t="n"/>
      <c r="CA51" s="205" t="n"/>
      <c r="CB51" s="206" t="n"/>
      <c r="CC51" s="207" t="inlineStr">
        <is>
          <t>●</t>
        </is>
      </c>
      <c r="CD51" s="205" t="n"/>
      <c r="CE51" s="205" t="inlineStr">
        <is>
          <t>●</t>
        </is>
      </c>
      <c r="CF51" s="206" t="n"/>
      <c r="CG51" s="160" t="n"/>
    </row>
    <row r="52">
      <c r="A52" s="160" t="n"/>
      <c r="B52" s="202" t="n"/>
      <c r="C52" s="203" t="inlineStr">
        <is>
          <t>70A</t>
        </is>
      </c>
      <c r="D52" s="204" t="n"/>
      <c r="E52" s="205" t="inlineStr">
        <is>
          <t>●</t>
        </is>
      </c>
      <c r="F52" s="205" t="inlineStr">
        <is>
          <t>●</t>
        </is>
      </c>
      <c r="G52" s="205" t="inlineStr">
        <is>
          <t>●</t>
        </is>
      </c>
      <c r="H52" s="205" t="inlineStr">
        <is>
          <t>●</t>
        </is>
      </c>
      <c r="I52" s="205" t="n"/>
      <c r="J52" s="205" t="inlineStr">
        <is>
          <t>●</t>
        </is>
      </c>
      <c r="K52" s="205" t="inlineStr">
        <is>
          <t>●</t>
        </is>
      </c>
      <c r="L52" s="205" t="inlineStr">
        <is>
          <t>●</t>
        </is>
      </c>
      <c r="M52" s="205" t="inlineStr">
        <is>
          <t>●</t>
        </is>
      </c>
      <c r="N52" s="205" t="inlineStr">
        <is>
          <t>●</t>
        </is>
      </c>
      <c r="O52" s="206" t="n"/>
      <c r="P52" s="207" t="n"/>
      <c r="Q52" s="205" t="n"/>
      <c r="R52" s="205" t="n"/>
      <c r="S52" s="207" t="n"/>
      <c r="T52" s="205" t="n"/>
      <c r="U52" s="205" t="n"/>
      <c r="V52" s="205" t="n"/>
      <c r="W52" s="205" t="n"/>
      <c r="X52" s="205" t="n"/>
      <c r="Y52" s="205" t="n"/>
      <c r="Z52" s="205" t="n"/>
      <c r="AA52" s="205" t="n"/>
      <c r="AB52" s="205" t="n"/>
      <c r="AC52" s="207" t="n"/>
      <c r="AD52" s="205" t="n"/>
      <c r="AE52" s="205" t="n"/>
      <c r="AF52" s="205" t="n"/>
      <c r="AG52" s="205" t="n"/>
      <c r="AH52" s="207" t="n"/>
      <c r="AI52" s="205" t="n"/>
      <c r="AJ52" s="205" t="n"/>
      <c r="AK52" s="205" t="n"/>
      <c r="AL52" s="205" t="n"/>
      <c r="AM52" s="205" t="n"/>
      <c r="AN52" s="205" t="n"/>
      <c r="AO52" s="205" t="n"/>
      <c r="AP52" s="205" t="n"/>
      <c r="AQ52" s="205" t="n"/>
      <c r="AR52" s="207" t="n"/>
      <c r="AS52" s="205" t="n"/>
      <c r="AT52" s="205" t="n"/>
      <c r="AU52" s="208" t="n"/>
      <c r="AV52" s="205" t="n"/>
      <c r="AW52" s="205" t="n"/>
      <c r="AX52" s="207" t="n"/>
      <c r="AY52" s="205" t="n"/>
      <c r="AZ52" s="205" t="n"/>
      <c r="BA52" s="205" t="n"/>
      <c r="BB52" s="205" t="n"/>
      <c r="BC52" s="205" t="n"/>
      <c r="BD52" s="205" t="n"/>
      <c r="BE52" s="205" t="n"/>
      <c r="BF52" s="205" t="n"/>
      <c r="BG52" s="205" t="n"/>
      <c r="BH52" s="205" t="n"/>
      <c r="BI52" s="205" t="n"/>
      <c r="BJ52" s="205" t="n"/>
      <c r="BK52" s="205" t="n"/>
      <c r="BL52" s="207" t="n"/>
      <c r="BM52" s="205" t="n"/>
      <c r="BN52" s="205" t="n"/>
      <c r="BO52" s="205" t="n"/>
      <c r="BP52" s="205" t="n"/>
      <c r="BQ52" s="205" t="n"/>
      <c r="BR52" s="205" t="n"/>
      <c r="BS52" s="205" t="n"/>
      <c r="BT52" s="205" t="n"/>
      <c r="BU52" s="205" t="n"/>
      <c r="BV52" s="205" t="n"/>
      <c r="BW52" s="208" t="n"/>
      <c r="BX52" s="204" t="n"/>
      <c r="BY52" s="205" t="n"/>
      <c r="BZ52" s="205" t="n"/>
      <c r="CA52" s="205" t="n"/>
      <c r="CB52" s="206" t="n"/>
      <c r="CC52" s="207" t="n"/>
      <c r="CD52" s="205" t="n"/>
      <c r="CE52" s="205" t="n"/>
      <c r="CF52" s="206" t="n"/>
      <c r="CG52" s="160" t="n"/>
    </row>
    <row r="53">
      <c r="A53" s="160" t="n"/>
      <c r="B53" s="202" t="n"/>
      <c r="C53" s="203" t="inlineStr">
        <is>
          <t>71A</t>
        </is>
      </c>
      <c r="D53" s="204" t="n"/>
      <c r="E53" s="205" t="inlineStr">
        <is>
          <t>●</t>
        </is>
      </c>
      <c r="F53" s="205" t="inlineStr">
        <is>
          <t>●</t>
        </is>
      </c>
      <c r="G53" s="205" t="inlineStr">
        <is>
          <t>●</t>
        </is>
      </c>
      <c r="H53" s="205" t="inlineStr">
        <is>
          <t>●</t>
        </is>
      </c>
      <c r="I53" s="205" t="n"/>
      <c r="J53" s="205" t="inlineStr">
        <is>
          <t>●</t>
        </is>
      </c>
      <c r="K53" s="205" t="inlineStr">
        <is>
          <t>●</t>
        </is>
      </c>
      <c r="L53" s="205" t="inlineStr">
        <is>
          <t>●</t>
        </is>
      </c>
      <c r="M53" s="205" t="inlineStr">
        <is>
          <t>●</t>
        </is>
      </c>
      <c r="N53" s="205" t="inlineStr">
        <is>
          <t>●</t>
        </is>
      </c>
      <c r="O53" s="206" t="n"/>
      <c r="P53" s="207" t="n"/>
      <c r="Q53" s="205" t="n"/>
      <c r="R53" s="205" t="n"/>
      <c r="S53" s="207" t="n"/>
      <c r="T53" s="205" t="n"/>
      <c r="U53" s="205" t="n"/>
      <c r="V53" s="205" t="n"/>
      <c r="W53" s="205" t="n"/>
      <c r="X53" s="205" t="n"/>
      <c r="Y53" s="205" t="n"/>
      <c r="Z53" s="205" t="n"/>
      <c r="AA53" s="205" t="n"/>
      <c r="AB53" s="205" t="n"/>
      <c r="AC53" s="207" t="n"/>
      <c r="AD53" s="205" t="n"/>
      <c r="AE53" s="205" t="n"/>
      <c r="AF53" s="205" t="n"/>
      <c r="AG53" s="205" t="n"/>
      <c r="AH53" s="207" t="n"/>
      <c r="AI53" s="205" t="n"/>
      <c r="AJ53" s="205" t="n"/>
      <c r="AK53" s="205" t="n"/>
      <c r="AL53" s="205" t="n"/>
      <c r="AM53" s="205" t="n"/>
      <c r="AN53" s="205" t="n"/>
      <c r="AO53" s="205" t="n"/>
      <c r="AP53" s="205" t="n"/>
      <c r="AQ53" s="205" t="n"/>
      <c r="AR53" s="207" t="n"/>
      <c r="AS53" s="205" t="n"/>
      <c r="AT53" s="205" t="n"/>
      <c r="AU53" s="208" t="n"/>
      <c r="AV53" s="205" t="n"/>
      <c r="AW53" s="205" t="n"/>
      <c r="AX53" s="207" t="n"/>
      <c r="AY53" s="205" t="n"/>
      <c r="AZ53" s="205" t="n"/>
      <c r="BA53" s="205" t="n"/>
      <c r="BB53" s="205" t="n"/>
      <c r="BC53" s="205" t="n"/>
      <c r="BD53" s="205" t="n"/>
      <c r="BE53" s="205" t="n"/>
      <c r="BF53" s="205" t="n"/>
      <c r="BG53" s="205" t="n"/>
      <c r="BH53" s="205" t="n"/>
      <c r="BI53" s="205" t="n"/>
      <c r="BJ53" s="205" t="n"/>
      <c r="BK53" s="205" t="n"/>
      <c r="BL53" s="207" t="n"/>
      <c r="BM53" s="205" t="n"/>
      <c r="BN53" s="205" t="n"/>
      <c r="BO53" s="205" t="n"/>
      <c r="BP53" s="205" t="n"/>
      <c r="BQ53" s="205" t="n"/>
      <c r="BR53" s="205" t="n"/>
      <c r="BS53" s="205" t="n"/>
      <c r="BT53" s="205" t="n"/>
      <c r="BU53" s="205" t="n"/>
      <c r="BV53" s="205" t="n"/>
      <c r="BW53" s="208" t="n"/>
      <c r="BX53" s="204" t="n"/>
      <c r="BY53" s="205" t="n"/>
      <c r="BZ53" s="205" t="n"/>
      <c r="CA53" s="205" t="n"/>
      <c r="CB53" s="206" t="n"/>
      <c r="CC53" s="207" t="n"/>
      <c r="CD53" s="205" t="n"/>
      <c r="CE53" s="205" t="n"/>
      <c r="CF53" s="206" t="n"/>
      <c r="CG53" s="160" t="n"/>
    </row>
    <row r="54">
      <c r="A54" s="160" t="n"/>
      <c r="B54" s="202" t="n"/>
      <c r="C54" s="203" t="inlineStr">
        <is>
          <t>72A</t>
        </is>
      </c>
      <c r="D54" s="204" t="n"/>
      <c r="E54" s="205" t="inlineStr">
        <is>
          <t>●</t>
        </is>
      </c>
      <c r="F54" s="205" t="inlineStr">
        <is>
          <t>●</t>
        </is>
      </c>
      <c r="G54" s="205" t="inlineStr">
        <is>
          <t>●</t>
        </is>
      </c>
      <c r="H54" s="205" t="inlineStr">
        <is>
          <t>●</t>
        </is>
      </c>
      <c r="I54" s="205" t="n"/>
      <c r="J54" s="205" t="inlineStr">
        <is>
          <t>●</t>
        </is>
      </c>
      <c r="K54" s="205" t="inlineStr">
        <is>
          <t>●</t>
        </is>
      </c>
      <c r="L54" s="205" t="inlineStr">
        <is>
          <t>●</t>
        </is>
      </c>
      <c r="M54" s="205" t="inlineStr">
        <is>
          <t>●</t>
        </is>
      </c>
      <c r="N54" s="205" t="inlineStr">
        <is>
          <t>●</t>
        </is>
      </c>
      <c r="O54" s="206" t="inlineStr">
        <is>
          <t>●</t>
        </is>
      </c>
      <c r="P54" s="207" t="n"/>
      <c r="Q54" s="205" t="n"/>
      <c r="R54" s="205" t="n"/>
      <c r="S54" s="207" t="n"/>
      <c r="T54" s="205" t="n"/>
      <c r="U54" s="205" t="n"/>
      <c r="V54" s="205" t="n"/>
      <c r="W54" s="205" t="n"/>
      <c r="X54" s="205" t="n"/>
      <c r="Y54" s="205" t="n"/>
      <c r="Z54" s="205" t="n"/>
      <c r="AA54" s="205" t="n"/>
      <c r="AB54" s="205" t="n"/>
      <c r="AC54" s="207" t="n"/>
      <c r="AD54" s="205" t="n"/>
      <c r="AE54" s="205" t="n"/>
      <c r="AF54" s="205" t="n"/>
      <c r="AG54" s="205" t="n"/>
      <c r="AH54" s="207" t="n"/>
      <c r="AI54" s="205" t="n"/>
      <c r="AJ54" s="205" t="n"/>
      <c r="AK54" s="205" t="n"/>
      <c r="AL54" s="205" t="n"/>
      <c r="AM54" s="205" t="n"/>
      <c r="AN54" s="205" t="n"/>
      <c r="AO54" s="205" t="n"/>
      <c r="AP54" s="205" t="n"/>
      <c r="AQ54" s="205" t="n"/>
      <c r="AR54" s="207" t="n"/>
      <c r="AS54" s="205" t="n"/>
      <c r="AT54" s="205" t="n"/>
      <c r="AU54" s="208" t="n"/>
      <c r="AV54" s="205" t="n"/>
      <c r="AW54" s="205" t="n"/>
      <c r="AX54" s="207" t="n"/>
      <c r="AY54" s="205" t="n"/>
      <c r="AZ54" s="205" t="n"/>
      <c r="BA54" s="205" t="n"/>
      <c r="BB54" s="205" t="n"/>
      <c r="BC54" s="205" t="n"/>
      <c r="BD54" s="205" t="n"/>
      <c r="BE54" s="205" t="n"/>
      <c r="BF54" s="205" t="n"/>
      <c r="BG54" s="205" t="n"/>
      <c r="BH54" s="205" t="n"/>
      <c r="BI54" s="205" t="n"/>
      <c r="BJ54" s="205" t="n"/>
      <c r="BK54" s="205" t="n"/>
      <c r="BL54" s="207" t="n"/>
      <c r="BM54" s="205" t="n"/>
      <c r="BN54" s="205" t="n"/>
      <c r="BO54" s="205" t="n"/>
      <c r="BP54" s="205" t="n"/>
      <c r="BQ54" s="205" t="n"/>
      <c r="BR54" s="205" t="n"/>
      <c r="BS54" s="205" t="n"/>
      <c r="BT54" s="205" t="n"/>
      <c r="BU54" s="205" t="n"/>
      <c r="BV54" s="205" t="n"/>
      <c r="BW54" s="208" t="n"/>
      <c r="BX54" s="204" t="n"/>
      <c r="BY54" s="205" t="n"/>
      <c r="BZ54" s="205" t="n"/>
      <c r="CA54" s="205" t="n"/>
      <c r="CB54" s="206" t="n"/>
      <c r="CC54" s="207" t="n"/>
      <c r="CD54" s="205" t="n"/>
      <c r="CE54" s="205" t="n"/>
      <c r="CF54" s="206" t="n"/>
      <c r="CG54" s="160" t="n"/>
    </row>
    <row r="55">
      <c r="A55" s="160" t="n"/>
      <c r="B55" s="202" t="n"/>
      <c r="C55" s="203" t="inlineStr">
        <is>
          <t>73A</t>
        </is>
      </c>
      <c r="D55" s="204" t="n"/>
      <c r="E55" s="205" t="inlineStr">
        <is>
          <t>●</t>
        </is>
      </c>
      <c r="F55" s="205" t="inlineStr">
        <is>
          <t>●</t>
        </is>
      </c>
      <c r="G55" s="205" t="inlineStr">
        <is>
          <t>●</t>
        </is>
      </c>
      <c r="H55" s="205" t="inlineStr">
        <is>
          <t>●</t>
        </is>
      </c>
      <c r="I55" s="205" t="n"/>
      <c r="J55" s="205" t="inlineStr">
        <is>
          <t>●</t>
        </is>
      </c>
      <c r="K55" s="205" t="inlineStr">
        <is>
          <t>●</t>
        </is>
      </c>
      <c r="L55" s="205" t="inlineStr">
        <is>
          <t>●</t>
        </is>
      </c>
      <c r="M55" s="205" t="inlineStr">
        <is>
          <t>●</t>
        </is>
      </c>
      <c r="N55" s="205" t="inlineStr">
        <is>
          <t>●</t>
        </is>
      </c>
      <c r="O55" s="206" t="inlineStr">
        <is>
          <t>●</t>
        </is>
      </c>
      <c r="P55" s="207" t="n"/>
      <c r="Q55" s="205" t="n"/>
      <c r="R55" s="205" t="n"/>
      <c r="S55" s="207" t="n"/>
      <c r="T55" s="205" t="n"/>
      <c r="U55" s="205" t="n"/>
      <c r="V55" s="205" t="n"/>
      <c r="W55" s="205" t="n"/>
      <c r="X55" s="205" t="n"/>
      <c r="Y55" s="205" t="n"/>
      <c r="Z55" s="205" t="n"/>
      <c r="AA55" s="205" t="n"/>
      <c r="AB55" s="205" t="n"/>
      <c r="AC55" s="207" t="n"/>
      <c r="AD55" s="205" t="n"/>
      <c r="AE55" s="205" t="n"/>
      <c r="AF55" s="205" t="n"/>
      <c r="AG55" s="205" t="n"/>
      <c r="AH55" s="207" t="n"/>
      <c r="AI55" s="205" t="n"/>
      <c r="AJ55" s="205" t="n"/>
      <c r="AK55" s="205" t="n"/>
      <c r="AL55" s="205" t="n"/>
      <c r="AM55" s="205" t="n"/>
      <c r="AN55" s="205" t="n"/>
      <c r="AO55" s="205" t="n"/>
      <c r="AP55" s="205" t="n"/>
      <c r="AQ55" s="205" t="n"/>
      <c r="AR55" s="207" t="n"/>
      <c r="AS55" s="205" t="n"/>
      <c r="AT55" s="205" t="n"/>
      <c r="AU55" s="208" t="n"/>
      <c r="AV55" s="205" t="n"/>
      <c r="AW55" s="205" t="n"/>
      <c r="AX55" s="207" t="n"/>
      <c r="AY55" s="205" t="n"/>
      <c r="AZ55" s="205" t="n"/>
      <c r="BA55" s="205" t="n"/>
      <c r="BB55" s="205" t="n"/>
      <c r="BC55" s="205" t="n"/>
      <c r="BD55" s="205" t="n"/>
      <c r="BE55" s="205" t="n"/>
      <c r="BF55" s="205" t="n"/>
      <c r="BG55" s="205" t="n"/>
      <c r="BH55" s="205" t="n"/>
      <c r="BI55" s="205" t="n"/>
      <c r="BJ55" s="205" t="n"/>
      <c r="BK55" s="205" t="n"/>
      <c r="BL55" s="207" t="n"/>
      <c r="BM55" s="205" t="n"/>
      <c r="BN55" s="205" t="n"/>
      <c r="BO55" s="205" t="n"/>
      <c r="BP55" s="205" t="n"/>
      <c r="BQ55" s="205" t="n"/>
      <c r="BR55" s="205" t="n"/>
      <c r="BS55" s="205" t="n"/>
      <c r="BT55" s="205" t="n"/>
      <c r="BU55" s="205" t="n"/>
      <c r="BV55" s="205" t="n"/>
      <c r="BW55" s="208" t="n"/>
      <c r="BX55" s="204" t="n"/>
      <c r="BY55" s="205" t="n"/>
      <c r="BZ55" s="205" t="n"/>
      <c r="CA55" s="205" t="n"/>
      <c r="CB55" s="206" t="n"/>
      <c r="CC55" s="207" t="n"/>
      <c r="CD55" s="205" t="n"/>
      <c r="CE55" s="205" t="n"/>
      <c r="CF55" s="206" t="n"/>
      <c r="CG55" s="160" t="n"/>
    </row>
    <row r="56">
      <c r="A56" s="160" t="n"/>
      <c r="B56" s="202" t="n"/>
      <c r="C56" s="203" t="inlineStr">
        <is>
          <t>74A</t>
        </is>
      </c>
      <c r="D56" s="204" t="n"/>
      <c r="E56" s="205" t="inlineStr">
        <is>
          <t>●</t>
        </is>
      </c>
      <c r="F56" s="205" t="inlineStr">
        <is>
          <t>●</t>
        </is>
      </c>
      <c r="G56" s="205" t="inlineStr">
        <is>
          <t>●</t>
        </is>
      </c>
      <c r="H56" s="205" t="inlineStr">
        <is>
          <t>●</t>
        </is>
      </c>
      <c r="I56" s="205" t="n"/>
      <c r="J56" s="205" t="inlineStr">
        <is>
          <t>●</t>
        </is>
      </c>
      <c r="K56" s="205" t="inlineStr">
        <is>
          <t>●</t>
        </is>
      </c>
      <c r="L56" s="205" t="inlineStr">
        <is>
          <t>●</t>
        </is>
      </c>
      <c r="M56" s="205" t="inlineStr">
        <is>
          <t>●</t>
        </is>
      </c>
      <c r="N56" s="205" t="inlineStr">
        <is>
          <t>●</t>
        </is>
      </c>
      <c r="O56" s="206" t="n"/>
      <c r="P56" s="207" t="n"/>
      <c r="Q56" s="205" t="n"/>
      <c r="R56" s="205" t="n"/>
      <c r="S56" s="207" t="n"/>
      <c r="T56" s="205" t="n"/>
      <c r="U56" s="205" t="n"/>
      <c r="V56" s="205" t="n"/>
      <c r="W56" s="205" t="n"/>
      <c r="X56" s="205" t="n"/>
      <c r="Y56" s="205" t="n"/>
      <c r="Z56" s="205" t="n"/>
      <c r="AA56" s="205" t="n"/>
      <c r="AB56" s="205" t="n"/>
      <c r="AC56" s="207" t="n"/>
      <c r="AD56" s="205" t="n"/>
      <c r="AE56" s="205" t="n"/>
      <c r="AF56" s="205" t="n"/>
      <c r="AG56" s="205" t="n"/>
      <c r="AH56" s="207" t="n"/>
      <c r="AI56" s="205" t="n"/>
      <c r="AJ56" s="205" t="n"/>
      <c r="AK56" s="205" t="n"/>
      <c r="AL56" s="205" t="n"/>
      <c r="AM56" s="205" t="n"/>
      <c r="AN56" s="205" t="n"/>
      <c r="AO56" s="205" t="n"/>
      <c r="AP56" s="205" t="n"/>
      <c r="AQ56" s="205" t="n"/>
      <c r="AR56" s="207" t="n"/>
      <c r="AS56" s="205" t="n"/>
      <c r="AT56" s="205" t="n"/>
      <c r="AU56" s="208" t="n"/>
      <c r="AV56" s="205" t="n"/>
      <c r="AW56" s="205" t="n"/>
      <c r="AX56" s="207" t="n"/>
      <c r="AY56" s="205" t="n"/>
      <c r="AZ56" s="205" t="n"/>
      <c r="BA56" s="205" t="n"/>
      <c r="BB56" s="205" t="n"/>
      <c r="BC56" s="205" t="n"/>
      <c r="BD56" s="205" t="n"/>
      <c r="BE56" s="205" t="n"/>
      <c r="BF56" s="205" t="n"/>
      <c r="BG56" s="205" t="n"/>
      <c r="BH56" s="205" t="n"/>
      <c r="BI56" s="205" t="n"/>
      <c r="BJ56" s="205" t="n"/>
      <c r="BK56" s="205" t="n"/>
      <c r="BL56" s="207" t="n"/>
      <c r="BM56" s="205" t="n"/>
      <c r="BN56" s="205" t="n"/>
      <c r="BO56" s="205" t="n"/>
      <c r="BP56" s="205" t="n"/>
      <c r="BQ56" s="205" t="n"/>
      <c r="BR56" s="205" t="n"/>
      <c r="BS56" s="205" t="n"/>
      <c r="BT56" s="205" t="n"/>
      <c r="BU56" s="205" t="n"/>
      <c r="BV56" s="205" t="n"/>
      <c r="BW56" s="208" t="n"/>
      <c r="BX56" s="204" t="n"/>
      <c r="BY56" s="205" t="n"/>
      <c r="BZ56" s="205" t="n"/>
      <c r="CA56" s="205" t="n"/>
      <c r="CB56" s="206" t="n"/>
      <c r="CC56" s="207" t="inlineStr">
        <is>
          <t>●</t>
        </is>
      </c>
      <c r="CD56" s="205" t="n"/>
      <c r="CE56" s="205" t="inlineStr">
        <is>
          <t>●</t>
        </is>
      </c>
      <c r="CF56" s="206" t="n"/>
      <c r="CG56" s="160" t="n"/>
    </row>
    <row r="57">
      <c r="A57" s="160" t="n"/>
      <c r="B57" s="202" t="n"/>
      <c r="C57" s="203" t="inlineStr">
        <is>
          <t>75A</t>
        </is>
      </c>
      <c r="D57" s="204" t="n"/>
      <c r="E57" s="205" t="inlineStr">
        <is>
          <t>●</t>
        </is>
      </c>
      <c r="F57" s="205" t="inlineStr">
        <is>
          <t>●</t>
        </is>
      </c>
      <c r="G57" s="205" t="inlineStr">
        <is>
          <t>●</t>
        </is>
      </c>
      <c r="H57" s="205" t="inlineStr">
        <is>
          <t>●</t>
        </is>
      </c>
      <c r="I57" s="205" t="n"/>
      <c r="J57" s="205" t="inlineStr">
        <is>
          <t>●</t>
        </is>
      </c>
      <c r="K57" s="205" t="inlineStr">
        <is>
          <t>●</t>
        </is>
      </c>
      <c r="L57" s="205" t="inlineStr">
        <is>
          <t>●</t>
        </is>
      </c>
      <c r="M57" s="205" t="inlineStr">
        <is>
          <t>●</t>
        </is>
      </c>
      <c r="N57" s="205" t="inlineStr">
        <is>
          <t>●</t>
        </is>
      </c>
      <c r="O57" s="206" t="n"/>
      <c r="P57" s="207" t="n"/>
      <c r="Q57" s="205" t="n"/>
      <c r="R57" s="205" t="n"/>
      <c r="S57" s="207" t="n"/>
      <c r="T57" s="205" t="n"/>
      <c r="U57" s="205" t="n"/>
      <c r="V57" s="205" t="n"/>
      <c r="W57" s="205" t="n"/>
      <c r="X57" s="205" t="n"/>
      <c r="Y57" s="205" t="n"/>
      <c r="Z57" s="205" t="n"/>
      <c r="AA57" s="205" t="n"/>
      <c r="AB57" s="205" t="n"/>
      <c r="AC57" s="207" t="n"/>
      <c r="AD57" s="205" t="n"/>
      <c r="AE57" s="205" t="n"/>
      <c r="AF57" s="205" t="n"/>
      <c r="AG57" s="205" t="n"/>
      <c r="AH57" s="207" t="n"/>
      <c r="AI57" s="205" t="n"/>
      <c r="AJ57" s="205" t="n"/>
      <c r="AK57" s="205" t="n"/>
      <c r="AL57" s="205" t="n"/>
      <c r="AM57" s="205" t="n"/>
      <c r="AN57" s="205" t="n"/>
      <c r="AO57" s="205" t="n"/>
      <c r="AP57" s="205" t="n"/>
      <c r="AQ57" s="205" t="n"/>
      <c r="AR57" s="207" t="n"/>
      <c r="AS57" s="205" t="n"/>
      <c r="AT57" s="205" t="n"/>
      <c r="AU57" s="208" t="n"/>
      <c r="AV57" s="205" t="n"/>
      <c r="AW57" s="205" t="n"/>
      <c r="AX57" s="207" t="n"/>
      <c r="AY57" s="205" t="n"/>
      <c r="AZ57" s="205" t="n"/>
      <c r="BA57" s="205" t="n"/>
      <c r="BB57" s="205" t="n"/>
      <c r="BC57" s="205" t="n"/>
      <c r="BD57" s="205" t="n"/>
      <c r="BE57" s="205" t="n"/>
      <c r="BF57" s="205" t="n"/>
      <c r="BG57" s="205" t="n"/>
      <c r="BH57" s="205" t="n"/>
      <c r="BI57" s="205" t="n"/>
      <c r="BJ57" s="205" t="n"/>
      <c r="BK57" s="205" t="n"/>
      <c r="BL57" s="207" t="n"/>
      <c r="BM57" s="205" t="n"/>
      <c r="BN57" s="205" t="n"/>
      <c r="BO57" s="205" t="n"/>
      <c r="BP57" s="205" t="n"/>
      <c r="BQ57" s="205" t="n"/>
      <c r="BR57" s="205" t="n"/>
      <c r="BS57" s="205" t="n"/>
      <c r="BT57" s="205" t="n"/>
      <c r="BU57" s="205" t="n"/>
      <c r="BV57" s="205" t="n"/>
      <c r="BW57" s="208" t="n"/>
      <c r="BX57" s="204" t="n"/>
      <c r="BY57" s="205" t="n"/>
      <c r="BZ57" s="205" t="n"/>
      <c r="CA57" s="205" t="n"/>
      <c r="CB57" s="206" t="n"/>
      <c r="CC57" s="207" t="inlineStr">
        <is>
          <t>●</t>
        </is>
      </c>
      <c r="CD57" s="205" t="n"/>
      <c r="CE57" s="205" t="inlineStr">
        <is>
          <t>●</t>
        </is>
      </c>
      <c r="CF57" s="206" t="n"/>
      <c r="CG57" s="160" t="n"/>
    </row>
    <row r="58">
      <c r="A58" s="160" t="n"/>
      <c r="B58" s="202" t="n"/>
      <c r="C58" s="203" t="inlineStr">
        <is>
          <t>76A</t>
        </is>
      </c>
      <c r="D58" s="204" t="n"/>
      <c r="E58" s="205" t="inlineStr">
        <is>
          <t>●</t>
        </is>
      </c>
      <c r="F58" s="205" t="inlineStr">
        <is>
          <t>●</t>
        </is>
      </c>
      <c r="G58" s="205" t="inlineStr">
        <is>
          <t>●</t>
        </is>
      </c>
      <c r="H58" s="205" t="inlineStr">
        <is>
          <t>●</t>
        </is>
      </c>
      <c r="I58" s="205" t="n"/>
      <c r="J58" s="205" t="inlineStr">
        <is>
          <t>●</t>
        </is>
      </c>
      <c r="K58" s="205" t="inlineStr">
        <is>
          <t>●</t>
        </is>
      </c>
      <c r="L58" s="205" t="inlineStr">
        <is>
          <t>●</t>
        </is>
      </c>
      <c r="M58" s="205" t="inlineStr">
        <is>
          <t>●</t>
        </is>
      </c>
      <c r="N58" s="205" t="inlineStr">
        <is>
          <t>●</t>
        </is>
      </c>
      <c r="O58" s="206" t="inlineStr">
        <is>
          <t>●</t>
        </is>
      </c>
      <c r="P58" s="207" t="n"/>
      <c r="Q58" s="205" t="n"/>
      <c r="R58" s="205" t="n"/>
      <c r="S58" s="207" t="n"/>
      <c r="T58" s="205" t="n"/>
      <c r="U58" s="205" t="n"/>
      <c r="V58" s="205" t="n"/>
      <c r="W58" s="205" t="n"/>
      <c r="X58" s="205" t="n"/>
      <c r="Y58" s="205" t="n"/>
      <c r="Z58" s="205" t="n"/>
      <c r="AA58" s="205" t="n"/>
      <c r="AB58" s="205" t="n"/>
      <c r="AC58" s="207" t="n"/>
      <c r="AD58" s="205" t="n"/>
      <c r="AE58" s="205" t="n"/>
      <c r="AF58" s="205" t="n"/>
      <c r="AG58" s="205" t="n"/>
      <c r="AH58" s="207" t="n"/>
      <c r="AI58" s="205" t="n"/>
      <c r="AJ58" s="205" t="n"/>
      <c r="AK58" s="205" t="n"/>
      <c r="AL58" s="205" t="n"/>
      <c r="AM58" s="205" t="n"/>
      <c r="AN58" s="205" t="n"/>
      <c r="AO58" s="205" t="n"/>
      <c r="AP58" s="205" t="n"/>
      <c r="AQ58" s="205" t="n"/>
      <c r="AR58" s="207" t="n"/>
      <c r="AS58" s="205" t="n"/>
      <c r="AT58" s="205" t="n"/>
      <c r="AU58" s="208" t="n"/>
      <c r="AV58" s="205" t="n"/>
      <c r="AW58" s="205" t="n"/>
      <c r="AX58" s="207" t="n"/>
      <c r="AY58" s="205" t="n"/>
      <c r="AZ58" s="205" t="n"/>
      <c r="BA58" s="205" t="n"/>
      <c r="BB58" s="205" t="n"/>
      <c r="BC58" s="205" t="n"/>
      <c r="BD58" s="205" t="n"/>
      <c r="BE58" s="205" t="n"/>
      <c r="BF58" s="205" t="n"/>
      <c r="BG58" s="205" t="n"/>
      <c r="BH58" s="205" t="n"/>
      <c r="BI58" s="205" t="n"/>
      <c r="BJ58" s="205" t="n"/>
      <c r="BK58" s="205" t="n"/>
      <c r="BL58" s="207" t="n"/>
      <c r="BM58" s="205" t="n"/>
      <c r="BN58" s="205" t="n"/>
      <c r="BO58" s="205" t="n"/>
      <c r="BP58" s="205" t="n"/>
      <c r="BQ58" s="205" t="n"/>
      <c r="BR58" s="205" t="n"/>
      <c r="BS58" s="205" t="n"/>
      <c r="BT58" s="205" t="n"/>
      <c r="BU58" s="205" t="n"/>
      <c r="BV58" s="205" t="n"/>
      <c r="BW58" s="208" t="n"/>
      <c r="BX58" s="204" t="n"/>
      <c r="BY58" s="205" t="n"/>
      <c r="BZ58" s="205" t="n"/>
      <c r="CA58" s="205" t="n"/>
      <c r="CB58" s="206" t="n"/>
      <c r="CC58" s="207" t="inlineStr">
        <is>
          <t>●</t>
        </is>
      </c>
      <c r="CD58" s="205" t="n"/>
      <c r="CE58" s="205" t="inlineStr">
        <is>
          <t>●</t>
        </is>
      </c>
      <c r="CF58" s="206" t="n"/>
      <c r="CG58" s="160" t="n"/>
    </row>
    <row r="59">
      <c r="A59" s="160" t="n"/>
      <c r="B59" s="202" t="n"/>
      <c r="C59" s="203" t="inlineStr">
        <is>
          <t>77A</t>
        </is>
      </c>
      <c r="D59" s="204" t="n"/>
      <c r="E59" s="205" t="inlineStr">
        <is>
          <t>●</t>
        </is>
      </c>
      <c r="F59" s="205" t="inlineStr">
        <is>
          <t>●</t>
        </is>
      </c>
      <c r="G59" s="205" t="inlineStr">
        <is>
          <t>●</t>
        </is>
      </c>
      <c r="H59" s="205" t="inlineStr">
        <is>
          <t>●</t>
        </is>
      </c>
      <c r="I59" s="205" t="n"/>
      <c r="J59" s="205" t="inlineStr">
        <is>
          <t>●</t>
        </is>
      </c>
      <c r="K59" s="205" t="inlineStr">
        <is>
          <t>●</t>
        </is>
      </c>
      <c r="L59" s="205" t="inlineStr">
        <is>
          <t>●</t>
        </is>
      </c>
      <c r="M59" s="205" t="inlineStr">
        <is>
          <t>●</t>
        </is>
      </c>
      <c r="N59" s="205" t="inlineStr">
        <is>
          <t>●</t>
        </is>
      </c>
      <c r="O59" s="206" t="inlineStr">
        <is>
          <t>●</t>
        </is>
      </c>
      <c r="P59" s="207" t="n"/>
      <c r="Q59" s="205" t="n"/>
      <c r="R59" s="205" t="n"/>
      <c r="S59" s="207" t="n"/>
      <c r="T59" s="205" t="n"/>
      <c r="U59" s="205" t="n"/>
      <c r="V59" s="205" t="n"/>
      <c r="W59" s="205" t="n"/>
      <c r="X59" s="205" t="n"/>
      <c r="Y59" s="205" t="n"/>
      <c r="Z59" s="205" t="n"/>
      <c r="AA59" s="205" t="n"/>
      <c r="AB59" s="205" t="n"/>
      <c r="AC59" s="207" t="n"/>
      <c r="AD59" s="205" t="n"/>
      <c r="AE59" s="205" t="n"/>
      <c r="AF59" s="205" t="n"/>
      <c r="AG59" s="205" t="n"/>
      <c r="AH59" s="207" t="n"/>
      <c r="AI59" s="205" t="n"/>
      <c r="AJ59" s="205" t="n"/>
      <c r="AK59" s="205" t="n"/>
      <c r="AL59" s="205" t="n"/>
      <c r="AM59" s="205" t="n"/>
      <c r="AN59" s="205" t="n"/>
      <c r="AO59" s="205" t="n"/>
      <c r="AP59" s="205" t="n"/>
      <c r="AQ59" s="205" t="n"/>
      <c r="AR59" s="207" t="n"/>
      <c r="AS59" s="205" t="n"/>
      <c r="AT59" s="205" t="n"/>
      <c r="AU59" s="208" t="n"/>
      <c r="AV59" s="205" t="n"/>
      <c r="AW59" s="205" t="n"/>
      <c r="AX59" s="207" t="n"/>
      <c r="AY59" s="205" t="n"/>
      <c r="AZ59" s="205" t="n"/>
      <c r="BA59" s="205" t="n"/>
      <c r="BB59" s="205" t="n"/>
      <c r="BC59" s="205" t="n"/>
      <c r="BD59" s="205" t="n"/>
      <c r="BE59" s="205" t="n"/>
      <c r="BF59" s="205" t="n"/>
      <c r="BG59" s="205" t="n"/>
      <c r="BH59" s="205" t="n"/>
      <c r="BI59" s="205" t="n"/>
      <c r="BJ59" s="205" t="n"/>
      <c r="BK59" s="205" t="n"/>
      <c r="BL59" s="207" t="n"/>
      <c r="BM59" s="205" t="n"/>
      <c r="BN59" s="205" t="n"/>
      <c r="BO59" s="205" t="n"/>
      <c r="BP59" s="205" t="n"/>
      <c r="BQ59" s="205" t="n"/>
      <c r="BR59" s="205" t="n"/>
      <c r="BS59" s="205" t="n"/>
      <c r="BT59" s="205" t="n"/>
      <c r="BU59" s="205" t="n"/>
      <c r="BV59" s="205" t="n"/>
      <c r="BW59" s="208" t="n"/>
      <c r="BX59" s="204" t="n"/>
      <c r="BY59" s="205" t="n"/>
      <c r="BZ59" s="205" t="n"/>
      <c r="CA59" s="205" t="n"/>
      <c r="CB59" s="206" t="n"/>
      <c r="CC59" s="207" t="inlineStr">
        <is>
          <t>●</t>
        </is>
      </c>
      <c r="CD59" s="205" t="n"/>
      <c r="CE59" s="205" t="inlineStr">
        <is>
          <t>●</t>
        </is>
      </c>
      <c r="CF59" s="206" t="n"/>
      <c r="CG59" s="160" t="n"/>
    </row>
    <row r="60">
      <c r="A60" s="160" t="n"/>
      <c r="B60" s="202" t="n"/>
      <c r="C60" s="203" t="inlineStr">
        <is>
          <t>78A</t>
        </is>
      </c>
      <c r="D60" s="204" t="n"/>
      <c r="E60" s="205" t="n"/>
      <c r="F60" s="205" t="n"/>
      <c r="G60" s="205" t="n"/>
      <c r="H60" s="205" t="n"/>
      <c r="I60" s="205" t="n"/>
      <c r="J60" s="205" t="n"/>
      <c r="K60" s="205" t="n"/>
      <c r="L60" s="205" t="n"/>
      <c r="M60" s="205" t="n"/>
      <c r="N60" s="205" t="n"/>
      <c r="O60" s="206" t="inlineStr">
        <is>
          <t>●</t>
        </is>
      </c>
      <c r="P60" s="207" t="n"/>
      <c r="Q60" s="205" t="n"/>
      <c r="R60" s="205" t="n"/>
      <c r="S60" s="207" t="n"/>
      <c r="T60" s="205" t="n"/>
      <c r="U60" s="205" t="n"/>
      <c r="V60" s="205" t="n"/>
      <c r="W60" s="205" t="n"/>
      <c r="X60" s="205" t="n"/>
      <c r="Y60" s="205" t="n"/>
      <c r="Z60" s="205" t="n"/>
      <c r="AA60" s="205" t="n"/>
      <c r="AB60" s="205" t="n"/>
      <c r="AC60" s="207" t="n"/>
      <c r="AD60" s="205" t="n"/>
      <c r="AE60" s="205" t="n"/>
      <c r="AF60" s="205" t="n"/>
      <c r="AG60" s="205" t="n"/>
      <c r="AH60" s="207" t="n"/>
      <c r="AI60" s="205" t="n"/>
      <c r="AJ60" s="205" t="n"/>
      <c r="AK60" s="205" t="n"/>
      <c r="AL60" s="205" t="n"/>
      <c r="AM60" s="205" t="n"/>
      <c r="AN60" s="205" t="n"/>
      <c r="AO60" s="205" t="n"/>
      <c r="AP60" s="205" t="n"/>
      <c r="AQ60" s="205" t="n"/>
      <c r="AR60" s="207" t="n"/>
      <c r="AS60" s="205" t="n"/>
      <c r="AT60" s="205" t="n"/>
      <c r="AU60" s="208" t="n"/>
      <c r="AV60" s="205" t="n"/>
      <c r="AW60" s="205" t="n"/>
      <c r="AX60" s="207" t="n"/>
      <c r="AY60" s="205" t="n"/>
      <c r="AZ60" s="205" t="n"/>
      <c r="BA60" s="205" t="n"/>
      <c r="BB60" s="205" t="n"/>
      <c r="BC60" s="205" t="n"/>
      <c r="BD60" s="205" t="n"/>
      <c r="BE60" s="205" t="n"/>
      <c r="BF60" s="205" t="n"/>
      <c r="BG60" s="205" t="n"/>
      <c r="BH60" s="205" t="n"/>
      <c r="BI60" s="205" t="n"/>
      <c r="BJ60" s="205" t="n"/>
      <c r="BK60" s="205" t="n"/>
      <c r="BL60" s="207" t="n"/>
      <c r="BM60" s="205" t="n"/>
      <c r="BN60" s="205" t="n"/>
      <c r="BO60" s="205" t="n"/>
      <c r="BP60" s="205" t="n"/>
      <c r="BQ60" s="205" t="n"/>
      <c r="BR60" s="205" t="n"/>
      <c r="BS60" s="205" t="n"/>
      <c r="BT60" s="205" t="n"/>
      <c r="BU60" s="205" t="n"/>
      <c r="BV60" s="205" t="n"/>
      <c r="BW60" s="208" t="n"/>
      <c r="BX60" s="204" t="n"/>
      <c r="BY60" s="205" t="n"/>
      <c r="BZ60" s="205" t="n"/>
      <c r="CA60" s="205" t="n"/>
      <c r="CB60" s="206" t="n"/>
      <c r="CC60" s="207" t="n"/>
      <c r="CD60" s="205" t="n"/>
      <c r="CE60" s="205" t="n"/>
      <c r="CF60" s="206" t="n"/>
      <c r="CG60" s="160" t="n"/>
    </row>
    <row r="61">
      <c r="A61" s="160" t="n"/>
      <c r="B61" s="202" t="n"/>
      <c r="C61" s="203" t="inlineStr">
        <is>
          <t>79A</t>
        </is>
      </c>
      <c r="D61" s="204" t="n"/>
      <c r="E61" s="205" t="n"/>
      <c r="F61" s="205" t="n"/>
      <c r="G61" s="205" t="n"/>
      <c r="H61" s="205" t="n"/>
      <c r="I61" s="205" t="n"/>
      <c r="J61" s="205" t="n"/>
      <c r="K61" s="205" t="n"/>
      <c r="L61" s="205" t="n"/>
      <c r="M61" s="205" t="n"/>
      <c r="N61" s="205" t="n"/>
      <c r="O61" s="206" t="inlineStr">
        <is>
          <t>●</t>
        </is>
      </c>
      <c r="P61" s="207" t="n"/>
      <c r="Q61" s="205" t="n"/>
      <c r="R61" s="205" t="n"/>
      <c r="S61" s="207" t="n"/>
      <c r="T61" s="205" t="n"/>
      <c r="U61" s="205" t="n"/>
      <c r="V61" s="205" t="n"/>
      <c r="W61" s="205" t="n"/>
      <c r="X61" s="205" t="n"/>
      <c r="Y61" s="205" t="n"/>
      <c r="Z61" s="205" t="n"/>
      <c r="AA61" s="205" t="n"/>
      <c r="AB61" s="205" t="n"/>
      <c r="AC61" s="207" t="n"/>
      <c r="AD61" s="205" t="n"/>
      <c r="AE61" s="205" t="n"/>
      <c r="AF61" s="205" t="n"/>
      <c r="AG61" s="205" t="n"/>
      <c r="AH61" s="207" t="n"/>
      <c r="AI61" s="205" t="n"/>
      <c r="AJ61" s="205" t="n"/>
      <c r="AK61" s="205" t="n"/>
      <c r="AL61" s="205" t="n"/>
      <c r="AM61" s="205" t="n"/>
      <c r="AN61" s="205" t="n"/>
      <c r="AO61" s="205" t="n"/>
      <c r="AP61" s="205" t="n"/>
      <c r="AQ61" s="205" t="n"/>
      <c r="AR61" s="207" t="n"/>
      <c r="AS61" s="205" t="n"/>
      <c r="AT61" s="205" t="n"/>
      <c r="AU61" s="208" t="n"/>
      <c r="AV61" s="205" t="n"/>
      <c r="AW61" s="205" t="n"/>
      <c r="AX61" s="207" t="n"/>
      <c r="AY61" s="205" t="n"/>
      <c r="AZ61" s="205" t="n"/>
      <c r="BA61" s="205" t="n"/>
      <c r="BB61" s="205" t="n"/>
      <c r="BC61" s="205" t="n"/>
      <c r="BD61" s="205" t="n"/>
      <c r="BE61" s="205" t="n"/>
      <c r="BF61" s="205" t="n"/>
      <c r="BG61" s="205" t="n"/>
      <c r="BH61" s="205" t="n"/>
      <c r="BI61" s="205" t="n"/>
      <c r="BJ61" s="205" t="n"/>
      <c r="BK61" s="205" t="n"/>
      <c r="BL61" s="207" t="n"/>
      <c r="BM61" s="205" t="n"/>
      <c r="BN61" s="205" t="n"/>
      <c r="BO61" s="205" t="n"/>
      <c r="BP61" s="205" t="n"/>
      <c r="BQ61" s="205" t="n"/>
      <c r="BR61" s="205" t="n"/>
      <c r="BS61" s="205" t="n"/>
      <c r="BT61" s="205" t="n"/>
      <c r="BU61" s="205" t="n"/>
      <c r="BV61" s="205" t="n"/>
      <c r="BW61" s="208" t="n"/>
      <c r="BX61" s="204" t="n"/>
      <c r="BY61" s="205" t="n"/>
      <c r="BZ61" s="205" t="n"/>
      <c r="CA61" s="205" t="n"/>
      <c r="CB61" s="206" t="n"/>
      <c r="CC61" s="207" t="inlineStr">
        <is>
          <t>●</t>
        </is>
      </c>
      <c r="CD61" s="205" t="n"/>
      <c r="CE61" s="205" t="inlineStr">
        <is>
          <t>●</t>
        </is>
      </c>
      <c r="CF61" s="206" t="n"/>
      <c r="CG61" s="160" t="n"/>
    </row>
    <row r="62">
      <c r="A62" s="160" t="n"/>
      <c r="B62" s="202" t="n"/>
      <c r="C62" s="203" t="inlineStr">
        <is>
          <t>80A</t>
        </is>
      </c>
      <c r="D62" s="204" t="n"/>
      <c r="E62" s="205" t="n"/>
      <c r="F62" s="205" t="n"/>
      <c r="G62" s="205" t="n"/>
      <c r="H62" s="205" t="n"/>
      <c r="I62" s="205" t="n"/>
      <c r="J62" s="205" t="n"/>
      <c r="K62" s="205" t="n"/>
      <c r="L62" s="205" t="n"/>
      <c r="M62" s="205" t="n"/>
      <c r="N62" s="205" t="inlineStr">
        <is>
          <t>●</t>
        </is>
      </c>
      <c r="O62" s="206" t="n"/>
      <c r="P62" s="207" t="n"/>
      <c r="Q62" s="205" t="n"/>
      <c r="R62" s="205" t="n"/>
      <c r="S62" s="207" t="n"/>
      <c r="T62" s="205" t="n"/>
      <c r="U62" s="205" t="n"/>
      <c r="V62" s="205" t="n"/>
      <c r="W62" s="205" t="n"/>
      <c r="X62" s="205" t="n"/>
      <c r="Y62" s="205" t="n"/>
      <c r="Z62" s="205" t="n"/>
      <c r="AA62" s="205" t="n"/>
      <c r="AB62" s="205" t="n"/>
      <c r="AC62" s="207" t="n"/>
      <c r="AD62" s="205" t="n"/>
      <c r="AE62" s="205" t="n"/>
      <c r="AF62" s="205" t="n"/>
      <c r="AG62" s="205" t="n"/>
      <c r="AH62" s="207" t="n"/>
      <c r="AI62" s="205" t="n"/>
      <c r="AJ62" s="205" t="n"/>
      <c r="AK62" s="205" t="n"/>
      <c r="AL62" s="205" t="n"/>
      <c r="AM62" s="205" t="n"/>
      <c r="AN62" s="205" t="n"/>
      <c r="AO62" s="205" t="n"/>
      <c r="AP62" s="205" t="n"/>
      <c r="AQ62" s="205" t="n"/>
      <c r="AR62" s="207" t="n"/>
      <c r="AS62" s="205" t="n"/>
      <c r="AT62" s="205" t="n"/>
      <c r="AU62" s="208" t="n"/>
      <c r="AV62" s="205" t="n"/>
      <c r="AW62" s="205" t="n"/>
      <c r="AX62" s="207" t="n"/>
      <c r="AY62" s="205" t="n"/>
      <c r="AZ62" s="205" t="n"/>
      <c r="BA62" s="205" t="n"/>
      <c r="BB62" s="205" t="n"/>
      <c r="BC62" s="205" t="n"/>
      <c r="BD62" s="205" t="n"/>
      <c r="BE62" s="205" t="n"/>
      <c r="BF62" s="205" t="n"/>
      <c r="BG62" s="205" t="n"/>
      <c r="BH62" s="205" t="n"/>
      <c r="BI62" s="205" t="n"/>
      <c r="BJ62" s="205" t="n"/>
      <c r="BK62" s="205" t="n"/>
      <c r="BL62" s="207" t="n"/>
      <c r="BM62" s="205" t="n"/>
      <c r="BN62" s="205" t="n"/>
      <c r="BO62" s="205" t="n"/>
      <c r="BP62" s="205" t="n"/>
      <c r="BQ62" s="205" t="n"/>
      <c r="BR62" s="205" t="n"/>
      <c r="BS62" s="205" t="n"/>
      <c r="BT62" s="205" t="n"/>
      <c r="BU62" s="205" t="n"/>
      <c r="BV62" s="205" t="n"/>
      <c r="BW62" s="208" t="n"/>
      <c r="BX62" s="204" t="n"/>
      <c r="BY62" s="205" t="n"/>
      <c r="BZ62" s="205" t="n"/>
      <c r="CA62" s="205" t="n"/>
      <c r="CB62" s="206" t="n"/>
      <c r="CC62" s="207" t="n"/>
      <c r="CD62" s="205" t="n"/>
      <c r="CE62" s="205" t="n"/>
      <c r="CF62" s="206" t="n"/>
      <c r="CG62" s="160" t="n"/>
    </row>
    <row r="63">
      <c r="A63" s="160" t="n"/>
      <c r="B63" s="202" t="n"/>
      <c r="C63" s="203" t="inlineStr">
        <is>
          <t>81A</t>
        </is>
      </c>
      <c r="D63" s="204" t="n"/>
      <c r="E63" s="205" t="n"/>
      <c r="F63" s="205" t="n"/>
      <c r="G63" s="205" t="n"/>
      <c r="H63" s="205" t="n"/>
      <c r="I63" s="205" t="n"/>
      <c r="J63" s="205" t="n"/>
      <c r="K63" s="205" t="n"/>
      <c r="L63" s="205" t="n"/>
      <c r="M63" s="205" t="n"/>
      <c r="N63" s="205" t="inlineStr">
        <is>
          <t>●</t>
        </is>
      </c>
      <c r="O63" s="206" t="n"/>
      <c r="P63" s="207" t="n"/>
      <c r="Q63" s="205" t="n"/>
      <c r="R63" s="205" t="n"/>
      <c r="S63" s="207" t="n"/>
      <c r="T63" s="205" t="n"/>
      <c r="U63" s="205" t="n"/>
      <c r="V63" s="205" t="n"/>
      <c r="W63" s="205" t="n"/>
      <c r="X63" s="205" t="n"/>
      <c r="Y63" s="205" t="n"/>
      <c r="Z63" s="205" t="n"/>
      <c r="AA63" s="205" t="n"/>
      <c r="AB63" s="205" t="n"/>
      <c r="AC63" s="207" t="n"/>
      <c r="AD63" s="205" t="n"/>
      <c r="AE63" s="205" t="n"/>
      <c r="AF63" s="205" t="n"/>
      <c r="AG63" s="205" t="n"/>
      <c r="AH63" s="207" t="n"/>
      <c r="AI63" s="205" t="n"/>
      <c r="AJ63" s="205" t="n"/>
      <c r="AK63" s="205" t="n"/>
      <c r="AL63" s="205" t="n"/>
      <c r="AM63" s="205" t="n"/>
      <c r="AN63" s="205" t="n"/>
      <c r="AO63" s="205" t="n"/>
      <c r="AP63" s="205" t="n"/>
      <c r="AQ63" s="205" t="n"/>
      <c r="AR63" s="207" t="n"/>
      <c r="AS63" s="205" t="n"/>
      <c r="AT63" s="205" t="n"/>
      <c r="AU63" s="208" t="n"/>
      <c r="AV63" s="205" t="n"/>
      <c r="AW63" s="205" t="n"/>
      <c r="AX63" s="207" t="n"/>
      <c r="AY63" s="205" t="n"/>
      <c r="AZ63" s="205" t="n"/>
      <c r="BA63" s="205" t="n"/>
      <c r="BB63" s="205" t="n"/>
      <c r="BC63" s="205" t="n"/>
      <c r="BD63" s="205" t="n"/>
      <c r="BE63" s="205" t="n"/>
      <c r="BF63" s="205" t="n"/>
      <c r="BG63" s="205" t="n"/>
      <c r="BH63" s="205" t="n"/>
      <c r="BI63" s="205" t="n"/>
      <c r="BJ63" s="205" t="n"/>
      <c r="BK63" s="205" t="n"/>
      <c r="BL63" s="207" t="n"/>
      <c r="BM63" s="205" t="n"/>
      <c r="BN63" s="205" t="n"/>
      <c r="BO63" s="205" t="n"/>
      <c r="BP63" s="205" t="n"/>
      <c r="BQ63" s="205" t="n"/>
      <c r="BR63" s="205" t="n"/>
      <c r="BS63" s="205" t="n"/>
      <c r="BT63" s="205" t="n"/>
      <c r="BU63" s="205" t="n"/>
      <c r="BV63" s="205" t="n"/>
      <c r="BW63" s="208" t="n"/>
      <c r="BX63" s="204" t="n"/>
      <c r="BY63" s="205" t="n"/>
      <c r="BZ63" s="205" t="n"/>
      <c r="CA63" s="205" t="n"/>
      <c r="CB63" s="206" t="n"/>
      <c r="CC63" s="207" t="inlineStr">
        <is>
          <t>●</t>
        </is>
      </c>
      <c r="CD63" s="205" t="n"/>
      <c r="CE63" s="205" t="inlineStr">
        <is>
          <t>●</t>
        </is>
      </c>
      <c r="CF63" s="206" t="n"/>
      <c r="CG63" s="160" t="n"/>
    </row>
    <row r="64">
      <c r="A64" s="160" t="n"/>
      <c r="B64" s="202" t="n"/>
      <c r="C64" s="203" t="inlineStr">
        <is>
          <t>82A</t>
        </is>
      </c>
      <c r="D64" s="204" t="n"/>
      <c r="E64" s="205" t="n"/>
      <c r="F64" s="205" t="n"/>
      <c r="G64" s="205" t="n"/>
      <c r="H64" s="205" t="n"/>
      <c r="I64" s="205" t="inlineStr">
        <is>
          <t>●</t>
        </is>
      </c>
      <c r="J64" s="205" t="inlineStr">
        <is>
          <t>●</t>
        </is>
      </c>
      <c r="K64" s="205" t="inlineStr">
        <is>
          <t>●</t>
        </is>
      </c>
      <c r="L64" s="205" t="inlineStr">
        <is>
          <t>●</t>
        </is>
      </c>
      <c r="M64" s="205" t="inlineStr">
        <is>
          <t>●</t>
        </is>
      </c>
      <c r="N64" s="205" t="n"/>
      <c r="O64" s="206" t="n"/>
      <c r="P64" s="207" t="n"/>
      <c r="Q64" s="205" t="n"/>
      <c r="R64" s="205" t="n"/>
      <c r="S64" s="207" t="n"/>
      <c r="T64" s="205" t="n"/>
      <c r="U64" s="205" t="n"/>
      <c r="V64" s="205" t="n"/>
      <c r="W64" s="205" t="n"/>
      <c r="X64" s="205" t="n"/>
      <c r="Y64" s="205" t="n"/>
      <c r="Z64" s="205" t="n"/>
      <c r="AA64" s="205" t="n"/>
      <c r="AB64" s="205" t="n"/>
      <c r="AC64" s="207" t="n"/>
      <c r="AD64" s="205" t="n"/>
      <c r="AE64" s="205" t="n"/>
      <c r="AF64" s="205" t="n"/>
      <c r="AG64" s="205" t="n"/>
      <c r="AH64" s="207" t="n"/>
      <c r="AI64" s="205" t="n"/>
      <c r="AJ64" s="205" t="n"/>
      <c r="AK64" s="205" t="n"/>
      <c r="AL64" s="205" t="n"/>
      <c r="AM64" s="205" t="n"/>
      <c r="AN64" s="205" t="n"/>
      <c r="AO64" s="205" t="n"/>
      <c r="AP64" s="205" t="n"/>
      <c r="AQ64" s="205" t="n"/>
      <c r="AR64" s="207" t="n"/>
      <c r="AS64" s="205" t="n"/>
      <c r="AT64" s="205" t="n"/>
      <c r="AU64" s="208" t="n"/>
      <c r="AV64" s="205" t="n"/>
      <c r="AW64" s="205" t="n"/>
      <c r="AX64" s="207" t="n"/>
      <c r="AY64" s="205" t="n"/>
      <c r="AZ64" s="205" t="n"/>
      <c r="BA64" s="205" t="n"/>
      <c r="BB64" s="205" t="n"/>
      <c r="BC64" s="205" t="n"/>
      <c r="BD64" s="205" t="n"/>
      <c r="BE64" s="205" t="n"/>
      <c r="BF64" s="205" t="n"/>
      <c r="BG64" s="205" t="n"/>
      <c r="BH64" s="205" t="n"/>
      <c r="BI64" s="205" t="n"/>
      <c r="BJ64" s="205" t="n"/>
      <c r="BK64" s="205" t="n"/>
      <c r="BL64" s="207" t="n"/>
      <c r="BM64" s="205" t="n"/>
      <c r="BN64" s="205" t="n"/>
      <c r="BO64" s="205" t="n"/>
      <c r="BP64" s="205" t="n"/>
      <c r="BQ64" s="205" t="n"/>
      <c r="BR64" s="205" t="n"/>
      <c r="BS64" s="205" t="n"/>
      <c r="BT64" s="205" t="n"/>
      <c r="BU64" s="205" t="n"/>
      <c r="BV64" s="205" t="n"/>
      <c r="BW64" s="208" t="n"/>
      <c r="BX64" s="204" t="n"/>
      <c r="BY64" s="205" t="n"/>
      <c r="BZ64" s="205" t="n"/>
      <c r="CA64" s="205" t="n"/>
      <c r="CB64" s="206" t="n"/>
      <c r="CC64" s="207" t="n"/>
      <c r="CD64" s="205" t="n"/>
      <c r="CE64" s="205" t="n"/>
      <c r="CF64" s="206" t="n"/>
      <c r="CG64" s="160" t="n"/>
    </row>
    <row r="65">
      <c r="A65" s="160" t="n"/>
      <c r="B65" s="202" t="n"/>
      <c r="C65" s="203" t="inlineStr">
        <is>
          <t>83A</t>
        </is>
      </c>
      <c r="D65" s="204" t="n"/>
      <c r="E65" s="205" t="n"/>
      <c r="F65" s="205" t="n"/>
      <c r="G65" s="205" t="n"/>
      <c r="H65" s="205" t="n"/>
      <c r="I65" s="205" t="inlineStr">
        <is>
          <t>●</t>
        </is>
      </c>
      <c r="J65" s="205" t="inlineStr">
        <is>
          <t>●</t>
        </is>
      </c>
      <c r="K65" s="205" t="inlineStr">
        <is>
          <t>●</t>
        </is>
      </c>
      <c r="L65" s="205" t="inlineStr">
        <is>
          <t>●</t>
        </is>
      </c>
      <c r="M65" s="205" t="inlineStr">
        <is>
          <t>●</t>
        </is>
      </c>
      <c r="N65" s="205" t="n"/>
      <c r="O65" s="206" t="n"/>
      <c r="P65" s="207" t="n"/>
      <c r="Q65" s="205" t="n"/>
      <c r="R65" s="205" t="n"/>
      <c r="S65" s="207" t="n"/>
      <c r="T65" s="205" t="n"/>
      <c r="U65" s="205" t="n"/>
      <c r="V65" s="205" t="n"/>
      <c r="W65" s="205" t="n"/>
      <c r="X65" s="205" t="n"/>
      <c r="Y65" s="205" t="n"/>
      <c r="Z65" s="205" t="n"/>
      <c r="AA65" s="205" t="n"/>
      <c r="AB65" s="205" t="n"/>
      <c r="AC65" s="207" t="n"/>
      <c r="AD65" s="205" t="n"/>
      <c r="AE65" s="205" t="n"/>
      <c r="AF65" s="205" t="n"/>
      <c r="AG65" s="205" t="n"/>
      <c r="AH65" s="207" t="n"/>
      <c r="AI65" s="205" t="n"/>
      <c r="AJ65" s="205" t="n"/>
      <c r="AK65" s="205" t="n"/>
      <c r="AL65" s="205" t="n"/>
      <c r="AM65" s="205" t="n"/>
      <c r="AN65" s="205" t="n"/>
      <c r="AO65" s="205" t="n"/>
      <c r="AP65" s="205" t="n"/>
      <c r="AQ65" s="205" t="n"/>
      <c r="AR65" s="207" t="n"/>
      <c r="AS65" s="205" t="n"/>
      <c r="AT65" s="205" t="n"/>
      <c r="AU65" s="208" t="n"/>
      <c r="AV65" s="205" t="n"/>
      <c r="AW65" s="205" t="n"/>
      <c r="AX65" s="207" t="n"/>
      <c r="AY65" s="205" t="n"/>
      <c r="AZ65" s="205" t="n"/>
      <c r="BA65" s="205" t="n"/>
      <c r="BB65" s="205" t="n"/>
      <c r="BC65" s="205" t="n"/>
      <c r="BD65" s="205" t="n"/>
      <c r="BE65" s="205" t="n"/>
      <c r="BF65" s="205" t="n"/>
      <c r="BG65" s="205" t="n"/>
      <c r="BH65" s="205" t="n"/>
      <c r="BI65" s="205" t="n"/>
      <c r="BJ65" s="205" t="n"/>
      <c r="BK65" s="205" t="n"/>
      <c r="BL65" s="207" t="n"/>
      <c r="BM65" s="205" t="n"/>
      <c r="BN65" s="205" t="n"/>
      <c r="BO65" s="205" t="n"/>
      <c r="BP65" s="205" t="n"/>
      <c r="BQ65" s="205" t="n"/>
      <c r="BR65" s="205" t="n"/>
      <c r="BS65" s="205" t="n"/>
      <c r="BT65" s="205" t="n"/>
      <c r="BU65" s="205" t="n"/>
      <c r="BV65" s="205" t="n"/>
      <c r="BW65" s="208" t="n"/>
      <c r="BX65" s="204" t="n"/>
      <c r="BY65" s="205" t="n"/>
      <c r="BZ65" s="205" t="n"/>
      <c r="CA65" s="205" t="n"/>
      <c r="CB65" s="206" t="n"/>
      <c r="CC65" s="207" t="inlineStr">
        <is>
          <t>●</t>
        </is>
      </c>
      <c r="CD65" s="205" t="n"/>
      <c r="CE65" s="205" t="n"/>
      <c r="CF65" s="206" t="n"/>
      <c r="CG65" s="160" t="n"/>
    </row>
    <row r="66">
      <c r="A66" s="160" t="n"/>
      <c r="B66" s="202" t="n"/>
      <c r="C66" s="203" t="inlineStr">
        <is>
          <t>84A</t>
        </is>
      </c>
      <c r="D66" s="204" t="n"/>
      <c r="E66" s="205" t="n"/>
      <c r="F66" s="205" t="n"/>
      <c r="G66" s="205" t="n"/>
      <c r="H66" s="205" t="n"/>
      <c r="I66" s="205" t="inlineStr">
        <is>
          <t>●</t>
        </is>
      </c>
      <c r="J66" s="205" t="inlineStr">
        <is>
          <t>●</t>
        </is>
      </c>
      <c r="K66" s="205" t="inlineStr">
        <is>
          <t>●</t>
        </is>
      </c>
      <c r="L66" s="205" t="inlineStr">
        <is>
          <t>●</t>
        </is>
      </c>
      <c r="M66" s="205" t="inlineStr">
        <is>
          <t>●</t>
        </is>
      </c>
      <c r="N66" s="205" t="n"/>
      <c r="O66" s="206" t="inlineStr">
        <is>
          <t>●</t>
        </is>
      </c>
      <c r="P66" s="207" t="n"/>
      <c r="Q66" s="205" t="n"/>
      <c r="R66" s="205" t="n"/>
      <c r="S66" s="207" t="n"/>
      <c r="T66" s="205" t="n"/>
      <c r="U66" s="205" t="n"/>
      <c r="V66" s="205" t="n"/>
      <c r="W66" s="205" t="n"/>
      <c r="X66" s="205" t="n"/>
      <c r="Y66" s="205" t="n"/>
      <c r="Z66" s="205" t="n"/>
      <c r="AA66" s="205" t="n"/>
      <c r="AB66" s="205" t="n"/>
      <c r="AC66" s="207" t="n"/>
      <c r="AD66" s="205" t="n"/>
      <c r="AE66" s="205" t="n"/>
      <c r="AF66" s="205" t="n"/>
      <c r="AG66" s="205" t="n"/>
      <c r="AH66" s="207" t="n"/>
      <c r="AI66" s="205" t="n"/>
      <c r="AJ66" s="205" t="n"/>
      <c r="AK66" s="205" t="n"/>
      <c r="AL66" s="205" t="n"/>
      <c r="AM66" s="205" t="n"/>
      <c r="AN66" s="205" t="n"/>
      <c r="AO66" s="205" t="n"/>
      <c r="AP66" s="205" t="n"/>
      <c r="AQ66" s="205" t="n"/>
      <c r="AR66" s="207" t="n"/>
      <c r="AS66" s="205" t="n"/>
      <c r="AT66" s="205" t="n"/>
      <c r="AU66" s="208" t="n"/>
      <c r="AV66" s="205" t="n"/>
      <c r="AW66" s="205" t="n"/>
      <c r="AX66" s="207" t="n"/>
      <c r="AY66" s="205" t="n"/>
      <c r="AZ66" s="205" t="n"/>
      <c r="BA66" s="205" t="n"/>
      <c r="BB66" s="205" t="n"/>
      <c r="BC66" s="205" t="n"/>
      <c r="BD66" s="205" t="n"/>
      <c r="BE66" s="205" t="n"/>
      <c r="BF66" s="205" t="n"/>
      <c r="BG66" s="205" t="n"/>
      <c r="BH66" s="205" t="n"/>
      <c r="BI66" s="205" t="n"/>
      <c r="BJ66" s="205" t="n"/>
      <c r="BK66" s="205" t="n"/>
      <c r="BL66" s="207" t="n"/>
      <c r="BM66" s="205" t="n"/>
      <c r="BN66" s="205" t="n"/>
      <c r="BO66" s="205" t="n"/>
      <c r="BP66" s="205" t="n"/>
      <c r="BQ66" s="205" t="n"/>
      <c r="BR66" s="205" t="n"/>
      <c r="BS66" s="205" t="n"/>
      <c r="BT66" s="205" t="n"/>
      <c r="BU66" s="205" t="n"/>
      <c r="BV66" s="205" t="n"/>
      <c r="BW66" s="208" t="n"/>
      <c r="BX66" s="204" t="n"/>
      <c r="BY66" s="205" t="n"/>
      <c r="BZ66" s="205" t="n"/>
      <c r="CA66" s="205" t="n"/>
      <c r="CB66" s="206" t="n"/>
      <c r="CC66" s="207" t="inlineStr">
        <is>
          <t>●</t>
        </is>
      </c>
      <c r="CD66" s="205" t="n"/>
      <c r="CE66" s="205" t="n"/>
      <c r="CF66" s="206" t="n"/>
      <c r="CG66" s="160" t="n"/>
    </row>
    <row r="67">
      <c r="A67" s="160" t="n"/>
      <c r="B67" s="202" t="n"/>
      <c r="C67" s="203" t="inlineStr">
        <is>
          <t>85A</t>
        </is>
      </c>
      <c r="D67" s="204" t="n"/>
      <c r="E67" s="205" t="n"/>
      <c r="F67" s="205" t="n"/>
      <c r="G67" s="205" t="n"/>
      <c r="H67" s="205" t="n"/>
      <c r="I67" s="205" t="inlineStr">
        <is>
          <t>●</t>
        </is>
      </c>
      <c r="J67" s="205" t="inlineStr">
        <is>
          <t>●</t>
        </is>
      </c>
      <c r="K67" s="205" t="inlineStr">
        <is>
          <t>●</t>
        </is>
      </c>
      <c r="L67" s="205" t="inlineStr">
        <is>
          <t>●</t>
        </is>
      </c>
      <c r="M67" s="205" t="inlineStr">
        <is>
          <t>●</t>
        </is>
      </c>
      <c r="N67" s="205" t="n"/>
      <c r="O67" s="206" t="n"/>
      <c r="P67" s="207" t="n"/>
      <c r="Q67" s="205" t="n"/>
      <c r="R67" s="205" t="n"/>
      <c r="S67" s="207" t="n"/>
      <c r="T67" s="205" t="n"/>
      <c r="U67" s="205" t="n"/>
      <c r="V67" s="205" t="n"/>
      <c r="W67" s="205" t="n"/>
      <c r="X67" s="205" t="n"/>
      <c r="Y67" s="205" t="n"/>
      <c r="Z67" s="205" t="n"/>
      <c r="AA67" s="205" t="n"/>
      <c r="AB67" s="205" t="n"/>
      <c r="AC67" s="207" t="n"/>
      <c r="AD67" s="205" t="n"/>
      <c r="AE67" s="205" t="n"/>
      <c r="AF67" s="205" t="n"/>
      <c r="AG67" s="205" t="n"/>
      <c r="AH67" s="207" t="n"/>
      <c r="AI67" s="205" t="n"/>
      <c r="AJ67" s="205" t="n"/>
      <c r="AK67" s="205" t="n"/>
      <c r="AL67" s="205" t="n"/>
      <c r="AM67" s="205" t="n"/>
      <c r="AN67" s="205" t="n"/>
      <c r="AO67" s="205" t="n"/>
      <c r="AP67" s="205" t="n"/>
      <c r="AQ67" s="205" t="n"/>
      <c r="AR67" s="207" t="n"/>
      <c r="AS67" s="205" t="n"/>
      <c r="AT67" s="205" t="n"/>
      <c r="AU67" s="208" t="n"/>
      <c r="AV67" s="205" t="n"/>
      <c r="AW67" s="205" t="n"/>
      <c r="AX67" s="207" t="n"/>
      <c r="AY67" s="205" t="n"/>
      <c r="AZ67" s="205" t="n"/>
      <c r="BA67" s="205" t="n"/>
      <c r="BB67" s="205" t="n"/>
      <c r="BC67" s="205" t="n"/>
      <c r="BD67" s="205" t="n"/>
      <c r="BE67" s="205" t="n"/>
      <c r="BF67" s="205" t="n"/>
      <c r="BG67" s="205" t="n"/>
      <c r="BH67" s="205" t="n"/>
      <c r="BI67" s="205" t="n"/>
      <c r="BJ67" s="205" t="n"/>
      <c r="BK67" s="205" t="n"/>
      <c r="BL67" s="207" t="n"/>
      <c r="BM67" s="205" t="n"/>
      <c r="BN67" s="205" t="n"/>
      <c r="BO67" s="205" t="n"/>
      <c r="BP67" s="205" t="n"/>
      <c r="BQ67" s="205" t="n"/>
      <c r="BR67" s="205" t="n"/>
      <c r="BS67" s="205" t="n"/>
      <c r="BT67" s="205" t="n"/>
      <c r="BU67" s="205" t="n"/>
      <c r="BV67" s="205" t="n"/>
      <c r="BW67" s="208" t="n"/>
      <c r="BX67" s="204" t="n"/>
      <c r="BY67" s="205" t="n"/>
      <c r="BZ67" s="205" t="n"/>
      <c r="CA67" s="205" t="n"/>
      <c r="CB67" s="206" t="n"/>
      <c r="CC67" s="207" t="inlineStr">
        <is>
          <t>●</t>
        </is>
      </c>
      <c r="CD67" s="205" t="n"/>
      <c r="CE67" s="205" t="inlineStr">
        <is>
          <t>●</t>
        </is>
      </c>
      <c r="CF67" s="206" t="n"/>
      <c r="CG67" s="160" t="n"/>
    </row>
    <row r="68">
      <c r="A68" s="160" t="n"/>
      <c r="B68" s="202" t="n"/>
      <c r="C68" s="203" t="inlineStr">
        <is>
          <t>86A</t>
        </is>
      </c>
      <c r="D68" s="204" t="n"/>
      <c r="E68" s="205" t="n"/>
      <c r="F68" s="205" t="n"/>
      <c r="G68" s="205" t="n"/>
      <c r="H68" s="205" t="n"/>
      <c r="I68" s="205" t="inlineStr">
        <is>
          <t>●</t>
        </is>
      </c>
      <c r="J68" s="205" t="inlineStr">
        <is>
          <t>●</t>
        </is>
      </c>
      <c r="K68" s="205" t="inlineStr">
        <is>
          <t>●</t>
        </is>
      </c>
      <c r="L68" s="205" t="inlineStr">
        <is>
          <t>●</t>
        </is>
      </c>
      <c r="M68" s="205" t="inlineStr">
        <is>
          <t>●</t>
        </is>
      </c>
      <c r="N68" s="205" t="n"/>
      <c r="O68" s="206" t="n"/>
      <c r="P68" s="207" t="n"/>
      <c r="Q68" s="205" t="n"/>
      <c r="R68" s="205" t="n"/>
      <c r="S68" s="207" t="n"/>
      <c r="T68" s="205" t="n"/>
      <c r="U68" s="205" t="n"/>
      <c r="V68" s="205" t="n"/>
      <c r="W68" s="205" t="n"/>
      <c r="X68" s="205" t="n"/>
      <c r="Y68" s="205" t="n"/>
      <c r="Z68" s="205" t="n"/>
      <c r="AA68" s="205" t="n"/>
      <c r="AB68" s="205" t="n"/>
      <c r="AC68" s="207" t="n"/>
      <c r="AD68" s="205" t="n"/>
      <c r="AE68" s="205" t="n"/>
      <c r="AF68" s="205" t="n"/>
      <c r="AG68" s="205" t="n"/>
      <c r="AH68" s="207" t="n"/>
      <c r="AI68" s="205" t="n"/>
      <c r="AJ68" s="205" t="n"/>
      <c r="AK68" s="205" t="n"/>
      <c r="AL68" s="205" t="n"/>
      <c r="AM68" s="205" t="n"/>
      <c r="AN68" s="205" t="n"/>
      <c r="AO68" s="205" t="n"/>
      <c r="AP68" s="205" t="n"/>
      <c r="AQ68" s="205" t="n"/>
      <c r="AR68" s="207" t="n"/>
      <c r="AS68" s="205" t="n"/>
      <c r="AT68" s="205" t="n"/>
      <c r="AU68" s="208" t="n"/>
      <c r="AV68" s="205" t="n"/>
      <c r="AW68" s="205" t="n"/>
      <c r="AX68" s="207" t="n"/>
      <c r="AY68" s="205" t="n"/>
      <c r="AZ68" s="205" t="n"/>
      <c r="BA68" s="205" t="n"/>
      <c r="BB68" s="205" t="n"/>
      <c r="BC68" s="205" t="n"/>
      <c r="BD68" s="205" t="n"/>
      <c r="BE68" s="205" t="n"/>
      <c r="BF68" s="205" t="n"/>
      <c r="BG68" s="205" t="n"/>
      <c r="BH68" s="205" t="n"/>
      <c r="BI68" s="205" t="n"/>
      <c r="BJ68" s="205" t="n"/>
      <c r="BK68" s="205" t="n"/>
      <c r="BL68" s="207" t="n"/>
      <c r="BM68" s="205" t="n"/>
      <c r="BN68" s="205" t="n"/>
      <c r="BO68" s="205" t="n"/>
      <c r="BP68" s="205" t="n"/>
      <c r="BQ68" s="205" t="n"/>
      <c r="BR68" s="205" t="n"/>
      <c r="BS68" s="205" t="n"/>
      <c r="BT68" s="205" t="n"/>
      <c r="BU68" s="205" t="n"/>
      <c r="BV68" s="205" t="n"/>
      <c r="BW68" s="208" t="n"/>
      <c r="BX68" s="204" t="n"/>
      <c r="BY68" s="205" t="n"/>
      <c r="BZ68" s="205" t="n"/>
      <c r="CA68" s="205" t="n"/>
      <c r="CB68" s="206" t="n"/>
      <c r="CC68" s="207" t="inlineStr">
        <is>
          <t>●</t>
        </is>
      </c>
      <c r="CD68" s="205" t="n"/>
      <c r="CE68" s="205" t="inlineStr">
        <is>
          <t>●</t>
        </is>
      </c>
      <c r="CF68" s="206" t="n"/>
      <c r="CG68" s="160" t="n"/>
    </row>
    <row r="69">
      <c r="A69" s="160" t="n"/>
      <c r="B69" s="202" t="n"/>
      <c r="C69" s="203" t="inlineStr">
        <is>
          <t>87A</t>
        </is>
      </c>
      <c r="D69" s="204" t="n"/>
      <c r="E69" s="205" t="n"/>
      <c r="F69" s="205" t="n"/>
      <c r="G69" s="205" t="n"/>
      <c r="H69" s="205" t="n"/>
      <c r="I69" s="205" t="inlineStr">
        <is>
          <t>●</t>
        </is>
      </c>
      <c r="J69" s="205" t="inlineStr">
        <is>
          <t>●</t>
        </is>
      </c>
      <c r="K69" s="205" t="inlineStr">
        <is>
          <t>●</t>
        </is>
      </c>
      <c r="L69" s="205" t="inlineStr">
        <is>
          <t>●</t>
        </is>
      </c>
      <c r="M69" s="205" t="inlineStr">
        <is>
          <t>●</t>
        </is>
      </c>
      <c r="N69" s="205" t="n"/>
      <c r="O69" s="206" t="inlineStr">
        <is>
          <t>●</t>
        </is>
      </c>
      <c r="P69" s="207" t="n"/>
      <c r="Q69" s="205" t="n"/>
      <c r="R69" s="205" t="n"/>
      <c r="S69" s="207" t="n"/>
      <c r="T69" s="205" t="n"/>
      <c r="U69" s="205" t="n"/>
      <c r="V69" s="205" t="n"/>
      <c r="W69" s="205" t="n"/>
      <c r="X69" s="205" t="n"/>
      <c r="Y69" s="205" t="n"/>
      <c r="Z69" s="205" t="n"/>
      <c r="AA69" s="205" t="n"/>
      <c r="AB69" s="205" t="n"/>
      <c r="AC69" s="207" t="n"/>
      <c r="AD69" s="205" t="n"/>
      <c r="AE69" s="205" t="n"/>
      <c r="AF69" s="205" t="n"/>
      <c r="AG69" s="205" t="n"/>
      <c r="AH69" s="207" t="n"/>
      <c r="AI69" s="205" t="n"/>
      <c r="AJ69" s="205" t="n"/>
      <c r="AK69" s="205" t="n"/>
      <c r="AL69" s="205" t="n"/>
      <c r="AM69" s="205" t="n"/>
      <c r="AN69" s="205" t="n"/>
      <c r="AO69" s="205" t="n"/>
      <c r="AP69" s="205" t="n"/>
      <c r="AQ69" s="205" t="n"/>
      <c r="AR69" s="207" t="n"/>
      <c r="AS69" s="205" t="n"/>
      <c r="AT69" s="205" t="n"/>
      <c r="AU69" s="208" t="n"/>
      <c r="AV69" s="205" t="n"/>
      <c r="AW69" s="205" t="n"/>
      <c r="AX69" s="207" t="n"/>
      <c r="AY69" s="205" t="n"/>
      <c r="AZ69" s="205" t="n"/>
      <c r="BA69" s="205" t="n"/>
      <c r="BB69" s="205" t="n"/>
      <c r="BC69" s="205" t="n"/>
      <c r="BD69" s="205" t="n"/>
      <c r="BE69" s="205" t="n"/>
      <c r="BF69" s="205" t="n"/>
      <c r="BG69" s="205" t="n"/>
      <c r="BH69" s="205" t="n"/>
      <c r="BI69" s="205" t="n"/>
      <c r="BJ69" s="205" t="n"/>
      <c r="BK69" s="205" t="n"/>
      <c r="BL69" s="207" t="n"/>
      <c r="BM69" s="205" t="n"/>
      <c r="BN69" s="205" t="n"/>
      <c r="BO69" s="205" t="n"/>
      <c r="BP69" s="205" t="n"/>
      <c r="BQ69" s="205" t="n"/>
      <c r="BR69" s="205" t="n"/>
      <c r="BS69" s="205" t="n"/>
      <c r="BT69" s="205" t="n"/>
      <c r="BU69" s="205" t="n"/>
      <c r="BV69" s="205" t="n"/>
      <c r="BW69" s="208" t="n"/>
      <c r="BX69" s="204" t="n"/>
      <c r="BY69" s="205" t="n"/>
      <c r="BZ69" s="205" t="n"/>
      <c r="CA69" s="205" t="n"/>
      <c r="CB69" s="206" t="n"/>
      <c r="CC69" s="207" t="inlineStr">
        <is>
          <t>●</t>
        </is>
      </c>
      <c r="CD69" s="205" t="n"/>
      <c r="CE69" s="205" t="inlineStr">
        <is>
          <t>●</t>
        </is>
      </c>
      <c r="CF69" s="206" t="n"/>
      <c r="CG69" s="160" t="n"/>
    </row>
    <row r="70">
      <c r="A70" s="160" t="n"/>
      <c r="B70" s="202" t="n"/>
      <c r="C70" s="203" t="inlineStr">
        <is>
          <t>88A</t>
        </is>
      </c>
      <c r="D70" s="204" t="n"/>
      <c r="E70" s="205" t="n"/>
      <c r="F70" s="205" t="n"/>
      <c r="G70" s="205" t="n"/>
      <c r="H70" s="205" t="n"/>
      <c r="I70" s="205" t="inlineStr">
        <is>
          <t>●</t>
        </is>
      </c>
      <c r="J70" s="205" t="inlineStr">
        <is>
          <t>●</t>
        </is>
      </c>
      <c r="K70" s="205" t="inlineStr">
        <is>
          <t>●</t>
        </is>
      </c>
      <c r="L70" s="205" t="inlineStr">
        <is>
          <t>●</t>
        </is>
      </c>
      <c r="M70" s="205" t="inlineStr">
        <is>
          <t>●</t>
        </is>
      </c>
      <c r="N70" s="205" t="n"/>
      <c r="O70" s="206" t="inlineStr">
        <is>
          <t>●</t>
        </is>
      </c>
      <c r="P70" s="207" t="n"/>
      <c r="Q70" s="205" t="n"/>
      <c r="R70" s="205" t="n"/>
      <c r="S70" s="207" t="n"/>
      <c r="T70" s="205" t="n"/>
      <c r="U70" s="205" t="n"/>
      <c r="V70" s="205" t="n"/>
      <c r="W70" s="205" t="n"/>
      <c r="X70" s="205" t="n"/>
      <c r="Y70" s="205" t="n"/>
      <c r="Z70" s="205" t="n"/>
      <c r="AA70" s="205" t="n"/>
      <c r="AB70" s="205" t="n"/>
      <c r="AC70" s="207" t="n"/>
      <c r="AD70" s="205" t="n"/>
      <c r="AE70" s="205" t="n"/>
      <c r="AF70" s="205" t="n"/>
      <c r="AG70" s="205" t="n"/>
      <c r="AH70" s="207" t="n"/>
      <c r="AI70" s="205" t="n"/>
      <c r="AJ70" s="205" t="n"/>
      <c r="AK70" s="205" t="n"/>
      <c r="AL70" s="205" t="n"/>
      <c r="AM70" s="205" t="n"/>
      <c r="AN70" s="205" t="n"/>
      <c r="AO70" s="205" t="n"/>
      <c r="AP70" s="205" t="n"/>
      <c r="AQ70" s="205" t="n"/>
      <c r="AR70" s="207" t="n"/>
      <c r="AS70" s="205" t="n"/>
      <c r="AT70" s="205" t="n"/>
      <c r="AU70" s="208" t="n"/>
      <c r="AV70" s="205" t="n"/>
      <c r="AW70" s="205" t="n"/>
      <c r="AX70" s="207" t="n"/>
      <c r="AY70" s="205" t="n"/>
      <c r="AZ70" s="205" t="n"/>
      <c r="BA70" s="205" t="n"/>
      <c r="BB70" s="205" t="n"/>
      <c r="BC70" s="205" t="n"/>
      <c r="BD70" s="205" t="n"/>
      <c r="BE70" s="205" t="n"/>
      <c r="BF70" s="205" t="n"/>
      <c r="BG70" s="205" t="n"/>
      <c r="BH70" s="205" t="n"/>
      <c r="BI70" s="205" t="n"/>
      <c r="BJ70" s="205" t="n"/>
      <c r="BK70" s="205" t="n"/>
      <c r="BL70" s="207" t="n"/>
      <c r="BM70" s="205" t="n"/>
      <c r="BN70" s="205" t="n"/>
      <c r="BO70" s="205" t="n"/>
      <c r="BP70" s="205" t="n"/>
      <c r="BQ70" s="205" t="n"/>
      <c r="BR70" s="205" t="n"/>
      <c r="BS70" s="205" t="n"/>
      <c r="BT70" s="205" t="n"/>
      <c r="BU70" s="205" t="n"/>
      <c r="BV70" s="205" t="n"/>
      <c r="BW70" s="208" t="n"/>
      <c r="BX70" s="204" t="n"/>
      <c r="BY70" s="205" t="n"/>
      <c r="BZ70" s="205" t="n"/>
      <c r="CA70" s="205" t="n"/>
      <c r="CB70" s="206" t="n"/>
      <c r="CC70" s="207" t="inlineStr">
        <is>
          <t>●</t>
        </is>
      </c>
      <c r="CD70" s="205" t="n"/>
      <c r="CE70" s="205" t="inlineStr">
        <is>
          <t>●</t>
        </is>
      </c>
      <c r="CF70" s="206" t="n"/>
      <c r="CG70" s="160" t="n"/>
    </row>
    <row r="71">
      <c r="A71" s="160" t="n"/>
      <c r="B71" s="202" t="n"/>
      <c r="C71" s="203" t="inlineStr">
        <is>
          <t>89A</t>
        </is>
      </c>
      <c r="D71" s="204" t="n"/>
      <c r="E71" s="205" t="n"/>
      <c r="F71" s="205" t="n"/>
      <c r="G71" s="205" t="n"/>
      <c r="H71" s="205" t="n"/>
      <c r="I71" s="205" t="inlineStr">
        <is>
          <t>●</t>
        </is>
      </c>
      <c r="J71" s="205" t="inlineStr">
        <is>
          <t>●</t>
        </is>
      </c>
      <c r="K71" s="205" t="inlineStr">
        <is>
          <t>●</t>
        </is>
      </c>
      <c r="L71" s="205" t="inlineStr">
        <is>
          <t>●</t>
        </is>
      </c>
      <c r="M71" s="205" t="inlineStr">
        <is>
          <t>●</t>
        </is>
      </c>
      <c r="N71" s="205" t="inlineStr">
        <is>
          <t>●</t>
        </is>
      </c>
      <c r="O71" s="206" t="n"/>
      <c r="P71" s="207" t="n"/>
      <c r="Q71" s="205" t="n"/>
      <c r="R71" s="205" t="n"/>
      <c r="S71" s="207" t="n"/>
      <c r="T71" s="205" t="n"/>
      <c r="U71" s="205" t="n"/>
      <c r="V71" s="205" t="n"/>
      <c r="W71" s="205" t="n"/>
      <c r="X71" s="205" t="n"/>
      <c r="Y71" s="205" t="n"/>
      <c r="Z71" s="205" t="n"/>
      <c r="AA71" s="205" t="n"/>
      <c r="AB71" s="205" t="n"/>
      <c r="AC71" s="207" t="n"/>
      <c r="AD71" s="205" t="n"/>
      <c r="AE71" s="205" t="n"/>
      <c r="AF71" s="205" t="n"/>
      <c r="AG71" s="205" t="n"/>
      <c r="AH71" s="207" t="n"/>
      <c r="AI71" s="205" t="n"/>
      <c r="AJ71" s="205" t="n"/>
      <c r="AK71" s="205" t="n"/>
      <c r="AL71" s="205" t="n"/>
      <c r="AM71" s="205" t="n"/>
      <c r="AN71" s="205" t="n"/>
      <c r="AO71" s="205" t="n"/>
      <c r="AP71" s="205" t="n"/>
      <c r="AQ71" s="205" t="n"/>
      <c r="AR71" s="207" t="n"/>
      <c r="AS71" s="205" t="n"/>
      <c r="AT71" s="205" t="n"/>
      <c r="AU71" s="208" t="n"/>
      <c r="AV71" s="205" t="n"/>
      <c r="AW71" s="205" t="n"/>
      <c r="AX71" s="207" t="n"/>
      <c r="AY71" s="205" t="n"/>
      <c r="AZ71" s="205" t="n"/>
      <c r="BA71" s="205" t="n"/>
      <c r="BB71" s="205" t="n"/>
      <c r="BC71" s="205" t="n"/>
      <c r="BD71" s="205" t="n"/>
      <c r="BE71" s="205" t="n"/>
      <c r="BF71" s="205" t="n"/>
      <c r="BG71" s="205" t="n"/>
      <c r="BH71" s="205" t="n"/>
      <c r="BI71" s="205" t="n"/>
      <c r="BJ71" s="205" t="n"/>
      <c r="BK71" s="205" t="n"/>
      <c r="BL71" s="207" t="n"/>
      <c r="BM71" s="205" t="n"/>
      <c r="BN71" s="205" t="n"/>
      <c r="BO71" s="205" t="n"/>
      <c r="BP71" s="205" t="n"/>
      <c r="BQ71" s="205" t="n"/>
      <c r="BR71" s="205" t="n"/>
      <c r="BS71" s="205" t="n"/>
      <c r="BT71" s="205" t="n"/>
      <c r="BU71" s="205" t="n"/>
      <c r="BV71" s="205" t="n"/>
      <c r="BW71" s="208" t="n"/>
      <c r="BX71" s="204" t="n"/>
      <c r="BY71" s="205" t="n"/>
      <c r="BZ71" s="205" t="n"/>
      <c r="CA71" s="205" t="n"/>
      <c r="CB71" s="206" t="n"/>
      <c r="CC71" s="207" t="n"/>
      <c r="CD71" s="205" t="n"/>
      <c r="CE71" s="205" t="n"/>
      <c r="CF71" s="206" t="n"/>
      <c r="CG71" s="160" t="n"/>
    </row>
    <row r="72">
      <c r="A72" s="160" t="n"/>
      <c r="B72" s="202" t="n"/>
      <c r="C72" s="203" t="inlineStr">
        <is>
          <t>90A</t>
        </is>
      </c>
      <c r="D72" s="204" t="n"/>
      <c r="E72" s="205" t="n"/>
      <c r="F72" s="205" t="n"/>
      <c r="G72" s="205" t="n"/>
      <c r="H72" s="205" t="n"/>
      <c r="I72" s="205" t="inlineStr">
        <is>
          <t>●</t>
        </is>
      </c>
      <c r="J72" s="205" t="inlineStr">
        <is>
          <t>●</t>
        </is>
      </c>
      <c r="K72" s="205" t="inlineStr">
        <is>
          <t>●</t>
        </is>
      </c>
      <c r="L72" s="205" t="inlineStr">
        <is>
          <t>●</t>
        </is>
      </c>
      <c r="M72" s="205" t="inlineStr">
        <is>
          <t>●</t>
        </is>
      </c>
      <c r="N72" s="205" t="inlineStr">
        <is>
          <t>●</t>
        </is>
      </c>
      <c r="O72" s="206" t="inlineStr">
        <is>
          <t>●</t>
        </is>
      </c>
      <c r="P72" s="207" t="n"/>
      <c r="Q72" s="205" t="n"/>
      <c r="R72" s="205" t="n"/>
      <c r="S72" s="207" t="n"/>
      <c r="T72" s="205" t="n"/>
      <c r="U72" s="205" t="n"/>
      <c r="V72" s="205" t="n"/>
      <c r="W72" s="205" t="n"/>
      <c r="X72" s="205" t="n"/>
      <c r="Y72" s="205" t="n"/>
      <c r="Z72" s="205" t="n"/>
      <c r="AA72" s="205" t="n"/>
      <c r="AB72" s="205" t="n"/>
      <c r="AC72" s="207" t="n"/>
      <c r="AD72" s="205" t="n"/>
      <c r="AE72" s="205" t="n"/>
      <c r="AF72" s="205" t="n"/>
      <c r="AG72" s="205" t="n"/>
      <c r="AH72" s="207" t="n"/>
      <c r="AI72" s="205" t="n"/>
      <c r="AJ72" s="205" t="n"/>
      <c r="AK72" s="205" t="n"/>
      <c r="AL72" s="205" t="n"/>
      <c r="AM72" s="205" t="n"/>
      <c r="AN72" s="205" t="n"/>
      <c r="AO72" s="205" t="n"/>
      <c r="AP72" s="205" t="n"/>
      <c r="AQ72" s="205" t="n"/>
      <c r="AR72" s="207" t="n"/>
      <c r="AS72" s="205" t="n"/>
      <c r="AT72" s="205" t="n"/>
      <c r="AU72" s="208" t="n"/>
      <c r="AV72" s="205" t="n"/>
      <c r="AW72" s="205" t="n"/>
      <c r="AX72" s="207" t="n"/>
      <c r="AY72" s="205" t="n"/>
      <c r="AZ72" s="205" t="n"/>
      <c r="BA72" s="205" t="n"/>
      <c r="BB72" s="205" t="n"/>
      <c r="BC72" s="205" t="n"/>
      <c r="BD72" s="205" t="n"/>
      <c r="BE72" s="205" t="n"/>
      <c r="BF72" s="205" t="n"/>
      <c r="BG72" s="205" t="n"/>
      <c r="BH72" s="205" t="n"/>
      <c r="BI72" s="205" t="n"/>
      <c r="BJ72" s="205" t="n"/>
      <c r="BK72" s="205" t="n"/>
      <c r="BL72" s="207" t="n"/>
      <c r="BM72" s="205" t="n"/>
      <c r="BN72" s="205" t="n"/>
      <c r="BO72" s="205" t="n"/>
      <c r="BP72" s="205" t="n"/>
      <c r="BQ72" s="205" t="n"/>
      <c r="BR72" s="205" t="n"/>
      <c r="BS72" s="205" t="n"/>
      <c r="BT72" s="205" t="n"/>
      <c r="BU72" s="205" t="n"/>
      <c r="BV72" s="205" t="n"/>
      <c r="BW72" s="208" t="n"/>
      <c r="BX72" s="204" t="n"/>
      <c r="BY72" s="205" t="n"/>
      <c r="BZ72" s="205" t="n"/>
      <c r="CA72" s="205" t="n"/>
      <c r="CB72" s="206" t="n"/>
      <c r="CC72" s="207" t="inlineStr">
        <is>
          <t>●</t>
        </is>
      </c>
      <c r="CD72" s="205" t="n"/>
      <c r="CE72" s="205" t="n"/>
      <c r="CF72" s="206" t="n"/>
      <c r="CG72" s="160" t="n"/>
    </row>
    <row r="73">
      <c r="A73" s="160" t="n"/>
      <c r="B73" s="202" t="n"/>
      <c r="C73" s="203" t="inlineStr">
        <is>
          <t>91A</t>
        </is>
      </c>
      <c r="D73" s="204" t="n"/>
      <c r="E73" s="205" t="n"/>
      <c r="F73" s="205" t="n"/>
      <c r="G73" s="205" t="n"/>
      <c r="H73" s="205" t="n"/>
      <c r="I73" s="205" t="inlineStr">
        <is>
          <t>●</t>
        </is>
      </c>
      <c r="J73" s="205" t="inlineStr">
        <is>
          <t>●</t>
        </is>
      </c>
      <c r="K73" s="205" t="inlineStr">
        <is>
          <t>●</t>
        </is>
      </c>
      <c r="L73" s="205" t="inlineStr">
        <is>
          <t>●</t>
        </is>
      </c>
      <c r="M73" s="205" t="inlineStr">
        <is>
          <t>●</t>
        </is>
      </c>
      <c r="N73" s="205" t="inlineStr">
        <is>
          <t>●</t>
        </is>
      </c>
      <c r="O73" s="206" t="n"/>
      <c r="P73" s="207" t="n"/>
      <c r="Q73" s="205" t="n"/>
      <c r="R73" s="205" t="n"/>
      <c r="S73" s="207" t="n"/>
      <c r="T73" s="205" t="n"/>
      <c r="U73" s="205" t="n"/>
      <c r="V73" s="205" t="n"/>
      <c r="W73" s="205" t="n"/>
      <c r="X73" s="205" t="n"/>
      <c r="Y73" s="205" t="n"/>
      <c r="Z73" s="205" t="n"/>
      <c r="AA73" s="205" t="n"/>
      <c r="AB73" s="205" t="n"/>
      <c r="AC73" s="207" t="n"/>
      <c r="AD73" s="205" t="n"/>
      <c r="AE73" s="205" t="n"/>
      <c r="AF73" s="205" t="n"/>
      <c r="AG73" s="205" t="n"/>
      <c r="AH73" s="207" t="n"/>
      <c r="AI73" s="205" t="n"/>
      <c r="AJ73" s="205" t="n"/>
      <c r="AK73" s="205" t="n"/>
      <c r="AL73" s="205" t="n"/>
      <c r="AM73" s="205" t="n"/>
      <c r="AN73" s="205" t="n"/>
      <c r="AO73" s="205" t="n"/>
      <c r="AP73" s="205" t="n"/>
      <c r="AQ73" s="205" t="n"/>
      <c r="AR73" s="207" t="n"/>
      <c r="AS73" s="205" t="n"/>
      <c r="AT73" s="205" t="n"/>
      <c r="AU73" s="208" t="n"/>
      <c r="AV73" s="205" t="n"/>
      <c r="AW73" s="205" t="n"/>
      <c r="AX73" s="207" t="n"/>
      <c r="AY73" s="205" t="n"/>
      <c r="AZ73" s="205" t="n"/>
      <c r="BA73" s="205" t="n"/>
      <c r="BB73" s="205" t="n"/>
      <c r="BC73" s="205" t="n"/>
      <c r="BD73" s="205" t="n"/>
      <c r="BE73" s="205" t="n"/>
      <c r="BF73" s="205" t="n"/>
      <c r="BG73" s="205" t="n"/>
      <c r="BH73" s="205" t="n"/>
      <c r="BI73" s="205" t="n"/>
      <c r="BJ73" s="205" t="n"/>
      <c r="BK73" s="205" t="n"/>
      <c r="BL73" s="207" t="n"/>
      <c r="BM73" s="205" t="n"/>
      <c r="BN73" s="205" t="n"/>
      <c r="BO73" s="205" t="n"/>
      <c r="BP73" s="205" t="n"/>
      <c r="BQ73" s="205" t="n"/>
      <c r="BR73" s="205" t="n"/>
      <c r="BS73" s="205" t="n"/>
      <c r="BT73" s="205" t="n"/>
      <c r="BU73" s="205" t="n"/>
      <c r="BV73" s="205" t="n"/>
      <c r="BW73" s="208" t="n"/>
      <c r="BX73" s="204" t="n"/>
      <c r="BY73" s="205" t="n"/>
      <c r="BZ73" s="205" t="n"/>
      <c r="CA73" s="205" t="n"/>
      <c r="CB73" s="206" t="n"/>
      <c r="CC73" s="207" t="inlineStr">
        <is>
          <t>●</t>
        </is>
      </c>
      <c r="CD73" s="205" t="n"/>
      <c r="CE73" s="205" t="inlineStr">
        <is>
          <t>●</t>
        </is>
      </c>
      <c r="CF73" s="206" t="n"/>
      <c r="CG73" s="160" t="n"/>
    </row>
    <row r="74">
      <c r="A74" s="160" t="n"/>
      <c r="B74" s="202" t="n"/>
      <c r="C74" s="203" t="inlineStr">
        <is>
          <t>92A</t>
        </is>
      </c>
      <c r="D74" s="204" t="n"/>
      <c r="E74" s="205" t="n"/>
      <c r="F74" s="205" t="n"/>
      <c r="G74" s="205" t="n"/>
      <c r="H74" s="205" t="n"/>
      <c r="I74" s="205" t="inlineStr">
        <is>
          <t>●</t>
        </is>
      </c>
      <c r="J74" s="205" t="inlineStr">
        <is>
          <t>●</t>
        </is>
      </c>
      <c r="K74" s="205" t="inlineStr">
        <is>
          <t>●</t>
        </is>
      </c>
      <c r="L74" s="205" t="inlineStr">
        <is>
          <t>●</t>
        </is>
      </c>
      <c r="M74" s="205" t="inlineStr">
        <is>
          <t>●</t>
        </is>
      </c>
      <c r="N74" s="205" t="inlineStr">
        <is>
          <t>●</t>
        </is>
      </c>
      <c r="O74" s="206" t="inlineStr">
        <is>
          <t>●</t>
        </is>
      </c>
      <c r="P74" s="207" t="n"/>
      <c r="Q74" s="205" t="n"/>
      <c r="R74" s="205" t="n"/>
      <c r="S74" s="207" t="n"/>
      <c r="T74" s="205" t="n"/>
      <c r="U74" s="205" t="n"/>
      <c r="V74" s="205" t="n"/>
      <c r="W74" s="205" t="n"/>
      <c r="X74" s="205" t="n"/>
      <c r="Y74" s="205" t="n"/>
      <c r="Z74" s="205" t="n"/>
      <c r="AA74" s="205" t="n"/>
      <c r="AB74" s="205" t="n"/>
      <c r="AC74" s="207" t="n"/>
      <c r="AD74" s="205" t="n"/>
      <c r="AE74" s="205" t="n"/>
      <c r="AF74" s="205" t="n"/>
      <c r="AG74" s="205" t="n"/>
      <c r="AH74" s="207" t="n"/>
      <c r="AI74" s="205" t="n"/>
      <c r="AJ74" s="205" t="n"/>
      <c r="AK74" s="205" t="n"/>
      <c r="AL74" s="205" t="n"/>
      <c r="AM74" s="205" t="n"/>
      <c r="AN74" s="205" t="n"/>
      <c r="AO74" s="205" t="n"/>
      <c r="AP74" s="205" t="n"/>
      <c r="AQ74" s="205" t="n"/>
      <c r="AR74" s="207" t="n"/>
      <c r="AS74" s="205" t="n"/>
      <c r="AT74" s="205" t="n"/>
      <c r="AU74" s="208" t="n"/>
      <c r="AV74" s="205" t="n"/>
      <c r="AW74" s="205" t="n"/>
      <c r="AX74" s="207" t="n"/>
      <c r="AY74" s="205" t="n"/>
      <c r="AZ74" s="205" t="n"/>
      <c r="BA74" s="205" t="n"/>
      <c r="BB74" s="205" t="n"/>
      <c r="BC74" s="205" t="n"/>
      <c r="BD74" s="205" t="n"/>
      <c r="BE74" s="205" t="n"/>
      <c r="BF74" s="205" t="n"/>
      <c r="BG74" s="205" t="n"/>
      <c r="BH74" s="205" t="n"/>
      <c r="BI74" s="205" t="n"/>
      <c r="BJ74" s="205" t="n"/>
      <c r="BK74" s="205" t="n"/>
      <c r="BL74" s="207" t="n"/>
      <c r="BM74" s="205" t="n"/>
      <c r="BN74" s="205" t="n"/>
      <c r="BO74" s="205" t="n"/>
      <c r="BP74" s="205" t="n"/>
      <c r="BQ74" s="205" t="n"/>
      <c r="BR74" s="205" t="n"/>
      <c r="BS74" s="205" t="n"/>
      <c r="BT74" s="205" t="n"/>
      <c r="BU74" s="205" t="n"/>
      <c r="BV74" s="205" t="n"/>
      <c r="BW74" s="208" t="n"/>
      <c r="BX74" s="204" t="n"/>
      <c r="BY74" s="205" t="n"/>
      <c r="BZ74" s="205" t="n"/>
      <c r="CA74" s="205" t="n"/>
      <c r="CB74" s="206" t="n"/>
      <c r="CC74" s="207" t="inlineStr">
        <is>
          <t>●</t>
        </is>
      </c>
      <c r="CD74" s="205" t="n"/>
      <c r="CE74" s="205" t="inlineStr">
        <is>
          <t>●</t>
        </is>
      </c>
      <c r="CF74" s="206" t="n"/>
      <c r="CG74" s="160" t="n"/>
    </row>
    <row r="75">
      <c r="A75" s="160" t="n"/>
      <c r="B75" s="202" t="n"/>
      <c r="C75" s="203" t="inlineStr">
        <is>
          <t>93A</t>
        </is>
      </c>
      <c r="D75" s="204" t="inlineStr">
        <is>
          <t>●</t>
        </is>
      </c>
      <c r="E75" s="205" t="inlineStr">
        <is>
          <t>●</t>
        </is>
      </c>
      <c r="F75" s="205" t="inlineStr">
        <is>
          <t>●</t>
        </is>
      </c>
      <c r="G75" s="205" t="inlineStr">
        <is>
          <t>●</t>
        </is>
      </c>
      <c r="H75" s="205" t="inlineStr">
        <is>
          <t>●</t>
        </is>
      </c>
      <c r="I75" s="205" t="n"/>
      <c r="J75" s="205" t="n"/>
      <c r="K75" s="205" t="n"/>
      <c r="L75" s="205" t="n"/>
      <c r="M75" s="205" t="n"/>
      <c r="N75" s="205" t="n"/>
      <c r="O75" s="206" t="inlineStr">
        <is>
          <t>●</t>
        </is>
      </c>
      <c r="P75" s="207" t="n"/>
      <c r="Q75" s="205" t="n"/>
      <c r="R75" s="205" t="n"/>
      <c r="S75" s="207" t="n"/>
      <c r="T75" s="205" t="n"/>
      <c r="U75" s="205" t="n"/>
      <c r="V75" s="205" t="n"/>
      <c r="W75" s="205" t="n"/>
      <c r="X75" s="205" t="n"/>
      <c r="Y75" s="205" t="n"/>
      <c r="Z75" s="205" t="n"/>
      <c r="AA75" s="205" t="n"/>
      <c r="AB75" s="205" t="n"/>
      <c r="AC75" s="207" t="n"/>
      <c r="AD75" s="205" t="n"/>
      <c r="AE75" s="205" t="n"/>
      <c r="AF75" s="205" t="n"/>
      <c r="AG75" s="205" t="n"/>
      <c r="AH75" s="207" t="n"/>
      <c r="AI75" s="205" t="n"/>
      <c r="AJ75" s="205" t="n"/>
      <c r="AK75" s="205" t="n"/>
      <c r="AL75" s="205" t="n"/>
      <c r="AM75" s="205" t="n"/>
      <c r="AN75" s="205" t="n"/>
      <c r="AO75" s="205" t="n"/>
      <c r="AP75" s="205" t="n"/>
      <c r="AQ75" s="205" t="n"/>
      <c r="AR75" s="207" t="n"/>
      <c r="AS75" s="205" t="n"/>
      <c r="AT75" s="205" t="n"/>
      <c r="AU75" s="208" t="n"/>
      <c r="AV75" s="205" t="n"/>
      <c r="AW75" s="205" t="n"/>
      <c r="AX75" s="207" t="n"/>
      <c r="AY75" s="205" t="n"/>
      <c r="AZ75" s="205" t="n"/>
      <c r="BA75" s="205" t="n"/>
      <c r="BB75" s="205" t="n"/>
      <c r="BC75" s="205" t="n"/>
      <c r="BD75" s="205" t="n"/>
      <c r="BE75" s="205" t="n"/>
      <c r="BF75" s="205" t="n"/>
      <c r="BG75" s="205" t="n"/>
      <c r="BH75" s="205" t="n"/>
      <c r="BI75" s="205" t="n"/>
      <c r="BJ75" s="205" t="n"/>
      <c r="BK75" s="205" t="n"/>
      <c r="BL75" s="207" t="n"/>
      <c r="BM75" s="205" t="n"/>
      <c r="BN75" s="205" t="n"/>
      <c r="BO75" s="205" t="n"/>
      <c r="BP75" s="205" t="n"/>
      <c r="BQ75" s="205" t="n"/>
      <c r="BR75" s="205" t="n"/>
      <c r="BS75" s="205" t="n"/>
      <c r="BT75" s="205" t="n"/>
      <c r="BU75" s="205" t="n"/>
      <c r="BV75" s="205" t="n"/>
      <c r="BW75" s="208" t="n"/>
      <c r="BX75" s="204" t="n"/>
      <c r="BY75" s="205" t="n"/>
      <c r="BZ75" s="205" t="n"/>
      <c r="CA75" s="205" t="n"/>
      <c r="CB75" s="206" t="n"/>
      <c r="CC75" s="207" t="inlineStr">
        <is>
          <t>●</t>
        </is>
      </c>
      <c r="CD75" s="205" t="n"/>
      <c r="CE75" s="205" t="inlineStr">
        <is>
          <t>●</t>
        </is>
      </c>
      <c r="CF75" s="206" t="n"/>
      <c r="CG75" s="160" t="n"/>
    </row>
    <row r="76">
      <c r="A76" s="160" t="n"/>
      <c r="B76" s="202" t="n"/>
      <c r="C76" s="203" t="inlineStr">
        <is>
          <t>94A</t>
        </is>
      </c>
      <c r="D76" s="204" t="inlineStr">
        <is>
          <t>●</t>
        </is>
      </c>
      <c r="E76" s="205" t="inlineStr">
        <is>
          <t>●</t>
        </is>
      </c>
      <c r="F76" s="205" t="inlineStr">
        <is>
          <t>●</t>
        </is>
      </c>
      <c r="G76" s="205" t="inlineStr">
        <is>
          <t>●</t>
        </is>
      </c>
      <c r="H76" s="205" t="inlineStr">
        <is>
          <t>●</t>
        </is>
      </c>
      <c r="I76" s="205" t="inlineStr">
        <is>
          <t>●</t>
        </is>
      </c>
      <c r="J76" s="205" t="inlineStr">
        <is>
          <t>●</t>
        </is>
      </c>
      <c r="K76" s="205" t="inlineStr">
        <is>
          <t>●</t>
        </is>
      </c>
      <c r="L76" s="205" t="inlineStr">
        <is>
          <t>●</t>
        </is>
      </c>
      <c r="M76" s="205" t="inlineStr">
        <is>
          <t>●</t>
        </is>
      </c>
      <c r="N76" s="205" t="n"/>
      <c r="O76" s="206" t="inlineStr">
        <is>
          <t>●</t>
        </is>
      </c>
      <c r="P76" s="207" t="n"/>
      <c r="Q76" s="205" t="n"/>
      <c r="R76" s="205" t="n"/>
      <c r="S76" s="207" t="n"/>
      <c r="T76" s="205" t="n"/>
      <c r="U76" s="205" t="n"/>
      <c r="V76" s="205" t="n"/>
      <c r="W76" s="205" t="n"/>
      <c r="X76" s="205" t="n"/>
      <c r="Y76" s="205" t="n"/>
      <c r="Z76" s="205" t="n"/>
      <c r="AA76" s="205" t="n"/>
      <c r="AB76" s="205" t="n"/>
      <c r="AC76" s="207" t="n"/>
      <c r="AD76" s="205" t="n"/>
      <c r="AE76" s="205" t="n"/>
      <c r="AF76" s="205" t="n"/>
      <c r="AG76" s="205" t="n"/>
      <c r="AH76" s="207" t="n"/>
      <c r="AI76" s="205" t="n"/>
      <c r="AJ76" s="205" t="n"/>
      <c r="AK76" s="205" t="n"/>
      <c r="AL76" s="205" t="n"/>
      <c r="AM76" s="205" t="n"/>
      <c r="AN76" s="205" t="n"/>
      <c r="AO76" s="205" t="n"/>
      <c r="AP76" s="205" t="n"/>
      <c r="AQ76" s="205" t="n"/>
      <c r="AR76" s="207" t="n"/>
      <c r="AS76" s="205" t="n"/>
      <c r="AT76" s="205" t="n"/>
      <c r="AU76" s="208" t="n"/>
      <c r="AV76" s="205" t="n"/>
      <c r="AW76" s="205" t="n"/>
      <c r="AX76" s="207" t="n"/>
      <c r="AY76" s="205" t="n"/>
      <c r="AZ76" s="205" t="n"/>
      <c r="BA76" s="205" t="n"/>
      <c r="BB76" s="205" t="n"/>
      <c r="BC76" s="205" t="n"/>
      <c r="BD76" s="205" t="n"/>
      <c r="BE76" s="205" t="n"/>
      <c r="BF76" s="205" t="n"/>
      <c r="BG76" s="205" t="n"/>
      <c r="BH76" s="205" t="n"/>
      <c r="BI76" s="205" t="n"/>
      <c r="BJ76" s="205" t="n"/>
      <c r="BK76" s="205" t="n"/>
      <c r="BL76" s="207" t="n"/>
      <c r="BM76" s="205" t="n"/>
      <c r="BN76" s="205" t="n"/>
      <c r="BO76" s="205" t="n"/>
      <c r="BP76" s="205" t="n"/>
      <c r="BQ76" s="205" t="n"/>
      <c r="BR76" s="205" t="n"/>
      <c r="BS76" s="205" t="n"/>
      <c r="BT76" s="205" t="n"/>
      <c r="BU76" s="205" t="n"/>
      <c r="BV76" s="205" t="n"/>
      <c r="BW76" s="208" t="n"/>
      <c r="BX76" s="204" t="n"/>
      <c r="BY76" s="205" t="n"/>
      <c r="BZ76" s="205" t="n"/>
      <c r="CA76" s="205" t="n"/>
      <c r="CB76" s="206" t="n"/>
      <c r="CC76" s="207" t="n"/>
      <c r="CD76" s="205" t="n"/>
      <c r="CE76" s="205" t="n"/>
      <c r="CF76" s="206" t="n"/>
      <c r="CG76" s="160" t="n"/>
    </row>
    <row r="77">
      <c r="A77" s="160" t="n"/>
      <c r="B77" s="202" t="n"/>
      <c r="C77" s="203" t="inlineStr">
        <is>
          <t>95A</t>
        </is>
      </c>
      <c r="D77" s="204" t="inlineStr">
        <is>
          <t>●</t>
        </is>
      </c>
      <c r="E77" s="205" t="inlineStr">
        <is>
          <t>●</t>
        </is>
      </c>
      <c r="F77" s="205" t="inlineStr">
        <is>
          <t>●</t>
        </is>
      </c>
      <c r="G77" s="205" t="inlineStr">
        <is>
          <t>●</t>
        </is>
      </c>
      <c r="H77" s="205" t="inlineStr">
        <is>
          <t>●</t>
        </is>
      </c>
      <c r="I77" s="205" t="inlineStr">
        <is>
          <t>●</t>
        </is>
      </c>
      <c r="J77" s="205" t="inlineStr">
        <is>
          <t>●</t>
        </is>
      </c>
      <c r="K77" s="205" t="inlineStr">
        <is>
          <t>●</t>
        </is>
      </c>
      <c r="L77" s="205" t="inlineStr">
        <is>
          <t>●</t>
        </is>
      </c>
      <c r="M77" s="205" t="inlineStr">
        <is>
          <t>●</t>
        </is>
      </c>
      <c r="N77" s="205" t="n"/>
      <c r="O77" s="206" t="n"/>
      <c r="P77" s="207" t="n"/>
      <c r="Q77" s="205" t="n"/>
      <c r="R77" s="205" t="n"/>
      <c r="S77" s="207" t="n"/>
      <c r="T77" s="205" t="n"/>
      <c r="U77" s="205" t="n"/>
      <c r="V77" s="205" t="n"/>
      <c r="W77" s="205" t="n"/>
      <c r="X77" s="205" t="n"/>
      <c r="Y77" s="205" t="n"/>
      <c r="Z77" s="205" t="n"/>
      <c r="AA77" s="205" t="n"/>
      <c r="AB77" s="205" t="n"/>
      <c r="AC77" s="207" t="n"/>
      <c r="AD77" s="205" t="n"/>
      <c r="AE77" s="205" t="n"/>
      <c r="AF77" s="205" t="n"/>
      <c r="AG77" s="205" t="n"/>
      <c r="AH77" s="207" t="n"/>
      <c r="AI77" s="205" t="n"/>
      <c r="AJ77" s="205" t="n"/>
      <c r="AK77" s="205" t="n"/>
      <c r="AL77" s="205" t="n"/>
      <c r="AM77" s="205" t="n"/>
      <c r="AN77" s="205" t="n"/>
      <c r="AO77" s="205" t="n"/>
      <c r="AP77" s="205" t="n"/>
      <c r="AQ77" s="205" t="n"/>
      <c r="AR77" s="207" t="n"/>
      <c r="AS77" s="205" t="n"/>
      <c r="AT77" s="205" t="n"/>
      <c r="AU77" s="208" t="n"/>
      <c r="AV77" s="205" t="n"/>
      <c r="AW77" s="205" t="n"/>
      <c r="AX77" s="207" t="n"/>
      <c r="AY77" s="205" t="n"/>
      <c r="AZ77" s="205" t="n"/>
      <c r="BA77" s="205" t="n"/>
      <c r="BB77" s="205" t="n"/>
      <c r="BC77" s="205" t="n"/>
      <c r="BD77" s="205" t="n"/>
      <c r="BE77" s="205" t="n"/>
      <c r="BF77" s="205" t="n"/>
      <c r="BG77" s="205" t="n"/>
      <c r="BH77" s="205" t="n"/>
      <c r="BI77" s="205" t="n"/>
      <c r="BJ77" s="205" t="n"/>
      <c r="BK77" s="205" t="n"/>
      <c r="BL77" s="207" t="n"/>
      <c r="BM77" s="205" t="n"/>
      <c r="BN77" s="205" t="n"/>
      <c r="BO77" s="205" t="n"/>
      <c r="BP77" s="205" t="n"/>
      <c r="BQ77" s="205" t="n"/>
      <c r="BR77" s="205" t="n"/>
      <c r="BS77" s="205" t="n"/>
      <c r="BT77" s="205" t="n"/>
      <c r="BU77" s="205" t="n"/>
      <c r="BV77" s="205" t="n"/>
      <c r="BW77" s="208" t="n"/>
      <c r="BX77" s="204" t="n"/>
      <c r="BY77" s="205" t="n"/>
      <c r="BZ77" s="205" t="n"/>
      <c r="CA77" s="205" t="n"/>
      <c r="CB77" s="206" t="n"/>
      <c r="CC77" s="207" t="inlineStr">
        <is>
          <t>●</t>
        </is>
      </c>
      <c r="CD77" s="205" t="n"/>
      <c r="CE77" s="205" t="inlineStr">
        <is>
          <t>●</t>
        </is>
      </c>
      <c r="CF77" s="206" t="n"/>
      <c r="CG77" s="160" t="n"/>
    </row>
    <row r="78">
      <c r="A78" s="160" t="n"/>
      <c r="B78" s="202" t="n"/>
      <c r="C78" s="203" t="inlineStr">
        <is>
          <t>96A</t>
        </is>
      </c>
      <c r="D78" s="204" t="inlineStr">
        <is>
          <t>●</t>
        </is>
      </c>
      <c r="E78" s="205" t="inlineStr">
        <is>
          <t>●</t>
        </is>
      </c>
      <c r="F78" s="205" t="inlineStr">
        <is>
          <t>●</t>
        </is>
      </c>
      <c r="G78" s="205" t="inlineStr">
        <is>
          <t>●</t>
        </is>
      </c>
      <c r="H78" s="205" t="inlineStr">
        <is>
          <t>●</t>
        </is>
      </c>
      <c r="I78" s="205" t="inlineStr">
        <is>
          <t>●</t>
        </is>
      </c>
      <c r="J78" s="205" t="inlineStr">
        <is>
          <t>●</t>
        </is>
      </c>
      <c r="K78" s="205" t="inlineStr">
        <is>
          <t>●</t>
        </is>
      </c>
      <c r="L78" s="205" t="inlineStr">
        <is>
          <t>●</t>
        </is>
      </c>
      <c r="M78" s="205" t="inlineStr">
        <is>
          <t>●</t>
        </is>
      </c>
      <c r="N78" s="205" t="n"/>
      <c r="O78" s="206" t="inlineStr">
        <is>
          <t>●</t>
        </is>
      </c>
      <c r="P78" s="207" t="n"/>
      <c r="Q78" s="205" t="n"/>
      <c r="R78" s="205" t="n"/>
      <c r="S78" s="207" t="n"/>
      <c r="T78" s="205" t="n"/>
      <c r="U78" s="205" t="n"/>
      <c r="V78" s="205" t="n"/>
      <c r="W78" s="205" t="n"/>
      <c r="X78" s="205" t="n"/>
      <c r="Y78" s="205" t="n"/>
      <c r="Z78" s="205" t="n"/>
      <c r="AA78" s="205" t="n"/>
      <c r="AB78" s="205" t="n"/>
      <c r="AC78" s="207" t="n"/>
      <c r="AD78" s="205" t="n"/>
      <c r="AE78" s="205" t="n"/>
      <c r="AF78" s="205" t="n"/>
      <c r="AG78" s="205" t="n"/>
      <c r="AH78" s="207" t="n"/>
      <c r="AI78" s="205" t="n"/>
      <c r="AJ78" s="205" t="n"/>
      <c r="AK78" s="205" t="n"/>
      <c r="AL78" s="205" t="n"/>
      <c r="AM78" s="205" t="n"/>
      <c r="AN78" s="205" t="n"/>
      <c r="AO78" s="205" t="n"/>
      <c r="AP78" s="205" t="n"/>
      <c r="AQ78" s="205" t="n"/>
      <c r="AR78" s="207" t="n"/>
      <c r="AS78" s="205" t="n"/>
      <c r="AT78" s="205" t="n"/>
      <c r="AU78" s="208" t="n"/>
      <c r="AV78" s="205" t="n"/>
      <c r="AW78" s="205" t="n"/>
      <c r="AX78" s="207" t="n"/>
      <c r="AY78" s="205" t="n"/>
      <c r="AZ78" s="205" t="n"/>
      <c r="BA78" s="205" t="n"/>
      <c r="BB78" s="205" t="n"/>
      <c r="BC78" s="205" t="n"/>
      <c r="BD78" s="205" t="n"/>
      <c r="BE78" s="205" t="n"/>
      <c r="BF78" s="205" t="n"/>
      <c r="BG78" s="205" t="n"/>
      <c r="BH78" s="205" t="n"/>
      <c r="BI78" s="205" t="n"/>
      <c r="BJ78" s="205" t="n"/>
      <c r="BK78" s="205" t="n"/>
      <c r="BL78" s="207" t="n"/>
      <c r="BM78" s="205" t="n"/>
      <c r="BN78" s="205" t="n"/>
      <c r="BO78" s="205" t="n"/>
      <c r="BP78" s="205" t="n"/>
      <c r="BQ78" s="205" t="n"/>
      <c r="BR78" s="205" t="n"/>
      <c r="BS78" s="205" t="n"/>
      <c r="BT78" s="205" t="n"/>
      <c r="BU78" s="205" t="n"/>
      <c r="BV78" s="205" t="n"/>
      <c r="BW78" s="208" t="n"/>
      <c r="BX78" s="204" t="n"/>
      <c r="BY78" s="205" t="n"/>
      <c r="BZ78" s="205" t="n"/>
      <c r="CA78" s="205" t="n"/>
      <c r="CB78" s="206" t="n"/>
      <c r="CC78" s="207" t="inlineStr">
        <is>
          <t>●</t>
        </is>
      </c>
      <c r="CD78" s="205" t="n"/>
      <c r="CE78" s="205" t="inlineStr">
        <is>
          <t>●</t>
        </is>
      </c>
      <c r="CF78" s="206" t="n"/>
      <c r="CG78" s="160" t="n"/>
    </row>
    <row r="79" ht="13.8" customHeight="1" thickBot="1">
      <c r="A79" s="160" t="n"/>
      <c r="B79" s="202" t="n"/>
      <c r="C79" s="209" t="inlineStr">
        <is>
          <t>97A</t>
        </is>
      </c>
      <c r="D79" s="210" t="inlineStr">
        <is>
          <t>●</t>
        </is>
      </c>
      <c r="E79" s="211" t="inlineStr">
        <is>
          <t>●</t>
        </is>
      </c>
      <c r="F79" s="211" t="inlineStr">
        <is>
          <t>●</t>
        </is>
      </c>
      <c r="G79" s="211" t="inlineStr">
        <is>
          <t>●</t>
        </is>
      </c>
      <c r="H79" s="211" t="inlineStr">
        <is>
          <t>●</t>
        </is>
      </c>
      <c r="I79" s="211" t="inlineStr">
        <is>
          <t>●</t>
        </is>
      </c>
      <c r="J79" s="211" t="inlineStr">
        <is>
          <t>●</t>
        </is>
      </c>
      <c r="K79" s="211" t="inlineStr">
        <is>
          <t>●</t>
        </is>
      </c>
      <c r="L79" s="211" t="inlineStr">
        <is>
          <t>●</t>
        </is>
      </c>
      <c r="M79" s="211" t="inlineStr">
        <is>
          <t>●</t>
        </is>
      </c>
      <c r="N79" s="211" t="inlineStr">
        <is>
          <t>●</t>
        </is>
      </c>
      <c r="O79" s="212" t="inlineStr">
        <is>
          <t>●</t>
        </is>
      </c>
      <c r="P79" s="213" t="n"/>
      <c r="Q79" s="211" t="n"/>
      <c r="R79" s="211" t="n"/>
      <c r="S79" s="213" t="n"/>
      <c r="T79" s="211" t="n"/>
      <c r="U79" s="211" t="n"/>
      <c r="V79" s="211" t="n"/>
      <c r="W79" s="211" t="n"/>
      <c r="X79" s="211" t="n"/>
      <c r="Y79" s="211" t="n"/>
      <c r="Z79" s="211" t="n"/>
      <c r="AA79" s="211" t="n"/>
      <c r="AB79" s="211" t="n"/>
      <c r="AC79" s="213" t="n"/>
      <c r="AD79" s="211" t="n"/>
      <c r="AE79" s="211" t="n"/>
      <c r="AF79" s="211" t="n"/>
      <c r="AG79" s="211" t="n"/>
      <c r="AH79" s="213" t="n"/>
      <c r="AI79" s="211" t="n"/>
      <c r="AJ79" s="211" t="n"/>
      <c r="AK79" s="211" t="n"/>
      <c r="AL79" s="211" t="n"/>
      <c r="AM79" s="211" t="n"/>
      <c r="AN79" s="211" t="n"/>
      <c r="AO79" s="211" t="n"/>
      <c r="AP79" s="211" t="n"/>
      <c r="AQ79" s="211" t="n"/>
      <c r="AR79" s="213" t="n"/>
      <c r="AS79" s="211" t="n"/>
      <c r="AT79" s="211" t="n"/>
      <c r="AU79" s="214" t="n"/>
      <c r="AV79" s="211" t="n"/>
      <c r="AW79" s="211" t="n"/>
      <c r="AX79" s="213" t="n"/>
      <c r="AY79" s="211" t="n"/>
      <c r="AZ79" s="211" t="n"/>
      <c r="BA79" s="211" t="n"/>
      <c r="BB79" s="211" t="n"/>
      <c r="BC79" s="211" t="n"/>
      <c r="BD79" s="211" t="n"/>
      <c r="BE79" s="211" t="n"/>
      <c r="BF79" s="211" t="n"/>
      <c r="BG79" s="211" t="n"/>
      <c r="BH79" s="211" t="n"/>
      <c r="BI79" s="211" t="n"/>
      <c r="BJ79" s="211" t="n"/>
      <c r="BK79" s="211" t="n"/>
      <c r="BL79" s="213" t="n"/>
      <c r="BM79" s="211" t="n"/>
      <c r="BN79" s="211" t="n"/>
      <c r="BO79" s="211" t="n"/>
      <c r="BP79" s="211" t="n"/>
      <c r="BQ79" s="211" t="n"/>
      <c r="BR79" s="211" t="n"/>
      <c r="BS79" s="211" t="n"/>
      <c r="BT79" s="211" t="n"/>
      <c r="BU79" s="211" t="n"/>
      <c r="BV79" s="211" t="n"/>
      <c r="BW79" s="214" t="n"/>
      <c r="BX79" s="210" t="n"/>
      <c r="BY79" s="211" t="n"/>
      <c r="BZ79" s="211" t="n"/>
      <c r="CA79" s="211" t="n"/>
      <c r="CB79" s="212" t="n"/>
      <c r="CC79" s="213" t="inlineStr">
        <is>
          <t>●</t>
        </is>
      </c>
      <c r="CD79" s="211" t="n"/>
      <c r="CE79" s="211" t="inlineStr">
        <is>
          <t>●</t>
        </is>
      </c>
      <c r="CF79" s="212" t="n"/>
      <c r="CG79" s="160" t="n"/>
    </row>
    <row r="80">
      <c r="A80" s="160" t="n"/>
      <c r="B80" s="215" t="inlineStr">
        <is>
          <t>仕入用の税金グループ</t>
        </is>
      </c>
      <c r="C80" s="216" t="inlineStr">
        <is>
          <t>04B</t>
        </is>
      </c>
      <c r="D80" s="197" t="n"/>
      <c r="E80" s="198" t="n"/>
      <c r="F80" s="198" t="n"/>
      <c r="G80" s="198" t="n"/>
      <c r="H80" s="198" t="n"/>
      <c r="I80" s="198" t="n"/>
      <c r="J80" s="198" t="n"/>
      <c r="K80" s="198" t="n"/>
      <c r="L80" s="198" t="n"/>
      <c r="M80" s="198" t="n"/>
      <c r="N80" s="198" t="n"/>
      <c r="O80" s="199" t="n"/>
      <c r="P80" s="200" t="n"/>
      <c r="Q80" s="198" t="n"/>
      <c r="R80" s="198" t="n"/>
      <c r="S80" s="200" t="n"/>
      <c r="T80" s="198" t="n"/>
      <c r="U80" s="198" t="n"/>
      <c r="V80" s="198" t="n"/>
      <c r="W80" s="198" t="n"/>
      <c r="X80" s="198" t="n"/>
      <c r="Y80" s="198" t="n"/>
      <c r="Z80" s="198" t="n"/>
      <c r="AA80" s="198" t="n"/>
      <c r="AB80" s="198" t="n"/>
      <c r="AC80" s="200" t="n"/>
      <c r="AD80" s="198" t="n"/>
      <c r="AE80" s="198" t="n"/>
      <c r="AF80" s="198" t="n"/>
      <c r="AG80" s="198" t="n"/>
      <c r="AH80" s="200" t="n"/>
      <c r="AI80" s="198" t="n"/>
      <c r="AJ80" s="198" t="n"/>
      <c r="AK80" s="198" t="n"/>
      <c r="AL80" s="198" t="n"/>
      <c r="AM80" s="198" t="n"/>
      <c r="AN80" s="198" t="n"/>
      <c r="AO80" s="198" t="n"/>
      <c r="AP80" s="198" t="n"/>
      <c r="AQ80" s="198" t="n"/>
      <c r="AR80" s="200" t="n"/>
      <c r="AS80" s="198" t="n"/>
      <c r="AT80" s="198" t="n"/>
      <c r="AU80" s="201" t="n"/>
      <c r="AV80" s="198" t="n"/>
      <c r="AW80" s="198" t="n"/>
      <c r="AX80" s="200" t="n"/>
      <c r="AY80" s="198" t="n"/>
      <c r="AZ80" s="198" t="n"/>
      <c r="BA80" s="198" t="n"/>
      <c r="BB80" s="198" t="n"/>
      <c r="BC80" s="198" t="n"/>
      <c r="BD80" s="198" t="n"/>
      <c r="BE80" s="198" t="n"/>
      <c r="BF80" s="198" t="n"/>
      <c r="BG80" s="198" t="n"/>
      <c r="BH80" s="198" t="n"/>
      <c r="BI80" s="198" t="n"/>
      <c r="BJ80" s="198" t="n"/>
      <c r="BK80" s="198" t="n"/>
      <c r="BL80" s="200" t="n"/>
      <c r="BM80" s="198" t="n"/>
      <c r="BN80" s="198" t="n"/>
      <c r="BO80" s="198" t="n"/>
      <c r="BP80" s="198" t="n"/>
      <c r="BQ80" s="198" t="n"/>
      <c r="BR80" s="198" t="n"/>
      <c r="BS80" s="198" t="n"/>
      <c r="BT80" s="198" t="n"/>
      <c r="BU80" s="198" t="n"/>
      <c r="BV80" s="198" t="n"/>
      <c r="BW80" s="201" t="n"/>
      <c r="BX80" s="197" t="n"/>
      <c r="BY80" s="198" t="n"/>
      <c r="BZ80" s="198" t="n"/>
      <c r="CA80" s="198" t="n"/>
      <c r="CB80" s="199" t="n"/>
      <c r="CC80" s="200" t="n"/>
      <c r="CD80" s="198" t="inlineStr">
        <is>
          <t>●</t>
        </is>
      </c>
      <c r="CE80" s="198" t="inlineStr">
        <is>
          <t>●</t>
        </is>
      </c>
      <c r="CF80" s="199" t="n"/>
      <c r="CG80" s="160" t="n"/>
    </row>
    <row r="81">
      <c r="A81" s="160" t="n"/>
      <c r="B81" s="217" t="n"/>
      <c r="C81" s="176" t="inlineStr">
        <is>
          <t>05B</t>
        </is>
      </c>
      <c r="D81" s="204" t="n"/>
      <c r="E81" s="205" t="n"/>
      <c r="F81" s="205" t="n"/>
      <c r="G81" s="205" t="n"/>
      <c r="H81" s="205" t="n"/>
      <c r="I81" s="205" t="n"/>
      <c r="J81" s="205" t="n"/>
      <c r="K81" s="205" t="n"/>
      <c r="L81" s="205" t="n"/>
      <c r="M81" s="205" t="n"/>
      <c r="N81" s="205" t="n"/>
      <c r="O81" s="206" t="n"/>
      <c r="P81" s="207" t="n"/>
      <c r="Q81" s="205" t="n"/>
      <c r="R81" s="205" t="n"/>
      <c r="S81" s="207" t="n"/>
      <c r="T81" s="205" t="n"/>
      <c r="U81" s="205" t="n"/>
      <c r="V81" s="205" t="n"/>
      <c r="W81" s="205" t="n"/>
      <c r="X81" s="205" t="n"/>
      <c r="Y81" s="205" t="n"/>
      <c r="Z81" s="205" t="n"/>
      <c r="AA81" s="205" t="n"/>
      <c r="AB81" s="205" t="n"/>
      <c r="AC81" s="207" t="n"/>
      <c r="AD81" s="205" t="n"/>
      <c r="AE81" s="205" t="n"/>
      <c r="AF81" s="205" t="n"/>
      <c r="AG81" s="205" t="n"/>
      <c r="AH81" s="207" t="n"/>
      <c r="AI81" s="205" t="n"/>
      <c r="AJ81" s="205" t="n"/>
      <c r="AK81" s="205" t="n"/>
      <c r="AL81" s="205" t="n"/>
      <c r="AM81" s="205" t="n"/>
      <c r="AN81" s="205" t="n"/>
      <c r="AO81" s="205" t="n"/>
      <c r="AP81" s="205" t="n"/>
      <c r="AQ81" s="205" t="n"/>
      <c r="AR81" s="207" t="n"/>
      <c r="AS81" s="205" t="n"/>
      <c r="AT81" s="205" t="n"/>
      <c r="AU81" s="208" t="n"/>
      <c r="AV81" s="205" t="n"/>
      <c r="AW81" s="205" t="n"/>
      <c r="AX81" s="207" t="n"/>
      <c r="AY81" s="205" t="n"/>
      <c r="AZ81" s="205" t="inlineStr">
        <is>
          <t>●</t>
        </is>
      </c>
      <c r="BA81" s="205" t="n"/>
      <c r="BB81" s="205" t="inlineStr">
        <is>
          <t>●</t>
        </is>
      </c>
      <c r="BC81" s="205" t="n"/>
      <c r="BD81" s="205" t="inlineStr">
        <is>
          <t>●</t>
        </is>
      </c>
      <c r="BE81" s="205" t="n"/>
      <c r="BF81" s="205" t="n"/>
      <c r="BG81" s="205" t="n"/>
      <c r="BH81" s="205" t="n"/>
      <c r="BI81" s="205" t="n"/>
      <c r="BJ81" s="205" t="n"/>
      <c r="BK81" s="205" t="n"/>
      <c r="BL81" s="207" t="n"/>
      <c r="BM81" s="205" t="n"/>
      <c r="BN81" s="205" t="n"/>
      <c r="BO81" s="205" t="n"/>
      <c r="BP81" s="205" t="n"/>
      <c r="BQ81" s="205" t="n"/>
      <c r="BR81" s="205" t="n"/>
      <c r="BS81" s="205" t="n"/>
      <c r="BT81" s="205" t="n"/>
      <c r="BU81" s="205" t="n"/>
      <c r="BV81" s="205" t="n"/>
      <c r="BW81" s="208" t="n"/>
      <c r="BX81" s="204" t="n"/>
      <c r="BY81" s="205" t="n"/>
      <c r="BZ81" s="205" t="n"/>
      <c r="CA81" s="205" t="n"/>
      <c r="CB81" s="206" t="n"/>
      <c r="CC81" s="207" t="n"/>
      <c r="CD81" s="205" t="inlineStr">
        <is>
          <t>●</t>
        </is>
      </c>
      <c r="CE81" s="205" t="inlineStr">
        <is>
          <t>●</t>
        </is>
      </c>
      <c r="CF81" s="206" t="n"/>
      <c r="CG81" s="160" t="n"/>
    </row>
    <row r="82">
      <c r="A82" s="160" t="n"/>
      <c r="B82" s="217" t="n"/>
      <c r="C82" s="176" t="inlineStr">
        <is>
          <t>20B</t>
        </is>
      </c>
      <c r="D82" s="204" t="n"/>
      <c r="E82" s="205" t="n"/>
      <c r="F82" s="205" t="n"/>
      <c r="G82" s="205" t="n"/>
      <c r="H82" s="205" t="n"/>
      <c r="I82" s="205" t="n"/>
      <c r="J82" s="205" t="n"/>
      <c r="K82" s="205" t="n"/>
      <c r="L82" s="205" t="n"/>
      <c r="M82" s="205" t="n"/>
      <c r="N82" s="205" t="n"/>
      <c r="O82" s="206" t="n"/>
      <c r="P82" s="207" t="n"/>
      <c r="Q82" s="205" t="n"/>
      <c r="R82" s="205" t="n"/>
      <c r="S82" s="207" t="n"/>
      <c r="T82" s="205" t="n"/>
      <c r="U82" s="205" t="n"/>
      <c r="V82" s="205" t="n"/>
      <c r="W82" s="205" t="n"/>
      <c r="X82" s="205" t="n"/>
      <c r="Y82" s="205" t="n"/>
      <c r="Z82" s="205" t="n"/>
      <c r="AA82" s="205" t="n"/>
      <c r="AB82" s="205" t="n"/>
      <c r="AC82" s="207" t="n"/>
      <c r="AD82" s="205" t="n"/>
      <c r="AE82" s="205" t="inlineStr">
        <is>
          <t>●</t>
        </is>
      </c>
      <c r="AF82" s="205" t="inlineStr">
        <is>
          <t>●</t>
        </is>
      </c>
      <c r="AG82" s="205" t="inlineStr">
        <is>
          <t>●</t>
        </is>
      </c>
      <c r="AH82" s="207" t="inlineStr">
        <is>
          <t>●</t>
        </is>
      </c>
      <c r="AI82" s="205" t="n"/>
      <c r="AJ82" s="205" t="inlineStr">
        <is>
          <t>●</t>
        </is>
      </c>
      <c r="AK82" s="205" t="inlineStr">
        <is>
          <t>●</t>
        </is>
      </c>
      <c r="AL82" s="205" t="inlineStr">
        <is>
          <t>●</t>
        </is>
      </c>
      <c r="AM82" s="205" t="inlineStr">
        <is>
          <t>●</t>
        </is>
      </c>
      <c r="AN82" s="205" t="n"/>
      <c r="AO82" s="205" t="inlineStr">
        <is>
          <t>●</t>
        </is>
      </c>
      <c r="AP82" s="205" t="inlineStr">
        <is>
          <t>●</t>
        </is>
      </c>
      <c r="AQ82" s="205" t="inlineStr">
        <is>
          <t>●</t>
        </is>
      </c>
      <c r="AR82" s="207" t="inlineStr">
        <is>
          <t>●</t>
        </is>
      </c>
      <c r="AS82" s="205" t="n"/>
      <c r="AT82" s="205" t="n"/>
      <c r="AU82" s="208" t="n"/>
      <c r="AV82" s="205" t="n"/>
      <c r="AW82" s="205" t="n"/>
      <c r="AX82" s="207" t="n"/>
      <c r="AY82" s="205" t="n"/>
      <c r="AZ82" s="205" t="n"/>
      <c r="BA82" s="205" t="n"/>
      <c r="BB82" s="205" t="n"/>
      <c r="BC82" s="205" t="n"/>
      <c r="BD82" s="205" t="n"/>
      <c r="BE82" s="205" t="n"/>
      <c r="BF82" s="205" t="n"/>
      <c r="BG82" s="205" t="n"/>
      <c r="BH82" s="205" t="n"/>
      <c r="BI82" s="205" t="inlineStr">
        <is>
          <t>●</t>
        </is>
      </c>
      <c r="BJ82" s="205" t="inlineStr">
        <is>
          <t>●</t>
        </is>
      </c>
      <c r="BK82" s="205" t="n"/>
      <c r="BL82" s="207" t="n"/>
      <c r="BM82" s="205" t="n"/>
      <c r="BN82" s="205" t="n"/>
      <c r="BO82" s="205" t="n"/>
      <c r="BP82" s="205" t="n"/>
      <c r="BQ82" s="205" t="n"/>
      <c r="BR82" s="205" t="inlineStr">
        <is>
          <t>●</t>
        </is>
      </c>
      <c r="BS82" s="205" t="n"/>
      <c r="BT82" s="205" t="inlineStr">
        <is>
          <t>●</t>
        </is>
      </c>
      <c r="BU82" s="205" t="n"/>
      <c r="BV82" s="205" t="inlineStr">
        <is>
          <t>●</t>
        </is>
      </c>
      <c r="BW82" s="208" t="n"/>
      <c r="BX82" s="204" t="n"/>
      <c r="BY82" s="205" t="n"/>
      <c r="BZ82" s="205" t="n"/>
      <c r="CA82" s="205" t="n"/>
      <c r="CB82" s="206" t="n"/>
      <c r="CC82" s="207" t="n"/>
      <c r="CD82" s="205" t="n"/>
      <c r="CE82" s="205" t="n"/>
      <c r="CF82" s="206" t="n"/>
      <c r="CG82" s="160" t="n"/>
    </row>
    <row r="83">
      <c r="A83" s="160" t="n"/>
      <c r="B83" s="217" t="n"/>
      <c r="C83" s="176" t="inlineStr">
        <is>
          <t>22B</t>
        </is>
      </c>
      <c r="D83" s="204" t="n"/>
      <c r="E83" s="205" t="n"/>
      <c r="F83" s="205" t="n"/>
      <c r="G83" s="205" t="n"/>
      <c r="H83" s="205" t="n"/>
      <c r="I83" s="205" t="n"/>
      <c r="J83" s="205" t="n"/>
      <c r="K83" s="205" t="n"/>
      <c r="L83" s="205" t="n"/>
      <c r="M83" s="205" t="n"/>
      <c r="N83" s="205" t="n"/>
      <c r="O83" s="206" t="n"/>
      <c r="P83" s="207" t="n"/>
      <c r="Q83" s="205" t="n"/>
      <c r="R83" s="205" t="n"/>
      <c r="S83" s="207" t="n"/>
      <c r="T83" s="205" t="n"/>
      <c r="U83" s="205" t="n"/>
      <c r="V83" s="205" t="n"/>
      <c r="W83" s="205" t="n"/>
      <c r="X83" s="205" t="n"/>
      <c r="Y83" s="205" t="n"/>
      <c r="Z83" s="205" t="n"/>
      <c r="AA83" s="205" t="n"/>
      <c r="AB83" s="205" t="n"/>
      <c r="AC83" s="207" t="n"/>
      <c r="AD83" s="205" t="n"/>
      <c r="AE83" s="205" t="inlineStr">
        <is>
          <t>●</t>
        </is>
      </c>
      <c r="AF83" s="205" t="inlineStr">
        <is>
          <t>●</t>
        </is>
      </c>
      <c r="AG83" s="205" t="inlineStr">
        <is>
          <t>●</t>
        </is>
      </c>
      <c r="AH83" s="207" t="inlineStr">
        <is>
          <t>●</t>
        </is>
      </c>
      <c r="AI83" s="205" t="n"/>
      <c r="AJ83" s="205" t="inlineStr">
        <is>
          <t>●</t>
        </is>
      </c>
      <c r="AK83" s="205" t="inlineStr">
        <is>
          <t>●</t>
        </is>
      </c>
      <c r="AL83" s="205" t="inlineStr">
        <is>
          <t>●</t>
        </is>
      </c>
      <c r="AM83" s="205" t="inlineStr">
        <is>
          <t>●</t>
        </is>
      </c>
      <c r="AN83" s="205" t="n"/>
      <c r="AO83" s="205" t="inlineStr">
        <is>
          <t>●</t>
        </is>
      </c>
      <c r="AP83" s="205" t="inlineStr">
        <is>
          <t>●</t>
        </is>
      </c>
      <c r="AQ83" s="205" t="inlineStr">
        <is>
          <t>●</t>
        </is>
      </c>
      <c r="AR83" s="207" t="inlineStr">
        <is>
          <t>●</t>
        </is>
      </c>
      <c r="AS83" s="205" t="n"/>
      <c r="AT83" s="205" t="inlineStr">
        <is>
          <t>●</t>
        </is>
      </c>
      <c r="AU83" s="208" t="n"/>
      <c r="AV83" s="205" t="inlineStr">
        <is>
          <t>●</t>
        </is>
      </c>
      <c r="AW83" s="205" t="n"/>
      <c r="AX83" s="207" t="inlineStr">
        <is>
          <t>●</t>
        </is>
      </c>
      <c r="AY83" s="205" t="n"/>
      <c r="AZ83" s="205" t="inlineStr">
        <is>
          <t>●</t>
        </is>
      </c>
      <c r="BA83" s="205" t="n"/>
      <c r="BB83" s="205" t="inlineStr">
        <is>
          <t>●</t>
        </is>
      </c>
      <c r="BC83" s="205" t="n"/>
      <c r="BD83" s="205" t="inlineStr">
        <is>
          <t>●</t>
        </is>
      </c>
      <c r="BE83" s="205" t="n"/>
      <c r="BF83" s="205" t="n"/>
      <c r="BG83" s="205" t="n"/>
      <c r="BH83" s="205" t="n"/>
      <c r="BI83" s="205" t="inlineStr">
        <is>
          <t>●</t>
        </is>
      </c>
      <c r="BJ83" s="205" t="inlineStr">
        <is>
          <t>●</t>
        </is>
      </c>
      <c r="BK83" s="205" t="n"/>
      <c r="BL83" s="207" t="n"/>
      <c r="BM83" s="205" t="n"/>
      <c r="BN83" s="205" t="n"/>
      <c r="BO83" s="205" t="n"/>
      <c r="BP83" s="205" t="n"/>
      <c r="BQ83" s="205" t="n"/>
      <c r="BR83" s="205" t="inlineStr">
        <is>
          <t>●</t>
        </is>
      </c>
      <c r="BS83" s="205" t="n"/>
      <c r="BT83" s="205" t="inlineStr">
        <is>
          <t>●</t>
        </is>
      </c>
      <c r="BU83" s="205" t="n"/>
      <c r="BV83" s="205" t="inlineStr">
        <is>
          <t>●</t>
        </is>
      </c>
      <c r="BW83" s="208" t="n"/>
      <c r="BX83" s="204" t="n"/>
      <c r="BY83" s="205" t="n"/>
      <c r="BZ83" s="205" t="n"/>
      <c r="CA83" s="205" t="n"/>
      <c r="CB83" s="206" t="n"/>
      <c r="CC83" s="207" t="n"/>
      <c r="CD83" s="205" t="n"/>
      <c r="CE83" s="205" t="n"/>
      <c r="CF83" s="206" t="n"/>
      <c r="CG83" s="160" t="n"/>
    </row>
    <row r="84">
      <c r="A84" s="160" t="n"/>
      <c r="B84" s="217" t="n"/>
      <c r="C84" s="176" t="inlineStr">
        <is>
          <t>24B</t>
        </is>
      </c>
      <c r="D84" s="204" t="n"/>
      <c r="E84" s="205" t="n"/>
      <c r="F84" s="205" t="n"/>
      <c r="G84" s="205" t="n"/>
      <c r="H84" s="205" t="n"/>
      <c r="I84" s="205" t="n"/>
      <c r="J84" s="205" t="n"/>
      <c r="K84" s="205" t="n"/>
      <c r="L84" s="205" t="n"/>
      <c r="M84" s="205" t="n"/>
      <c r="N84" s="205" t="n"/>
      <c r="O84" s="206" t="n"/>
      <c r="P84" s="207" t="n"/>
      <c r="Q84" s="205" t="n"/>
      <c r="R84" s="205" t="n"/>
      <c r="S84" s="207" t="n"/>
      <c r="T84" s="205" t="n"/>
      <c r="U84" s="205" t="n"/>
      <c r="V84" s="205" t="n"/>
      <c r="W84" s="205" t="n"/>
      <c r="X84" s="205" t="n"/>
      <c r="Y84" s="205" t="n"/>
      <c r="Z84" s="205" t="n"/>
      <c r="AA84" s="205" t="n"/>
      <c r="AB84" s="205" t="n"/>
      <c r="AC84" s="207" t="n"/>
      <c r="AD84" s="205" t="n"/>
      <c r="AE84" s="205" t="inlineStr">
        <is>
          <t>●</t>
        </is>
      </c>
      <c r="AF84" s="205" t="inlineStr">
        <is>
          <t>●</t>
        </is>
      </c>
      <c r="AG84" s="205" t="inlineStr">
        <is>
          <t>●</t>
        </is>
      </c>
      <c r="AH84" s="207" t="inlineStr">
        <is>
          <t>●</t>
        </is>
      </c>
      <c r="AI84" s="205" t="n"/>
      <c r="AJ84" s="205" t="inlineStr">
        <is>
          <t>●</t>
        </is>
      </c>
      <c r="AK84" s="205" t="inlineStr">
        <is>
          <t>●</t>
        </is>
      </c>
      <c r="AL84" s="205" t="inlineStr">
        <is>
          <t>●</t>
        </is>
      </c>
      <c r="AM84" s="205" t="inlineStr">
        <is>
          <t>●</t>
        </is>
      </c>
      <c r="AN84" s="205" t="n"/>
      <c r="AO84" s="205" t="inlineStr">
        <is>
          <t>●</t>
        </is>
      </c>
      <c r="AP84" s="205" t="inlineStr">
        <is>
          <t>●</t>
        </is>
      </c>
      <c r="AQ84" s="205" t="inlineStr">
        <is>
          <t>●</t>
        </is>
      </c>
      <c r="AR84" s="207" t="inlineStr">
        <is>
          <t>●</t>
        </is>
      </c>
      <c r="AS84" s="205" t="n"/>
      <c r="AT84" s="205" t="n"/>
      <c r="AU84" s="208" t="n"/>
      <c r="AV84" s="205" t="n"/>
      <c r="AW84" s="205" t="n"/>
      <c r="AX84" s="207" t="n"/>
      <c r="AY84" s="205" t="n"/>
      <c r="AZ84" s="205" t="n"/>
      <c r="BA84" s="205" t="n"/>
      <c r="BB84" s="205" t="n"/>
      <c r="BC84" s="205" t="n"/>
      <c r="BD84" s="205" t="n"/>
      <c r="BE84" s="205" t="n"/>
      <c r="BF84" s="205" t="n"/>
      <c r="BG84" s="205" t="n"/>
      <c r="BH84" s="205" t="n"/>
      <c r="BI84" s="205" t="inlineStr">
        <is>
          <t>●</t>
        </is>
      </c>
      <c r="BJ84" s="205" t="inlineStr">
        <is>
          <t>●</t>
        </is>
      </c>
      <c r="BK84" s="205" t="n"/>
      <c r="BL84" s="207" t="n"/>
      <c r="BM84" s="205" t="n"/>
      <c r="BN84" s="205" t="n"/>
      <c r="BO84" s="205" t="n"/>
      <c r="BP84" s="205" t="n"/>
      <c r="BQ84" s="205" t="n"/>
      <c r="BR84" s="205" t="inlineStr">
        <is>
          <t>●</t>
        </is>
      </c>
      <c r="BS84" s="205" t="n"/>
      <c r="BT84" s="205" t="inlineStr">
        <is>
          <t>●</t>
        </is>
      </c>
      <c r="BU84" s="205" t="n"/>
      <c r="BV84" s="205" t="inlineStr">
        <is>
          <t>●</t>
        </is>
      </c>
      <c r="BW84" s="208" t="n"/>
      <c r="BX84" s="204" t="n"/>
      <c r="BY84" s="205" t="n"/>
      <c r="BZ84" s="205" t="n"/>
      <c r="CA84" s="205" t="n"/>
      <c r="CB84" s="206" t="n"/>
      <c r="CC84" s="207" t="n"/>
      <c r="CD84" s="205" t="inlineStr">
        <is>
          <t>●</t>
        </is>
      </c>
      <c r="CE84" s="205" t="inlineStr">
        <is>
          <t>●</t>
        </is>
      </c>
      <c r="CF84" s="206" t="n"/>
      <c r="CG84" s="160" t="n"/>
    </row>
    <row r="85">
      <c r="A85" s="160" t="n"/>
      <c r="B85" s="217" t="n"/>
      <c r="C85" s="176" t="inlineStr">
        <is>
          <t>26B</t>
        </is>
      </c>
      <c r="D85" s="204" t="n"/>
      <c r="E85" s="205" t="n"/>
      <c r="F85" s="205" t="n"/>
      <c r="G85" s="205" t="n"/>
      <c r="H85" s="205" t="n"/>
      <c r="I85" s="205" t="n"/>
      <c r="J85" s="205" t="n"/>
      <c r="K85" s="205" t="n"/>
      <c r="L85" s="205" t="n"/>
      <c r="M85" s="205" t="n"/>
      <c r="N85" s="205" t="n"/>
      <c r="O85" s="206" t="n"/>
      <c r="P85" s="207" t="n"/>
      <c r="Q85" s="205" t="n"/>
      <c r="R85" s="205" t="n"/>
      <c r="S85" s="207" t="n"/>
      <c r="T85" s="205" t="n"/>
      <c r="U85" s="205" t="n"/>
      <c r="V85" s="205" t="n"/>
      <c r="W85" s="205" t="n"/>
      <c r="X85" s="205" t="n"/>
      <c r="Y85" s="205" t="n"/>
      <c r="Z85" s="205" t="n"/>
      <c r="AA85" s="205" t="n"/>
      <c r="AB85" s="205" t="n"/>
      <c r="AC85" s="207" t="n"/>
      <c r="AD85" s="205" t="n"/>
      <c r="AE85" s="205" t="inlineStr">
        <is>
          <t>●</t>
        </is>
      </c>
      <c r="AF85" s="205" t="inlineStr">
        <is>
          <t>●</t>
        </is>
      </c>
      <c r="AG85" s="205" t="inlineStr">
        <is>
          <t>●</t>
        </is>
      </c>
      <c r="AH85" s="207" t="inlineStr">
        <is>
          <t>●</t>
        </is>
      </c>
      <c r="AI85" s="205" t="n"/>
      <c r="AJ85" s="205" t="inlineStr">
        <is>
          <t>●</t>
        </is>
      </c>
      <c r="AK85" s="205" t="inlineStr">
        <is>
          <t>●</t>
        </is>
      </c>
      <c r="AL85" s="205" t="inlineStr">
        <is>
          <t>●</t>
        </is>
      </c>
      <c r="AM85" s="205" t="inlineStr">
        <is>
          <t>●</t>
        </is>
      </c>
      <c r="AN85" s="205" t="n"/>
      <c r="AO85" s="205" t="inlineStr">
        <is>
          <t>●</t>
        </is>
      </c>
      <c r="AP85" s="205" t="inlineStr">
        <is>
          <t>●</t>
        </is>
      </c>
      <c r="AQ85" s="205" t="inlineStr">
        <is>
          <t>●</t>
        </is>
      </c>
      <c r="AR85" s="207" t="inlineStr">
        <is>
          <t>●</t>
        </is>
      </c>
      <c r="AS85" s="205" t="n"/>
      <c r="AT85" s="205" t="inlineStr">
        <is>
          <t>●</t>
        </is>
      </c>
      <c r="AU85" s="208" t="n"/>
      <c r="AV85" s="205" t="inlineStr">
        <is>
          <t>●</t>
        </is>
      </c>
      <c r="AW85" s="205" t="n"/>
      <c r="AX85" s="207" t="inlineStr">
        <is>
          <t>●</t>
        </is>
      </c>
      <c r="AY85" s="205" t="n"/>
      <c r="AZ85" s="205" t="n"/>
      <c r="BA85" s="205" t="n"/>
      <c r="BB85" s="205" t="n"/>
      <c r="BC85" s="205" t="n"/>
      <c r="BD85" s="205" t="n"/>
      <c r="BE85" s="205" t="n"/>
      <c r="BF85" s="205" t="n"/>
      <c r="BG85" s="205" t="n"/>
      <c r="BH85" s="205" t="n"/>
      <c r="BI85" s="205" t="inlineStr">
        <is>
          <t>●</t>
        </is>
      </c>
      <c r="BJ85" s="205" t="inlineStr">
        <is>
          <t>●</t>
        </is>
      </c>
      <c r="BK85" s="205" t="n"/>
      <c r="BL85" s="207" t="n"/>
      <c r="BM85" s="205" t="n"/>
      <c r="BN85" s="205" t="n"/>
      <c r="BO85" s="205" t="n"/>
      <c r="BP85" s="205" t="n"/>
      <c r="BQ85" s="205" t="n"/>
      <c r="BR85" s="205" t="inlineStr">
        <is>
          <t>●</t>
        </is>
      </c>
      <c r="BS85" s="205" t="n"/>
      <c r="BT85" s="205" t="inlineStr">
        <is>
          <t>●</t>
        </is>
      </c>
      <c r="BU85" s="205" t="n"/>
      <c r="BV85" s="205" t="inlineStr">
        <is>
          <t>●</t>
        </is>
      </c>
      <c r="BW85" s="208" t="n"/>
      <c r="BX85" s="204" t="n"/>
      <c r="BY85" s="205" t="n"/>
      <c r="BZ85" s="205" t="n"/>
      <c r="CA85" s="205" t="n"/>
      <c r="CB85" s="206" t="n"/>
      <c r="CC85" s="207" t="n"/>
      <c r="CD85" s="205" t="inlineStr">
        <is>
          <t>●</t>
        </is>
      </c>
      <c r="CE85" s="205" t="inlineStr">
        <is>
          <t>●</t>
        </is>
      </c>
      <c r="CF85" s="206" t="n"/>
      <c r="CG85" s="160" t="n"/>
    </row>
    <row r="86">
      <c r="A86" s="160" t="n"/>
      <c r="B86" s="217" t="n"/>
      <c r="C86" s="176" t="inlineStr">
        <is>
          <t>40B</t>
        </is>
      </c>
      <c r="D86" s="204" t="n"/>
      <c r="E86" s="205" t="n"/>
      <c r="F86" s="205" t="n"/>
      <c r="G86" s="205" t="n"/>
      <c r="H86" s="205" t="n"/>
      <c r="I86" s="205" t="n"/>
      <c r="J86" s="205" t="n"/>
      <c r="K86" s="205" t="n"/>
      <c r="L86" s="205" t="n"/>
      <c r="M86" s="205" t="n"/>
      <c r="N86" s="205" t="n"/>
      <c r="O86" s="206" t="n"/>
      <c r="P86" s="207" t="inlineStr">
        <is>
          <t>●</t>
        </is>
      </c>
      <c r="Q86" s="205" t="inlineStr">
        <is>
          <t>●</t>
        </is>
      </c>
      <c r="R86" s="205" t="inlineStr">
        <is>
          <t>●</t>
        </is>
      </c>
      <c r="S86" s="207" t="inlineStr">
        <is>
          <t>●</t>
        </is>
      </c>
      <c r="T86" s="205" t="n"/>
      <c r="U86" s="205" t="inlineStr">
        <is>
          <t>●</t>
        </is>
      </c>
      <c r="V86" s="205" t="inlineStr">
        <is>
          <t>●</t>
        </is>
      </c>
      <c r="W86" s="205" t="inlineStr">
        <is>
          <t>●</t>
        </is>
      </c>
      <c r="X86" s="205" t="inlineStr">
        <is>
          <t>●</t>
        </is>
      </c>
      <c r="Y86" s="205" t="n"/>
      <c r="Z86" s="205" t="inlineStr">
        <is>
          <t>●</t>
        </is>
      </c>
      <c r="AA86" s="205" t="inlineStr">
        <is>
          <t>●</t>
        </is>
      </c>
      <c r="AB86" s="205" t="inlineStr">
        <is>
          <t>●</t>
        </is>
      </c>
      <c r="AC86" s="207" t="inlineStr">
        <is>
          <t>●</t>
        </is>
      </c>
      <c r="AD86" s="205" t="n"/>
      <c r="AE86" s="205" t="n"/>
      <c r="AF86" s="205" t="n"/>
      <c r="AG86" s="205" t="n"/>
      <c r="AH86" s="207" t="n"/>
      <c r="AI86" s="205" t="n"/>
      <c r="AJ86" s="205" t="n"/>
      <c r="AK86" s="205" t="n"/>
      <c r="AL86" s="205" t="n"/>
      <c r="AM86" s="205" t="n"/>
      <c r="AN86" s="205" t="n"/>
      <c r="AO86" s="205" t="n"/>
      <c r="AP86" s="205" t="n"/>
      <c r="AQ86" s="205" t="n"/>
      <c r="AR86" s="207" t="n"/>
      <c r="AS86" s="205" t="n"/>
      <c r="AT86" s="205" t="n"/>
      <c r="AU86" s="208" t="n"/>
      <c r="AV86" s="205" t="n"/>
      <c r="AW86" s="205" t="n"/>
      <c r="AX86" s="207" t="n"/>
      <c r="AY86" s="205" t="n"/>
      <c r="AZ86" s="205" t="n"/>
      <c r="BA86" s="205" t="n"/>
      <c r="BB86" s="205" t="n"/>
      <c r="BC86" s="205" t="n"/>
      <c r="BD86" s="205" t="n"/>
      <c r="BE86" s="205" t="n"/>
      <c r="BF86" s="205" t="inlineStr">
        <is>
          <t>●</t>
        </is>
      </c>
      <c r="BG86" s="205" t="inlineStr">
        <is>
          <t>●</t>
        </is>
      </c>
      <c r="BH86" s="205" t="n"/>
      <c r="BI86" s="205" t="n"/>
      <c r="BJ86" s="205" t="n"/>
      <c r="BK86" s="205" t="n"/>
      <c r="BL86" s="207" t="inlineStr">
        <is>
          <t>●</t>
        </is>
      </c>
      <c r="BM86" s="205" t="n"/>
      <c r="BN86" s="205" t="inlineStr">
        <is>
          <t>●</t>
        </is>
      </c>
      <c r="BO86" s="205" t="n"/>
      <c r="BP86" s="205" t="inlineStr">
        <is>
          <t>●</t>
        </is>
      </c>
      <c r="BQ86" s="205" t="n"/>
      <c r="BR86" s="205" t="n"/>
      <c r="BS86" s="205" t="n"/>
      <c r="BT86" s="205" t="n"/>
      <c r="BU86" s="205" t="n"/>
      <c r="BV86" s="205" t="n"/>
      <c r="BW86" s="208" t="n"/>
      <c r="BX86" s="204" t="n"/>
      <c r="BY86" s="205" t="n"/>
      <c r="BZ86" s="205" t="n"/>
      <c r="CA86" s="205" t="n"/>
      <c r="CB86" s="206" t="n"/>
      <c r="CC86" s="207" t="n"/>
      <c r="CD86" s="205" t="n"/>
      <c r="CE86" s="205" t="n"/>
      <c r="CF86" s="206" t="n"/>
      <c r="CG86" s="160" t="n"/>
    </row>
    <row r="87">
      <c r="A87" s="160" t="n"/>
      <c r="B87" s="217" t="n"/>
      <c r="C87" s="176" t="inlineStr">
        <is>
          <t>42B</t>
        </is>
      </c>
      <c r="D87" s="204" t="n"/>
      <c r="E87" s="205" t="n"/>
      <c r="F87" s="205" t="n"/>
      <c r="G87" s="205" t="n"/>
      <c r="H87" s="205" t="n"/>
      <c r="I87" s="205" t="n"/>
      <c r="J87" s="205" t="n"/>
      <c r="K87" s="205" t="n"/>
      <c r="L87" s="205" t="n"/>
      <c r="M87" s="205" t="n"/>
      <c r="N87" s="205" t="n"/>
      <c r="O87" s="206" t="n"/>
      <c r="P87" s="207" t="inlineStr">
        <is>
          <t>●</t>
        </is>
      </c>
      <c r="Q87" s="205" t="inlineStr">
        <is>
          <t>●</t>
        </is>
      </c>
      <c r="R87" s="205" t="inlineStr">
        <is>
          <t>●</t>
        </is>
      </c>
      <c r="S87" s="207" t="inlineStr">
        <is>
          <t>●</t>
        </is>
      </c>
      <c r="T87" s="205" t="n"/>
      <c r="U87" s="205" t="inlineStr">
        <is>
          <t>●</t>
        </is>
      </c>
      <c r="V87" s="205" t="inlineStr">
        <is>
          <t>●</t>
        </is>
      </c>
      <c r="W87" s="205" t="inlineStr">
        <is>
          <t>●</t>
        </is>
      </c>
      <c r="X87" s="205" t="inlineStr">
        <is>
          <t>●</t>
        </is>
      </c>
      <c r="Y87" s="205" t="n"/>
      <c r="Z87" s="205" t="inlineStr">
        <is>
          <t>●</t>
        </is>
      </c>
      <c r="AA87" s="205" t="inlineStr">
        <is>
          <t>●</t>
        </is>
      </c>
      <c r="AB87" s="205" t="inlineStr">
        <is>
          <t>●</t>
        </is>
      </c>
      <c r="AC87" s="207" t="inlineStr">
        <is>
          <t>●</t>
        </is>
      </c>
      <c r="AD87" s="205" t="n"/>
      <c r="AE87" s="205" t="n"/>
      <c r="AF87" s="205" t="n"/>
      <c r="AG87" s="205" t="n"/>
      <c r="AH87" s="207" t="n"/>
      <c r="AI87" s="205" t="n"/>
      <c r="AJ87" s="205" t="n"/>
      <c r="AK87" s="205" t="n"/>
      <c r="AL87" s="205" t="n"/>
      <c r="AM87" s="205" t="n"/>
      <c r="AN87" s="205" t="n"/>
      <c r="AO87" s="205" t="n"/>
      <c r="AP87" s="205" t="n"/>
      <c r="AQ87" s="205" t="n"/>
      <c r="AR87" s="207" t="n"/>
      <c r="AS87" s="205" t="n"/>
      <c r="AT87" s="205" t="inlineStr">
        <is>
          <t>●</t>
        </is>
      </c>
      <c r="AU87" s="208" t="n"/>
      <c r="AV87" s="205" t="inlineStr">
        <is>
          <t>●</t>
        </is>
      </c>
      <c r="AW87" s="205" t="n"/>
      <c r="AX87" s="207" t="inlineStr">
        <is>
          <t>●</t>
        </is>
      </c>
      <c r="AY87" s="205" t="n"/>
      <c r="AZ87" s="205" t="n"/>
      <c r="BA87" s="205" t="n"/>
      <c r="BB87" s="205" t="n"/>
      <c r="BC87" s="205" t="n"/>
      <c r="BD87" s="205" t="n"/>
      <c r="BE87" s="205" t="n"/>
      <c r="BF87" s="205" t="inlineStr">
        <is>
          <t>●</t>
        </is>
      </c>
      <c r="BG87" s="205" t="inlineStr">
        <is>
          <t>●</t>
        </is>
      </c>
      <c r="BH87" s="205" t="n"/>
      <c r="BI87" s="205" t="n"/>
      <c r="BJ87" s="205" t="n"/>
      <c r="BK87" s="205" t="n"/>
      <c r="BL87" s="207" t="inlineStr">
        <is>
          <t>●</t>
        </is>
      </c>
      <c r="BM87" s="205" t="n"/>
      <c r="BN87" s="205" t="inlineStr">
        <is>
          <t>●</t>
        </is>
      </c>
      <c r="BO87" s="205" t="n"/>
      <c r="BP87" s="205" t="inlineStr">
        <is>
          <t>●</t>
        </is>
      </c>
      <c r="BQ87" s="205" t="n"/>
      <c r="BR87" s="205" t="n"/>
      <c r="BS87" s="205" t="n"/>
      <c r="BT87" s="205" t="n"/>
      <c r="BU87" s="205" t="n"/>
      <c r="BV87" s="205" t="n"/>
      <c r="BW87" s="208" t="n"/>
      <c r="BX87" s="204" t="n"/>
      <c r="BY87" s="205" t="n"/>
      <c r="BZ87" s="205" t="n"/>
      <c r="CA87" s="205" t="n"/>
      <c r="CB87" s="206" t="n"/>
      <c r="CC87" s="207" t="n"/>
      <c r="CD87" s="205" t="n"/>
      <c r="CE87" s="205" t="n"/>
      <c r="CF87" s="206" t="n"/>
      <c r="CG87" s="160" t="n"/>
    </row>
    <row r="88">
      <c r="A88" s="160" t="n"/>
      <c r="B88" s="217" t="n"/>
      <c r="C88" s="176" t="inlineStr">
        <is>
          <t>44B</t>
        </is>
      </c>
      <c r="D88" s="204" t="n"/>
      <c r="E88" s="205" t="n"/>
      <c r="F88" s="205" t="n"/>
      <c r="G88" s="205" t="n"/>
      <c r="H88" s="205" t="n"/>
      <c r="I88" s="205" t="n"/>
      <c r="J88" s="205" t="n"/>
      <c r="K88" s="205" t="n"/>
      <c r="L88" s="205" t="n"/>
      <c r="M88" s="205" t="n"/>
      <c r="N88" s="205" t="n"/>
      <c r="O88" s="206" t="n"/>
      <c r="P88" s="207" t="inlineStr">
        <is>
          <t>●</t>
        </is>
      </c>
      <c r="Q88" s="205" t="inlineStr">
        <is>
          <t>●</t>
        </is>
      </c>
      <c r="R88" s="205" t="inlineStr">
        <is>
          <t>●</t>
        </is>
      </c>
      <c r="S88" s="207" t="inlineStr">
        <is>
          <t>●</t>
        </is>
      </c>
      <c r="T88" s="205" t="n"/>
      <c r="U88" s="205" t="inlineStr">
        <is>
          <t>●</t>
        </is>
      </c>
      <c r="V88" s="205" t="inlineStr">
        <is>
          <t>●</t>
        </is>
      </c>
      <c r="W88" s="205" t="inlineStr">
        <is>
          <t>●</t>
        </is>
      </c>
      <c r="X88" s="205" t="inlineStr">
        <is>
          <t>●</t>
        </is>
      </c>
      <c r="Y88" s="205" t="n"/>
      <c r="Z88" s="205" t="inlineStr">
        <is>
          <t>●</t>
        </is>
      </c>
      <c r="AA88" s="205" t="inlineStr">
        <is>
          <t>●</t>
        </is>
      </c>
      <c r="AB88" s="205" t="inlineStr">
        <is>
          <t>●</t>
        </is>
      </c>
      <c r="AC88" s="207" t="inlineStr">
        <is>
          <t>●</t>
        </is>
      </c>
      <c r="AD88" s="205" t="n"/>
      <c r="AE88" s="205" t="n"/>
      <c r="AF88" s="205" t="n"/>
      <c r="AG88" s="205" t="n"/>
      <c r="AH88" s="207" t="n"/>
      <c r="AI88" s="205" t="n"/>
      <c r="AJ88" s="205" t="n"/>
      <c r="AK88" s="205" t="n"/>
      <c r="AL88" s="205" t="n"/>
      <c r="AM88" s="205" t="n"/>
      <c r="AN88" s="205" t="n"/>
      <c r="AO88" s="205" t="n"/>
      <c r="AP88" s="205" t="n"/>
      <c r="AQ88" s="205" t="n"/>
      <c r="AR88" s="207" t="n"/>
      <c r="AS88" s="205" t="n"/>
      <c r="AT88" s="205" t="n"/>
      <c r="AU88" s="208" t="n"/>
      <c r="AV88" s="205" t="n"/>
      <c r="AW88" s="205" t="n"/>
      <c r="AX88" s="207" t="n"/>
      <c r="AY88" s="205" t="n"/>
      <c r="AZ88" s="205" t="n"/>
      <c r="BA88" s="205" t="n"/>
      <c r="BB88" s="205" t="n"/>
      <c r="BC88" s="205" t="n"/>
      <c r="BD88" s="205" t="n"/>
      <c r="BE88" s="205" t="n"/>
      <c r="BF88" s="205" t="inlineStr">
        <is>
          <t>●</t>
        </is>
      </c>
      <c r="BG88" s="205" t="inlineStr">
        <is>
          <t>●</t>
        </is>
      </c>
      <c r="BH88" s="205" t="n"/>
      <c r="BI88" s="205" t="n"/>
      <c r="BJ88" s="205" t="n"/>
      <c r="BK88" s="205" t="n"/>
      <c r="BL88" s="207" t="inlineStr">
        <is>
          <t>●</t>
        </is>
      </c>
      <c r="BM88" s="205" t="n"/>
      <c r="BN88" s="205" t="inlineStr">
        <is>
          <t>●</t>
        </is>
      </c>
      <c r="BO88" s="205" t="n"/>
      <c r="BP88" s="205" t="inlineStr">
        <is>
          <t>●</t>
        </is>
      </c>
      <c r="BQ88" s="205" t="n"/>
      <c r="BR88" s="205" t="n"/>
      <c r="BS88" s="205" t="n"/>
      <c r="BT88" s="205" t="n"/>
      <c r="BU88" s="205" t="n"/>
      <c r="BV88" s="205" t="n"/>
      <c r="BW88" s="208" t="n"/>
      <c r="BX88" s="204" t="n"/>
      <c r="BY88" s="205" t="n"/>
      <c r="BZ88" s="205" t="n"/>
      <c r="CA88" s="205" t="n"/>
      <c r="CB88" s="206" t="n"/>
      <c r="CC88" s="207" t="n"/>
      <c r="CD88" s="205" t="inlineStr">
        <is>
          <t>●</t>
        </is>
      </c>
      <c r="CE88" s="205" t="inlineStr">
        <is>
          <t>●</t>
        </is>
      </c>
      <c r="CF88" s="206" t="n"/>
      <c r="CG88" s="160" t="n"/>
    </row>
    <row r="89">
      <c r="A89" s="160" t="n"/>
      <c r="B89" s="217" t="n"/>
      <c r="C89" s="176" t="inlineStr">
        <is>
          <t>46B</t>
        </is>
      </c>
      <c r="D89" s="204" t="n"/>
      <c r="E89" s="205" t="n"/>
      <c r="F89" s="205" t="n"/>
      <c r="G89" s="205" t="n"/>
      <c r="H89" s="205" t="n"/>
      <c r="I89" s="205" t="n"/>
      <c r="J89" s="205" t="n"/>
      <c r="K89" s="205" t="n"/>
      <c r="L89" s="205" t="n"/>
      <c r="M89" s="205" t="n"/>
      <c r="N89" s="205" t="n"/>
      <c r="O89" s="206" t="n"/>
      <c r="P89" s="207" t="inlineStr">
        <is>
          <t>●</t>
        </is>
      </c>
      <c r="Q89" s="205" t="inlineStr">
        <is>
          <t>●</t>
        </is>
      </c>
      <c r="R89" s="205" t="inlineStr">
        <is>
          <t>●</t>
        </is>
      </c>
      <c r="S89" s="207" t="inlineStr">
        <is>
          <t>●</t>
        </is>
      </c>
      <c r="T89" s="205" t="n"/>
      <c r="U89" s="205" t="inlineStr">
        <is>
          <t>●</t>
        </is>
      </c>
      <c r="V89" s="205" t="inlineStr">
        <is>
          <t>●</t>
        </is>
      </c>
      <c r="W89" s="205" t="inlineStr">
        <is>
          <t>●</t>
        </is>
      </c>
      <c r="X89" s="205" t="inlineStr">
        <is>
          <t>●</t>
        </is>
      </c>
      <c r="Y89" s="205" t="n"/>
      <c r="Z89" s="205" t="inlineStr">
        <is>
          <t>●</t>
        </is>
      </c>
      <c r="AA89" s="205" t="inlineStr">
        <is>
          <t>●</t>
        </is>
      </c>
      <c r="AB89" s="205" t="inlineStr">
        <is>
          <t>●</t>
        </is>
      </c>
      <c r="AC89" s="207" t="inlineStr">
        <is>
          <t>●</t>
        </is>
      </c>
      <c r="AD89" s="205" t="n"/>
      <c r="AE89" s="205" t="n"/>
      <c r="AF89" s="205" t="n"/>
      <c r="AG89" s="205" t="n"/>
      <c r="AH89" s="207" t="n"/>
      <c r="AI89" s="205" t="n"/>
      <c r="AJ89" s="205" t="n"/>
      <c r="AK89" s="205" t="n"/>
      <c r="AL89" s="205" t="n"/>
      <c r="AM89" s="205" t="n"/>
      <c r="AN89" s="205" t="n"/>
      <c r="AO89" s="205" t="n"/>
      <c r="AP89" s="205" t="n"/>
      <c r="AQ89" s="205" t="n"/>
      <c r="AR89" s="207" t="n"/>
      <c r="AS89" s="205" t="n"/>
      <c r="AT89" s="205" t="inlineStr">
        <is>
          <t>●</t>
        </is>
      </c>
      <c r="AU89" s="208" t="n"/>
      <c r="AV89" s="205" t="inlineStr">
        <is>
          <t>●</t>
        </is>
      </c>
      <c r="AW89" s="205" t="n"/>
      <c r="AX89" s="207" t="inlineStr">
        <is>
          <t>●</t>
        </is>
      </c>
      <c r="AY89" s="205" t="n"/>
      <c r="AZ89" s="205" t="n"/>
      <c r="BA89" s="205" t="n"/>
      <c r="BB89" s="205" t="n"/>
      <c r="BC89" s="205" t="n"/>
      <c r="BD89" s="205" t="n"/>
      <c r="BE89" s="205" t="n"/>
      <c r="BF89" s="205" t="inlineStr">
        <is>
          <t>●</t>
        </is>
      </c>
      <c r="BG89" s="205" t="inlineStr">
        <is>
          <t>●</t>
        </is>
      </c>
      <c r="BH89" s="205" t="n"/>
      <c r="BI89" s="205" t="n"/>
      <c r="BJ89" s="205" t="n"/>
      <c r="BK89" s="205" t="n"/>
      <c r="BL89" s="207" t="inlineStr">
        <is>
          <t>●</t>
        </is>
      </c>
      <c r="BM89" s="205" t="n"/>
      <c r="BN89" s="205" t="inlineStr">
        <is>
          <t>●</t>
        </is>
      </c>
      <c r="BO89" s="205" t="n"/>
      <c r="BP89" s="205" t="inlineStr">
        <is>
          <t>●</t>
        </is>
      </c>
      <c r="BQ89" s="205" t="n"/>
      <c r="BR89" s="205" t="n"/>
      <c r="BS89" s="205" t="n"/>
      <c r="BT89" s="205" t="n"/>
      <c r="BU89" s="205" t="n"/>
      <c r="BV89" s="205" t="n"/>
      <c r="BW89" s="208" t="n"/>
      <c r="BX89" s="204" t="n"/>
      <c r="BY89" s="205" t="n"/>
      <c r="BZ89" s="205" t="n"/>
      <c r="CA89" s="205" t="n"/>
      <c r="CB89" s="206" t="n"/>
      <c r="CC89" s="207" t="n"/>
      <c r="CD89" s="205" t="inlineStr">
        <is>
          <t>●</t>
        </is>
      </c>
      <c r="CE89" s="205" t="inlineStr">
        <is>
          <t>●</t>
        </is>
      </c>
      <c r="CF89" s="206" t="n"/>
      <c r="CG89" s="160" t="n"/>
    </row>
    <row r="90">
      <c r="A90" s="160" t="n"/>
      <c r="B90" s="217" t="n"/>
      <c r="C90" s="176" t="inlineStr">
        <is>
          <t>60B</t>
        </is>
      </c>
      <c r="D90" s="204" t="n"/>
      <c r="E90" s="205" t="n"/>
      <c r="F90" s="205" t="n"/>
      <c r="G90" s="205" t="n"/>
      <c r="H90" s="205" t="n"/>
      <c r="I90" s="205" t="n"/>
      <c r="J90" s="205" t="n"/>
      <c r="K90" s="205" t="n"/>
      <c r="L90" s="205" t="n"/>
      <c r="M90" s="205" t="n"/>
      <c r="N90" s="205" t="n"/>
      <c r="O90" s="206" t="n"/>
      <c r="P90" s="207" t="inlineStr">
        <is>
          <t>●</t>
        </is>
      </c>
      <c r="Q90" s="205" t="inlineStr">
        <is>
          <t>●</t>
        </is>
      </c>
      <c r="R90" s="205" t="inlineStr">
        <is>
          <t>●</t>
        </is>
      </c>
      <c r="S90" s="207" t="inlineStr">
        <is>
          <t>●</t>
        </is>
      </c>
      <c r="T90" s="205" t="n"/>
      <c r="U90" s="205" t="inlineStr">
        <is>
          <t>●</t>
        </is>
      </c>
      <c r="V90" s="205" t="inlineStr">
        <is>
          <t>●</t>
        </is>
      </c>
      <c r="W90" s="205" t="inlineStr">
        <is>
          <t>●</t>
        </is>
      </c>
      <c r="X90" s="205" t="inlineStr">
        <is>
          <t>●</t>
        </is>
      </c>
      <c r="Y90" s="205" t="n"/>
      <c r="Z90" s="205" t="inlineStr">
        <is>
          <t>●</t>
        </is>
      </c>
      <c r="AA90" s="205" t="inlineStr">
        <is>
          <t>●</t>
        </is>
      </c>
      <c r="AB90" s="205" t="inlineStr">
        <is>
          <t>●</t>
        </is>
      </c>
      <c r="AC90" s="207" t="inlineStr">
        <is>
          <t>●</t>
        </is>
      </c>
      <c r="AD90" s="205" t="n"/>
      <c r="AE90" s="205" t="inlineStr">
        <is>
          <t>●</t>
        </is>
      </c>
      <c r="AF90" s="205" t="inlineStr">
        <is>
          <t>●</t>
        </is>
      </c>
      <c r="AG90" s="205" t="inlineStr">
        <is>
          <t>●</t>
        </is>
      </c>
      <c r="AH90" s="207" t="inlineStr">
        <is>
          <t>●</t>
        </is>
      </c>
      <c r="AI90" s="205" t="n"/>
      <c r="AJ90" s="205" t="inlineStr">
        <is>
          <t>●</t>
        </is>
      </c>
      <c r="AK90" s="205" t="inlineStr">
        <is>
          <t>●</t>
        </is>
      </c>
      <c r="AL90" s="205" t="inlineStr">
        <is>
          <t>●</t>
        </is>
      </c>
      <c r="AM90" s="205" t="inlineStr">
        <is>
          <t>●</t>
        </is>
      </c>
      <c r="AN90" s="205" t="n"/>
      <c r="AO90" s="205" t="inlineStr">
        <is>
          <t>●</t>
        </is>
      </c>
      <c r="AP90" s="205" t="inlineStr">
        <is>
          <t>●</t>
        </is>
      </c>
      <c r="AQ90" s="205" t="inlineStr">
        <is>
          <t>●</t>
        </is>
      </c>
      <c r="AR90" s="207" t="inlineStr">
        <is>
          <t>●</t>
        </is>
      </c>
      <c r="AS90" s="205" t="n"/>
      <c r="AT90" s="205" t="n"/>
      <c r="AU90" s="208" t="n"/>
      <c r="AV90" s="205" t="n"/>
      <c r="AW90" s="205" t="n"/>
      <c r="AX90" s="207" t="n"/>
      <c r="AY90" s="205" t="n"/>
      <c r="AZ90" s="205" t="n"/>
      <c r="BA90" s="205" t="n"/>
      <c r="BB90" s="205" t="n"/>
      <c r="BC90" s="205" t="n"/>
      <c r="BD90" s="205" t="n"/>
      <c r="BE90" s="205" t="n"/>
      <c r="BF90" s="205" t="inlineStr">
        <is>
          <t>●</t>
        </is>
      </c>
      <c r="BG90" s="205" t="inlineStr">
        <is>
          <t>●</t>
        </is>
      </c>
      <c r="BH90" s="205" t="n"/>
      <c r="BI90" s="205" t="inlineStr">
        <is>
          <t>●</t>
        </is>
      </c>
      <c r="BJ90" s="205" t="inlineStr">
        <is>
          <t>●</t>
        </is>
      </c>
      <c r="BK90" s="205" t="n"/>
      <c r="BL90" s="207" t="inlineStr">
        <is>
          <t>●</t>
        </is>
      </c>
      <c r="BM90" s="205" t="n"/>
      <c r="BN90" s="205" t="inlineStr">
        <is>
          <t>●</t>
        </is>
      </c>
      <c r="BO90" s="205" t="n"/>
      <c r="BP90" s="205" t="inlineStr">
        <is>
          <t>●</t>
        </is>
      </c>
      <c r="BQ90" s="205" t="n"/>
      <c r="BR90" s="205" t="inlineStr">
        <is>
          <t>●</t>
        </is>
      </c>
      <c r="BS90" s="205" t="n"/>
      <c r="BT90" s="205" t="inlineStr">
        <is>
          <t>●</t>
        </is>
      </c>
      <c r="BU90" s="205" t="n"/>
      <c r="BV90" s="205" t="inlineStr">
        <is>
          <t>●</t>
        </is>
      </c>
      <c r="BW90" s="208" t="n"/>
      <c r="BX90" s="204" t="n"/>
      <c r="BY90" s="205" t="n"/>
      <c r="BZ90" s="205" t="n"/>
      <c r="CA90" s="205" t="n"/>
      <c r="CB90" s="206" t="n"/>
      <c r="CC90" s="207" t="n"/>
      <c r="CD90" s="205" t="inlineStr">
        <is>
          <t>●</t>
        </is>
      </c>
      <c r="CE90" s="205" t="n"/>
      <c r="CF90" s="206" t="n"/>
      <c r="CG90" s="160" t="n"/>
    </row>
    <row r="91">
      <c r="A91" s="160" t="n"/>
      <c r="B91" s="217" t="n"/>
      <c r="C91" s="176" t="inlineStr">
        <is>
          <t>62B</t>
        </is>
      </c>
      <c r="D91" s="204" t="n"/>
      <c r="E91" s="205" t="n"/>
      <c r="F91" s="205" t="n"/>
      <c r="G91" s="205" t="n"/>
      <c r="H91" s="205" t="n"/>
      <c r="I91" s="205" t="n"/>
      <c r="J91" s="205" t="n"/>
      <c r="K91" s="205" t="n"/>
      <c r="L91" s="205" t="n"/>
      <c r="M91" s="205" t="n"/>
      <c r="N91" s="205" t="n"/>
      <c r="O91" s="206" t="n"/>
      <c r="P91" s="207" t="inlineStr">
        <is>
          <t>●</t>
        </is>
      </c>
      <c r="Q91" s="205" t="inlineStr">
        <is>
          <t>●</t>
        </is>
      </c>
      <c r="R91" s="205" t="inlineStr">
        <is>
          <t>●</t>
        </is>
      </c>
      <c r="S91" s="207" t="inlineStr">
        <is>
          <t>●</t>
        </is>
      </c>
      <c r="T91" s="205" t="n"/>
      <c r="U91" s="205" t="inlineStr">
        <is>
          <t>●</t>
        </is>
      </c>
      <c r="V91" s="205" t="inlineStr">
        <is>
          <t>●</t>
        </is>
      </c>
      <c r="W91" s="205" t="inlineStr">
        <is>
          <t>●</t>
        </is>
      </c>
      <c r="X91" s="205" t="inlineStr">
        <is>
          <t>●</t>
        </is>
      </c>
      <c r="Y91" s="205" t="n"/>
      <c r="Z91" s="205" t="inlineStr">
        <is>
          <t>●</t>
        </is>
      </c>
      <c r="AA91" s="205" t="inlineStr">
        <is>
          <t>●</t>
        </is>
      </c>
      <c r="AB91" s="205" t="inlineStr">
        <is>
          <t>●</t>
        </is>
      </c>
      <c r="AC91" s="207" t="inlineStr">
        <is>
          <t>●</t>
        </is>
      </c>
      <c r="AD91" s="205" t="n"/>
      <c r="AE91" s="205" t="inlineStr">
        <is>
          <t>●</t>
        </is>
      </c>
      <c r="AF91" s="205" t="inlineStr">
        <is>
          <t>●</t>
        </is>
      </c>
      <c r="AG91" s="205" t="inlineStr">
        <is>
          <t>●</t>
        </is>
      </c>
      <c r="AH91" s="207" t="inlineStr">
        <is>
          <t>●</t>
        </is>
      </c>
      <c r="AI91" s="205" t="n"/>
      <c r="AJ91" s="205" t="inlineStr">
        <is>
          <t>●</t>
        </is>
      </c>
      <c r="AK91" s="205" t="inlineStr">
        <is>
          <t>●</t>
        </is>
      </c>
      <c r="AL91" s="205" t="inlineStr">
        <is>
          <t>●</t>
        </is>
      </c>
      <c r="AM91" s="205" t="inlineStr">
        <is>
          <t>●</t>
        </is>
      </c>
      <c r="AN91" s="205" t="n"/>
      <c r="AO91" s="205" t="inlineStr">
        <is>
          <t>●</t>
        </is>
      </c>
      <c r="AP91" s="205" t="inlineStr">
        <is>
          <t>●</t>
        </is>
      </c>
      <c r="AQ91" s="205" t="inlineStr">
        <is>
          <t>●</t>
        </is>
      </c>
      <c r="AR91" s="207" t="inlineStr">
        <is>
          <t>●</t>
        </is>
      </c>
      <c r="AS91" s="205" t="n"/>
      <c r="AT91" s="205" t="inlineStr">
        <is>
          <t>●</t>
        </is>
      </c>
      <c r="AU91" s="208" t="n"/>
      <c r="AV91" s="205" t="inlineStr">
        <is>
          <t>●</t>
        </is>
      </c>
      <c r="AW91" s="205" t="n"/>
      <c r="AX91" s="207" t="inlineStr">
        <is>
          <t>●</t>
        </is>
      </c>
      <c r="AY91" s="205" t="n"/>
      <c r="AZ91" s="205" t="inlineStr">
        <is>
          <t>●</t>
        </is>
      </c>
      <c r="BA91" s="205" t="n"/>
      <c r="BB91" s="205" t="inlineStr">
        <is>
          <t>●</t>
        </is>
      </c>
      <c r="BC91" s="205" t="n"/>
      <c r="BD91" s="205" t="inlineStr">
        <is>
          <t>●</t>
        </is>
      </c>
      <c r="BE91" s="205" t="n"/>
      <c r="BF91" s="205" t="inlineStr">
        <is>
          <t>●</t>
        </is>
      </c>
      <c r="BG91" s="205" t="inlineStr">
        <is>
          <t>●</t>
        </is>
      </c>
      <c r="BH91" s="205" t="n"/>
      <c r="BI91" s="205" t="inlineStr">
        <is>
          <t>●</t>
        </is>
      </c>
      <c r="BJ91" s="205" t="inlineStr">
        <is>
          <t>●</t>
        </is>
      </c>
      <c r="BK91" s="205" t="n"/>
      <c r="BL91" s="207" t="inlineStr">
        <is>
          <t>●</t>
        </is>
      </c>
      <c r="BM91" s="205" t="n"/>
      <c r="BN91" s="205" t="inlineStr">
        <is>
          <t>●</t>
        </is>
      </c>
      <c r="BO91" s="205" t="n"/>
      <c r="BP91" s="205" t="inlineStr">
        <is>
          <t>●</t>
        </is>
      </c>
      <c r="BQ91" s="205" t="n"/>
      <c r="BR91" s="205" t="inlineStr">
        <is>
          <t>●</t>
        </is>
      </c>
      <c r="BS91" s="205" t="n"/>
      <c r="BT91" s="205" t="inlineStr">
        <is>
          <t>●</t>
        </is>
      </c>
      <c r="BU91" s="205" t="n"/>
      <c r="BV91" s="205" t="inlineStr">
        <is>
          <t>●</t>
        </is>
      </c>
      <c r="BW91" s="208" t="n"/>
      <c r="BX91" s="204" t="n"/>
      <c r="BY91" s="205" t="n"/>
      <c r="BZ91" s="205" t="n"/>
      <c r="CA91" s="205" t="n"/>
      <c r="CB91" s="206" t="n"/>
      <c r="CC91" s="207" t="n"/>
      <c r="CD91" s="205" t="inlineStr">
        <is>
          <t>●</t>
        </is>
      </c>
      <c r="CE91" s="205" t="n"/>
      <c r="CF91" s="206" t="n"/>
      <c r="CG91" s="160" t="n"/>
    </row>
    <row r="92">
      <c r="A92" s="160" t="n"/>
      <c r="B92" s="217" t="n"/>
      <c r="C92" s="176" t="inlineStr">
        <is>
          <t>64B</t>
        </is>
      </c>
      <c r="D92" s="204" t="n"/>
      <c r="E92" s="205" t="n"/>
      <c r="F92" s="205" t="n"/>
      <c r="G92" s="205" t="n"/>
      <c r="H92" s="205" t="n"/>
      <c r="I92" s="205" t="n"/>
      <c r="J92" s="205" t="n"/>
      <c r="K92" s="205" t="n"/>
      <c r="L92" s="205" t="n"/>
      <c r="M92" s="205" t="n"/>
      <c r="N92" s="205" t="n"/>
      <c r="O92" s="206" t="n"/>
      <c r="P92" s="207" t="inlineStr">
        <is>
          <t>●</t>
        </is>
      </c>
      <c r="Q92" s="205" t="inlineStr">
        <is>
          <t>●</t>
        </is>
      </c>
      <c r="R92" s="205" t="inlineStr">
        <is>
          <t>●</t>
        </is>
      </c>
      <c r="S92" s="207" t="inlineStr">
        <is>
          <t>●</t>
        </is>
      </c>
      <c r="T92" s="205" t="n"/>
      <c r="U92" s="205" t="inlineStr">
        <is>
          <t>●</t>
        </is>
      </c>
      <c r="V92" s="205" t="inlineStr">
        <is>
          <t>●</t>
        </is>
      </c>
      <c r="W92" s="205" t="inlineStr">
        <is>
          <t>●</t>
        </is>
      </c>
      <c r="X92" s="205" t="inlineStr">
        <is>
          <t>●</t>
        </is>
      </c>
      <c r="Y92" s="205" t="n"/>
      <c r="Z92" s="205" t="inlineStr">
        <is>
          <t>●</t>
        </is>
      </c>
      <c r="AA92" s="205" t="inlineStr">
        <is>
          <t>●</t>
        </is>
      </c>
      <c r="AB92" s="205" t="inlineStr">
        <is>
          <t>●</t>
        </is>
      </c>
      <c r="AC92" s="207" t="inlineStr">
        <is>
          <t>●</t>
        </is>
      </c>
      <c r="AD92" s="205" t="n"/>
      <c r="AE92" s="205" t="inlineStr">
        <is>
          <t>●</t>
        </is>
      </c>
      <c r="AF92" s="205" t="inlineStr">
        <is>
          <t>●</t>
        </is>
      </c>
      <c r="AG92" s="205" t="inlineStr">
        <is>
          <t>●</t>
        </is>
      </c>
      <c r="AH92" s="207" t="inlineStr">
        <is>
          <t>●</t>
        </is>
      </c>
      <c r="AI92" s="205" t="n"/>
      <c r="AJ92" s="205" t="inlineStr">
        <is>
          <t>●</t>
        </is>
      </c>
      <c r="AK92" s="205" t="inlineStr">
        <is>
          <t>●</t>
        </is>
      </c>
      <c r="AL92" s="205" t="inlineStr">
        <is>
          <t>●</t>
        </is>
      </c>
      <c r="AM92" s="205" t="inlineStr">
        <is>
          <t>●</t>
        </is>
      </c>
      <c r="AN92" s="205" t="n"/>
      <c r="AO92" s="205" t="inlineStr">
        <is>
          <t>●</t>
        </is>
      </c>
      <c r="AP92" s="205" t="inlineStr">
        <is>
          <t>●</t>
        </is>
      </c>
      <c r="AQ92" s="205" t="inlineStr">
        <is>
          <t>●</t>
        </is>
      </c>
      <c r="AR92" s="207" t="inlineStr">
        <is>
          <t>●</t>
        </is>
      </c>
      <c r="AS92" s="205" t="n"/>
      <c r="AT92" s="205" t="n"/>
      <c r="AU92" s="208" t="n"/>
      <c r="AV92" s="205" t="n"/>
      <c r="AW92" s="205" t="n"/>
      <c r="AX92" s="207" t="n"/>
      <c r="AY92" s="205" t="n"/>
      <c r="AZ92" s="205" t="n"/>
      <c r="BA92" s="205" t="n"/>
      <c r="BB92" s="205" t="n"/>
      <c r="BC92" s="205" t="n"/>
      <c r="BD92" s="205" t="n"/>
      <c r="BE92" s="205" t="n"/>
      <c r="BF92" s="205" t="inlineStr">
        <is>
          <t>●</t>
        </is>
      </c>
      <c r="BG92" s="205" t="inlineStr">
        <is>
          <t>●</t>
        </is>
      </c>
      <c r="BH92" s="205" t="n"/>
      <c r="BI92" s="205" t="inlineStr">
        <is>
          <t>●</t>
        </is>
      </c>
      <c r="BJ92" s="205" t="inlineStr">
        <is>
          <t>●</t>
        </is>
      </c>
      <c r="BK92" s="205" t="n"/>
      <c r="BL92" s="207" t="inlineStr">
        <is>
          <t>●</t>
        </is>
      </c>
      <c r="BM92" s="205" t="n"/>
      <c r="BN92" s="205" t="inlineStr">
        <is>
          <t>●</t>
        </is>
      </c>
      <c r="BO92" s="205" t="n"/>
      <c r="BP92" s="205" t="inlineStr">
        <is>
          <t>●</t>
        </is>
      </c>
      <c r="BQ92" s="205" t="n"/>
      <c r="BR92" s="205" t="inlineStr">
        <is>
          <t>●</t>
        </is>
      </c>
      <c r="BS92" s="205" t="n"/>
      <c r="BT92" s="205" t="inlineStr">
        <is>
          <t>●</t>
        </is>
      </c>
      <c r="BU92" s="205" t="n"/>
      <c r="BV92" s="205" t="inlineStr">
        <is>
          <t>●</t>
        </is>
      </c>
      <c r="BW92" s="208" t="n"/>
      <c r="BX92" s="204" t="n"/>
      <c r="BY92" s="205" t="n"/>
      <c r="BZ92" s="205" t="n"/>
      <c r="CA92" s="205" t="n"/>
      <c r="CB92" s="206" t="n"/>
      <c r="CC92" s="207" t="n"/>
      <c r="CD92" s="205" t="inlineStr">
        <is>
          <t>●</t>
        </is>
      </c>
      <c r="CE92" s="205" t="inlineStr">
        <is>
          <t>●</t>
        </is>
      </c>
      <c r="CF92" s="206" t="n"/>
      <c r="CG92" s="160" t="n"/>
    </row>
    <row r="93">
      <c r="A93" s="160" t="n"/>
      <c r="B93" s="217" t="n"/>
      <c r="C93" s="176" t="inlineStr">
        <is>
          <t>66B</t>
        </is>
      </c>
      <c r="D93" s="204" t="n"/>
      <c r="E93" s="205" t="n"/>
      <c r="F93" s="205" t="n"/>
      <c r="G93" s="205" t="n"/>
      <c r="H93" s="205" t="n"/>
      <c r="I93" s="205" t="n"/>
      <c r="J93" s="205" t="n"/>
      <c r="K93" s="205" t="n"/>
      <c r="L93" s="205" t="n"/>
      <c r="M93" s="205" t="n"/>
      <c r="N93" s="205" t="n"/>
      <c r="O93" s="206" t="n"/>
      <c r="P93" s="207" t="inlineStr">
        <is>
          <t>●</t>
        </is>
      </c>
      <c r="Q93" s="205" t="inlineStr">
        <is>
          <t>●</t>
        </is>
      </c>
      <c r="R93" s="205" t="inlineStr">
        <is>
          <t>●</t>
        </is>
      </c>
      <c r="S93" s="207" t="inlineStr">
        <is>
          <t>●</t>
        </is>
      </c>
      <c r="T93" s="205" t="n"/>
      <c r="U93" s="205" t="inlineStr">
        <is>
          <t>●</t>
        </is>
      </c>
      <c r="V93" s="205" t="inlineStr">
        <is>
          <t>●</t>
        </is>
      </c>
      <c r="W93" s="205" t="inlineStr">
        <is>
          <t>●</t>
        </is>
      </c>
      <c r="X93" s="205" t="inlineStr">
        <is>
          <t>●</t>
        </is>
      </c>
      <c r="Y93" s="205" t="n"/>
      <c r="Z93" s="205" t="inlineStr">
        <is>
          <t>●</t>
        </is>
      </c>
      <c r="AA93" s="205" t="inlineStr">
        <is>
          <t>●</t>
        </is>
      </c>
      <c r="AB93" s="205" t="inlineStr">
        <is>
          <t>●</t>
        </is>
      </c>
      <c r="AC93" s="207" t="inlineStr">
        <is>
          <t>●</t>
        </is>
      </c>
      <c r="AD93" s="205" t="n"/>
      <c r="AE93" s="205" t="inlineStr">
        <is>
          <t>●</t>
        </is>
      </c>
      <c r="AF93" s="205" t="inlineStr">
        <is>
          <t>●</t>
        </is>
      </c>
      <c r="AG93" s="205" t="inlineStr">
        <is>
          <t>●</t>
        </is>
      </c>
      <c r="AH93" s="207" t="inlineStr">
        <is>
          <t>●</t>
        </is>
      </c>
      <c r="AI93" s="205" t="n"/>
      <c r="AJ93" s="205" t="inlineStr">
        <is>
          <t>●</t>
        </is>
      </c>
      <c r="AK93" s="205" t="inlineStr">
        <is>
          <t>●</t>
        </is>
      </c>
      <c r="AL93" s="205" t="inlineStr">
        <is>
          <t>●</t>
        </is>
      </c>
      <c r="AM93" s="205" t="inlineStr">
        <is>
          <t>●</t>
        </is>
      </c>
      <c r="AN93" s="205" t="n"/>
      <c r="AO93" s="205" t="inlineStr">
        <is>
          <t>●</t>
        </is>
      </c>
      <c r="AP93" s="205" t="inlineStr">
        <is>
          <t>●</t>
        </is>
      </c>
      <c r="AQ93" s="205" t="inlineStr">
        <is>
          <t>●</t>
        </is>
      </c>
      <c r="AR93" s="207" t="inlineStr">
        <is>
          <t>●</t>
        </is>
      </c>
      <c r="AS93" s="205" t="n"/>
      <c r="AT93" s="205" t="inlineStr">
        <is>
          <t>●</t>
        </is>
      </c>
      <c r="AU93" s="208" t="n"/>
      <c r="AV93" s="205" t="inlineStr">
        <is>
          <t>●</t>
        </is>
      </c>
      <c r="AW93" s="205" t="n"/>
      <c r="AX93" s="207" t="inlineStr">
        <is>
          <t>●</t>
        </is>
      </c>
      <c r="AY93" s="205" t="n"/>
      <c r="AZ93" s="205" t="n"/>
      <c r="BA93" s="205" t="n"/>
      <c r="BB93" s="205" t="n"/>
      <c r="BC93" s="205" t="n"/>
      <c r="BD93" s="205" t="n"/>
      <c r="BE93" s="205" t="n"/>
      <c r="BF93" s="205" t="inlineStr">
        <is>
          <t>●</t>
        </is>
      </c>
      <c r="BG93" s="205" t="inlineStr">
        <is>
          <t>●</t>
        </is>
      </c>
      <c r="BH93" s="205" t="n"/>
      <c r="BI93" s="205" t="inlineStr">
        <is>
          <t>●</t>
        </is>
      </c>
      <c r="BJ93" s="205" t="inlineStr">
        <is>
          <t>●</t>
        </is>
      </c>
      <c r="BK93" s="205" t="n"/>
      <c r="BL93" s="207" t="inlineStr">
        <is>
          <t>●</t>
        </is>
      </c>
      <c r="BM93" s="205" t="n"/>
      <c r="BN93" s="205" t="inlineStr">
        <is>
          <t>●</t>
        </is>
      </c>
      <c r="BO93" s="205" t="n"/>
      <c r="BP93" s="205" t="inlineStr">
        <is>
          <t>●</t>
        </is>
      </c>
      <c r="BQ93" s="205" t="n"/>
      <c r="BR93" s="205" t="inlineStr">
        <is>
          <t>●</t>
        </is>
      </c>
      <c r="BS93" s="205" t="n"/>
      <c r="BT93" s="205" t="inlineStr">
        <is>
          <t>●</t>
        </is>
      </c>
      <c r="BU93" s="205" t="n"/>
      <c r="BV93" s="205" t="inlineStr">
        <is>
          <t>●</t>
        </is>
      </c>
      <c r="BW93" s="208" t="n"/>
      <c r="BX93" s="204" t="n"/>
      <c r="BY93" s="205" t="n"/>
      <c r="BZ93" s="205" t="n"/>
      <c r="CA93" s="205" t="n"/>
      <c r="CB93" s="206" t="n"/>
      <c r="CC93" s="207" t="n"/>
      <c r="CD93" s="205" t="inlineStr">
        <is>
          <t>●</t>
        </is>
      </c>
      <c r="CE93" s="205" t="inlineStr">
        <is>
          <t>●</t>
        </is>
      </c>
      <c r="CF93" s="206" t="n"/>
      <c r="CG93" s="160" t="n"/>
    </row>
    <row r="94">
      <c r="A94" s="160" t="n"/>
      <c r="B94" s="218" t="n"/>
      <c r="C94" s="219" t="inlineStr">
        <is>
          <t>K0B</t>
        </is>
      </c>
      <c r="D94" s="204" t="n"/>
      <c r="E94" s="205" t="n"/>
      <c r="F94" s="205" t="n"/>
      <c r="G94" s="205" t="n"/>
      <c r="H94" s="205" t="n"/>
      <c r="I94" s="205" t="n"/>
      <c r="J94" s="205" t="n"/>
      <c r="K94" s="205" t="n"/>
      <c r="L94" s="205" t="n"/>
      <c r="M94" s="205" t="n"/>
      <c r="N94" s="205" t="n"/>
      <c r="O94" s="206" t="n"/>
      <c r="P94" s="207" t="inlineStr">
        <is>
          <t>●</t>
        </is>
      </c>
      <c r="Q94" s="205" t="inlineStr">
        <is>
          <t>●</t>
        </is>
      </c>
      <c r="R94" s="205" t="inlineStr">
        <is>
          <t>●</t>
        </is>
      </c>
      <c r="S94" s="207" t="inlineStr">
        <is>
          <t>●</t>
        </is>
      </c>
      <c r="T94" s="205" t="inlineStr">
        <is>
          <t>●</t>
        </is>
      </c>
      <c r="U94" s="205" t="inlineStr">
        <is>
          <t>●</t>
        </is>
      </c>
      <c r="V94" s="205" t="inlineStr">
        <is>
          <t>●</t>
        </is>
      </c>
      <c r="W94" s="205" t="inlineStr">
        <is>
          <t>●</t>
        </is>
      </c>
      <c r="X94" s="205" t="inlineStr">
        <is>
          <t>●</t>
        </is>
      </c>
      <c r="Y94" s="205" t="inlineStr">
        <is>
          <t>●</t>
        </is>
      </c>
      <c r="Z94" s="205" t="inlineStr">
        <is>
          <t>●</t>
        </is>
      </c>
      <c r="AA94" s="205" t="inlineStr">
        <is>
          <t>●</t>
        </is>
      </c>
      <c r="AB94" s="205" t="inlineStr">
        <is>
          <t>●</t>
        </is>
      </c>
      <c r="AC94" s="207" t="inlineStr">
        <is>
          <t>●</t>
        </is>
      </c>
      <c r="AD94" s="205" t="inlineStr">
        <is>
          <t>●</t>
        </is>
      </c>
      <c r="AE94" s="205" t="inlineStr">
        <is>
          <t>●</t>
        </is>
      </c>
      <c r="AF94" s="205" t="inlineStr">
        <is>
          <t>●</t>
        </is>
      </c>
      <c r="AG94" s="205" t="inlineStr">
        <is>
          <t>●</t>
        </is>
      </c>
      <c r="AH94" s="207" t="inlineStr">
        <is>
          <t>●</t>
        </is>
      </c>
      <c r="AI94" s="205" t="inlineStr">
        <is>
          <t>●</t>
        </is>
      </c>
      <c r="AJ94" s="205" t="inlineStr">
        <is>
          <t>●</t>
        </is>
      </c>
      <c r="AK94" s="205" t="inlineStr">
        <is>
          <t>●</t>
        </is>
      </c>
      <c r="AL94" s="205" t="inlineStr">
        <is>
          <t>●</t>
        </is>
      </c>
      <c r="AM94" s="205" t="inlineStr">
        <is>
          <t>●</t>
        </is>
      </c>
      <c r="AN94" s="205" t="inlineStr">
        <is>
          <t>●</t>
        </is>
      </c>
      <c r="AO94" s="205" t="inlineStr">
        <is>
          <t>●</t>
        </is>
      </c>
      <c r="AP94" s="205" t="inlineStr">
        <is>
          <t>●</t>
        </is>
      </c>
      <c r="AQ94" s="205" t="inlineStr">
        <is>
          <t>●</t>
        </is>
      </c>
      <c r="AR94" s="207" t="inlineStr">
        <is>
          <t>●</t>
        </is>
      </c>
      <c r="AS94" s="205" t="inlineStr">
        <is>
          <t>●</t>
        </is>
      </c>
      <c r="AT94" s="205" t="n"/>
      <c r="AU94" s="208" t="n"/>
      <c r="AV94" s="205" t="n"/>
      <c r="AW94" s="205" t="n"/>
      <c r="AX94" s="207" t="n"/>
      <c r="AY94" s="205" t="n"/>
      <c r="AZ94" s="205" t="n"/>
      <c r="BA94" s="205" t="n"/>
      <c r="BB94" s="205" t="n"/>
      <c r="BC94" s="205" t="n"/>
      <c r="BD94" s="205" t="n"/>
      <c r="BE94" s="205" t="n"/>
      <c r="BF94" s="205" t="inlineStr">
        <is>
          <t>●</t>
        </is>
      </c>
      <c r="BG94" s="205" t="inlineStr">
        <is>
          <t>●</t>
        </is>
      </c>
      <c r="BH94" s="205" t="inlineStr">
        <is>
          <t>●</t>
        </is>
      </c>
      <c r="BI94" s="205" t="inlineStr">
        <is>
          <t>●</t>
        </is>
      </c>
      <c r="BJ94" s="205" t="inlineStr">
        <is>
          <t>●</t>
        </is>
      </c>
      <c r="BK94" s="205" t="inlineStr">
        <is>
          <t>●</t>
        </is>
      </c>
      <c r="BL94" s="207" t="inlineStr">
        <is>
          <t>●</t>
        </is>
      </c>
      <c r="BM94" s="205" t="inlineStr">
        <is>
          <t>●</t>
        </is>
      </c>
      <c r="BN94" s="205" t="inlineStr">
        <is>
          <t>●</t>
        </is>
      </c>
      <c r="BO94" s="205" t="inlineStr">
        <is>
          <t>●</t>
        </is>
      </c>
      <c r="BP94" s="205" t="inlineStr">
        <is>
          <t>●</t>
        </is>
      </c>
      <c r="BQ94" s="205" t="inlineStr">
        <is>
          <t>●</t>
        </is>
      </c>
      <c r="BR94" s="205" t="inlineStr">
        <is>
          <t>●</t>
        </is>
      </c>
      <c r="BS94" s="205" t="inlineStr">
        <is>
          <t>●</t>
        </is>
      </c>
      <c r="BT94" s="205" t="inlineStr">
        <is>
          <t>●</t>
        </is>
      </c>
      <c r="BU94" s="205" t="inlineStr">
        <is>
          <t>●</t>
        </is>
      </c>
      <c r="BV94" s="205" t="inlineStr">
        <is>
          <t>●</t>
        </is>
      </c>
      <c r="BW94" s="208" t="inlineStr">
        <is>
          <t>●</t>
        </is>
      </c>
      <c r="BX94" s="204" t="n"/>
      <c r="BY94" s="205" t="n"/>
      <c r="BZ94" s="205" t="n"/>
      <c r="CA94" s="205" t="n"/>
      <c r="CB94" s="206" t="n"/>
      <c r="CC94" s="207" t="n"/>
      <c r="CD94" s="205" t="inlineStr">
        <is>
          <t>●</t>
        </is>
      </c>
      <c r="CE94" s="205" t="n"/>
      <c r="CF94" s="206" t="n"/>
      <c r="CG94" s="160" t="n"/>
    </row>
    <row r="95">
      <c r="A95" s="160" t="n"/>
      <c r="B95" s="218" t="n"/>
      <c r="C95" s="219" t="inlineStr">
        <is>
          <t>K2B</t>
        </is>
      </c>
      <c r="D95" s="204" t="n"/>
      <c r="E95" s="205" t="n"/>
      <c r="F95" s="205" t="n"/>
      <c r="G95" s="205" t="n"/>
      <c r="H95" s="205" t="n"/>
      <c r="I95" s="205" t="n"/>
      <c r="J95" s="205" t="n"/>
      <c r="K95" s="205" t="n"/>
      <c r="L95" s="205" t="n"/>
      <c r="M95" s="205" t="n"/>
      <c r="N95" s="205" t="n"/>
      <c r="O95" s="206" t="n"/>
      <c r="P95" s="207" t="inlineStr">
        <is>
          <t>●</t>
        </is>
      </c>
      <c r="Q95" s="205" t="inlineStr">
        <is>
          <t>●</t>
        </is>
      </c>
      <c r="R95" s="205" t="inlineStr">
        <is>
          <t>●</t>
        </is>
      </c>
      <c r="S95" s="207" t="inlineStr">
        <is>
          <t>●</t>
        </is>
      </c>
      <c r="T95" s="205" t="inlineStr">
        <is>
          <t>●</t>
        </is>
      </c>
      <c r="U95" s="205" t="inlineStr">
        <is>
          <t>●</t>
        </is>
      </c>
      <c r="V95" s="205" t="inlineStr">
        <is>
          <t>●</t>
        </is>
      </c>
      <c r="W95" s="205" t="inlineStr">
        <is>
          <t>●</t>
        </is>
      </c>
      <c r="X95" s="205" t="inlineStr">
        <is>
          <t>●</t>
        </is>
      </c>
      <c r="Y95" s="205" t="inlineStr">
        <is>
          <t>●</t>
        </is>
      </c>
      <c r="Z95" s="205" t="inlineStr">
        <is>
          <t>●</t>
        </is>
      </c>
      <c r="AA95" s="205" t="inlineStr">
        <is>
          <t>●</t>
        </is>
      </c>
      <c r="AB95" s="205" t="inlineStr">
        <is>
          <t>●</t>
        </is>
      </c>
      <c r="AC95" s="207" t="inlineStr">
        <is>
          <t>●</t>
        </is>
      </c>
      <c r="AD95" s="205" t="inlineStr">
        <is>
          <t>●</t>
        </is>
      </c>
      <c r="AE95" s="205" t="inlineStr">
        <is>
          <t>●</t>
        </is>
      </c>
      <c r="AF95" s="205" t="inlineStr">
        <is>
          <t>●</t>
        </is>
      </c>
      <c r="AG95" s="205" t="inlineStr">
        <is>
          <t>●</t>
        </is>
      </c>
      <c r="AH95" s="207" t="inlineStr">
        <is>
          <t>●</t>
        </is>
      </c>
      <c r="AI95" s="205" t="inlineStr">
        <is>
          <t>●</t>
        </is>
      </c>
      <c r="AJ95" s="205" t="inlineStr">
        <is>
          <t>●</t>
        </is>
      </c>
      <c r="AK95" s="205" t="inlineStr">
        <is>
          <t>●</t>
        </is>
      </c>
      <c r="AL95" s="205" t="inlineStr">
        <is>
          <t>●</t>
        </is>
      </c>
      <c r="AM95" s="205" t="inlineStr">
        <is>
          <t>●</t>
        </is>
      </c>
      <c r="AN95" s="205" t="inlineStr">
        <is>
          <t>●</t>
        </is>
      </c>
      <c r="AO95" s="205" t="inlineStr">
        <is>
          <t>●</t>
        </is>
      </c>
      <c r="AP95" s="205" t="inlineStr">
        <is>
          <t>●</t>
        </is>
      </c>
      <c r="AQ95" s="205" t="inlineStr">
        <is>
          <t>●</t>
        </is>
      </c>
      <c r="AR95" s="207" t="inlineStr">
        <is>
          <t>●</t>
        </is>
      </c>
      <c r="AS95" s="205" t="inlineStr">
        <is>
          <t>●</t>
        </is>
      </c>
      <c r="AT95" s="205" t="inlineStr">
        <is>
          <t>●</t>
        </is>
      </c>
      <c r="AU95" s="208" t="inlineStr">
        <is>
          <t>●</t>
        </is>
      </c>
      <c r="AV95" s="205" t="inlineStr">
        <is>
          <t>●</t>
        </is>
      </c>
      <c r="AW95" s="205" t="inlineStr">
        <is>
          <t>●</t>
        </is>
      </c>
      <c r="AX95" s="207" t="inlineStr">
        <is>
          <t>●</t>
        </is>
      </c>
      <c r="AY95" s="205" t="inlineStr">
        <is>
          <t>●</t>
        </is>
      </c>
      <c r="AZ95" s="205" t="inlineStr">
        <is>
          <t>●</t>
        </is>
      </c>
      <c r="BA95" s="205" t="inlineStr">
        <is>
          <t>●</t>
        </is>
      </c>
      <c r="BB95" s="205" t="inlineStr">
        <is>
          <t>●</t>
        </is>
      </c>
      <c r="BC95" s="205" t="inlineStr">
        <is>
          <t>●</t>
        </is>
      </c>
      <c r="BD95" s="205" t="inlineStr">
        <is>
          <t>●</t>
        </is>
      </c>
      <c r="BE95" s="205" t="inlineStr">
        <is>
          <t>●</t>
        </is>
      </c>
      <c r="BF95" s="205" t="inlineStr">
        <is>
          <t>●</t>
        </is>
      </c>
      <c r="BG95" s="205" t="inlineStr">
        <is>
          <t>●</t>
        </is>
      </c>
      <c r="BH95" s="205" t="inlineStr">
        <is>
          <t>●</t>
        </is>
      </c>
      <c r="BI95" s="205" t="inlineStr">
        <is>
          <t>●</t>
        </is>
      </c>
      <c r="BJ95" s="205" t="inlineStr">
        <is>
          <t>●</t>
        </is>
      </c>
      <c r="BK95" s="205" t="inlineStr">
        <is>
          <t>●</t>
        </is>
      </c>
      <c r="BL95" s="207" t="inlineStr">
        <is>
          <t>●</t>
        </is>
      </c>
      <c r="BM95" s="205" t="inlineStr">
        <is>
          <t>●</t>
        </is>
      </c>
      <c r="BN95" s="205" t="inlineStr">
        <is>
          <t>●</t>
        </is>
      </c>
      <c r="BO95" s="205" t="inlineStr">
        <is>
          <t>●</t>
        </is>
      </c>
      <c r="BP95" s="205" t="inlineStr">
        <is>
          <t>●</t>
        </is>
      </c>
      <c r="BQ95" s="205" t="inlineStr">
        <is>
          <t>●</t>
        </is>
      </c>
      <c r="BR95" s="205" t="inlineStr">
        <is>
          <t>●</t>
        </is>
      </c>
      <c r="BS95" s="205" t="inlineStr">
        <is>
          <t>●</t>
        </is>
      </c>
      <c r="BT95" s="205" t="inlineStr">
        <is>
          <t>●</t>
        </is>
      </c>
      <c r="BU95" s="205" t="inlineStr">
        <is>
          <t>●</t>
        </is>
      </c>
      <c r="BV95" s="205" t="inlineStr">
        <is>
          <t>●</t>
        </is>
      </c>
      <c r="BW95" s="208" t="inlineStr">
        <is>
          <t>●</t>
        </is>
      </c>
      <c r="BX95" s="204" t="n"/>
      <c r="BY95" s="205" t="n"/>
      <c r="BZ95" s="205" t="n"/>
      <c r="CA95" s="205" t="n"/>
      <c r="CB95" s="206" t="n"/>
      <c r="CC95" s="207" t="n"/>
      <c r="CD95" s="205" t="inlineStr">
        <is>
          <t>●</t>
        </is>
      </c>
      <c r="CE95" s="205" t="n"/>
      <c r="CF95" s="206" t="n"/>
      <c r="CG95" s="160" t="n"/>
    </row>
    <row r="96">
      <c r="A96" s="160" t="n"/>
      <c r="B96" s="218" t="n"/>
      <c r="C96" s="219" t="inlineStr">
        <is>
          <t>K4B</t>
        </is>
      </c>
      <c r="D96" s="204" t="n"/>
      <c r="E96" s="205" t="n"/>
      <c r="F96" s="205" t="n"/>
      <c r="G96" s="205" t="n"/>
      <c r="H96" s="205" t="n"/>
      <c r="I96" s="205" t="n"/>
      <c r="J96" s="205" t="n"/>
      <c r="K96" s="205" t="n"/>
      <c r="L96" s="205" t="n"/>
      <c r="M96" s="205" t="n"/>
      <c r="N96" s="205" t="n"/>
      <c r="O96" s="206" t="n"/>
      <c r="P96" s="207" t="inlineStr">
        <is>
          <t>●</t>
        </is>
      </c>
      <c r="Q96" s="205" t="inlineStr">
        <is>
          <t>●</t>
        </is>
      </c>
      <c r="R96" s="205" t="inlineStr">
        <is>
          <t>●</t>
        </is>
      </c>
      <c r="S96" s="207" t="inlineStr">
        <is>
          <t>●</t>
        </is>
      </c>
      <c r="T96" s="205" t="inlineStr">
        <is>
          <t>●</t>
        </is>
      </c>
      <c r="U96" s="205" t="inlineStr">
        <is>
          <t>●</t>
        </is>
      </c>
      <c r="V96" s="205" t="inlineStr">
        <is>
          <t>●</t>
        </is>
      </c>
      <c r="W96" s="205" t="inlineStr">
        <is>
          <t>●</t>
        </is>
      </c>
      <c r="X96" s="205" t="inlineStr">
        <is>
          <t>●</t>
        </is>
      </c>
      <c r="Y96" s="205" t="inlineStr">
        <is>
          <t>●</t>
        </is>
      </c>
      <c r="Z96" s="205" t="inlineStr">
        <is>
          <t>●</t>
        </is>
      </c>
      <c r="AA96" s="205" t="inlineStr">
        <is>
          <t>●</t>
        </is>
      </c>
      <c r="AB96" s="205" t="inlineStr">
        <is>
          <t>●</t>
        </is>
      </c>
      <c r="AC96" s="207" t="inlineStr">
        <is>
          <t>●</t>
        </is>
      </c>
      <c r="AD96" s="205" t="inlineStr">
        <is>
          <t>●</t>
        </is>
      </c>
      <c r="AE96" s="205" t="inlineStr">
        <is>
          <t>●</t>
        </is>
      </c>
      <c r="AF96" s="205" t="inlineStr">
        <is>
          <t>●</t>
        </is>
      </c>
      <c r="AG96" s="205" t="inlineStr">
        <is>
          <t>●</t>
        </is>
      </c>
      <c r="AH96" s="207" t="inlineStr">
        <is>
          <t>●</t>
        </is>
      </c>
      <c r="AI96" s="205" t="inlineStr">
        <is>
          <t>●</t>
        </is>
      </c>
      <c r="AJ96" s="205" t="inlineStr">
        <is>
          <t>●</t>
        </is>
      </c>
      <c r="AK96" s="205" t="inlineStr">
        <is>
          <t>●</t>
        </is>
      </c>
      <c r="AL96" s="205" t="inlineStr">
        <is>
          <t>●</t>
        </is>
      </c>
      <c r="AM96" s="205" t="inlineStr">
        <is>
          <t>●</t>
        </is>
      </c>
      <c r="AN96" s="205" t="inlineStr">
        <is>
          <t>●</t>
        </is>
      </c>
      <c r="AO96" s="205" t="inlineStr">
        <is>
          <t>●</t>
        </is>
      </c>
      <c r="AP96" s="205" t="inlineStr">
        <is>
          <t>●</t>
        </is>
      </c>
      <c r="AQ96" s="205" t="inlineStr">
        <is>
          <t>●</t>
        </is>
      </c>
      <c r="AR96" s="207" t="inlineStr">
        <is>
          <t>●</t>
        </is>
      </c>
      <c r="AS96" s="205" t="inlineStr">
        <is>
          <t>●</t>
        </is>
      </c>
      <c r="AT96" s="205" t="n"/>
      <c r="AU96" s="208" t="n"/>
      <c r="AV96" s="205" t="n"/>
      <c r="AW96" s="205" t="n"/>
      <c r="AX96" s="207" t="n"/>
      <c r="AY96" s="205" t="n"/>
      <c r="AZ96" s="205" t="n"/>
      <c r="BA96" s="205" t="n"/>
      <c r="BB96" s="205" t="n"/>
      <c r="BC96" s="205" t="n"/>
      <c r="BD96" s="205" t="n"/>
      <c r="BE96" s="205" t="n"/>
      <c r="BF96" s="205" t="inlineStr">
        <is>
          <t>●</t>
        </is>
      </c>
      <c r="BG96" s="205" t="inlineStr">
        <is>
          <t>●</t>
        </is>
      </c>
      <c r="BH96" s="205" t="inlineStr">
        <is>
          <t>●</t>
        </is>
      </c>
      <c r="BI96" s="205" t="inlineStr">
        <is>
          <t>●</t>
        </is>
      </c>
      <c r="BJ96" s="205" t="inlineStr">
        <is>
          <t>●</t>
        </is>
      </c>
      <c r="BK96" s="205" t="inlineStr">
        <is>
          <t>●</t>
        </is>
      </c>
      <c r="BL96" s="207" t="inlineStr">
        <is>
          <t>●</t>
        </is>
      </c>
      <c r="BM96" s="205" t="inlineStr">
        <is>
          <t>●</t>
        </is>
      </c>
      <c r="BN96" s="205" t="inlineStr">
        <is>
          <t>●</t>
        </is>
      </c>
      <c r="BO96" s="205" t="inlineStr">
        <is>
          <t>●</t>
        </is>
      </c>
      <c r="BP96" s="205" t="inlineStr">
        <is>
          <t>●</t>
        </is>
      </c>
      <c r="BQ96" s="205" t="inlineStr">
        <is>
          <t>●</t>
        </is>
      </c>
      <c r="BR96" s="205" t="inlineStr">
        <is>
          <t>●</t>
        </is>
      </c>
      <c r="BS96" s="205" t="inlineStr">
        <is>
          <t>●</t>
        </is>
      </c>
      <c r="BT96" s="205" t="inlineStr">
        <is>
          <t>●</t>
        </is>
      </c>
      <c r="BU96" s="205" t="inlineStr">
        <is>
          <t>●</t>
        </is>
      </c>
      <c r="BV96" s="205" t="inlineStr">
        <is>
          <t>●</t>
        </is>
      </c>
      <c r="BW96" s="208" t="inlineStr">
        <is>
          <t>●</t>
        </is>
      </c>
      <c r="BX96" s="204" t="n"/>
      <c r="BY96" s="205" t="n"/>
      <c r="BZ96" s="205" t="n"/>
      <c r="CA96" s="205" t="n"/>
      <c r="CB96" s="206" t="n"/>
      <c r="CC96" s="207" t="n"/>
      <c r="CD96" s="205" t="inlineStr">
        <is>
          <t>●</t>
        </is>
      </c>
      <c r="CE96" s="205" t="inlineStr">
        <is>
          <t>●</t>
        </is>
      </c>
      <c r="CF96" s="206" t="n"/>
      <c r="CG96" s="160" t="n"/>
    </row>
    <row r="97" ht="13.8" customHeight="1" thickBot="1">
      <c r="A97" s="160" t="n"/>
      <c r="B97" s="220" t="n"/>
      <c r="C97" s="221" t="inlineStr">
        <is>
          <t>K6B</t>
        </is>
      </c>
      <c r="D97" s="210" t="n"/>
      <c r="E97" s="211" t="n"/>
      <c r="F97" s="211" t="n"/>
      <c r="G97" s="211" t="n"/>
      <c r="H97" s="211" t="n"/>
      <c r="I97" s="211" t="n"/>
      <c r="J97" s="211" t="n"/>
      <c r="K97" s="211" t="n"/>
      <c r="L97" s="211" t="n"/>
      <c r="M97" s="211" t="n"/>
      <c r="N97" s="211" t="n"/>
      <c r="O97" s="212" t="n"/>
      <c r="P97" s="213" t="inlineStr">
        <is>
          <t>●</t>
        </is>
      </c>
      <c r="Q97" s="211" t="inlineStr">
        <is>
          <t>●</t>
        </is>
      </c>
      <c r="R97" s="211" t="inlineStr">
        <is>
          <t>●</t>
        </is>
      </c>
      <c r="S97" s="213" t="inlineStr">
        <is>
          <t>●</t>
        </is>
      </c>
      <c r="T97" s="211" t="inlineStr">
        <is>
          <t>●</t>
        </is>
      </c>
      <c r="U97" s="211" t="inlineStr">
        <is>
          <t>●</t>
        </is>
      </c>
      <c r="V97" s="211" t="inlineStr">
        <is>
          <t>●</t>
        </is>
      </c>
      <c r="W97" s="211" t="inlineStr">
        <is>
          <t>●</t>
        </is>
      </c>
      <c r="X97" s="211" t="inlineStr">
        <is>
          <t>●</t>
        </is>
      </c>
      <c r="Y97" s="211" t="inlineStr">
        <is>
          <t>●</t>
        </is>
      </c>
      <c r="Z97" s="211" t="inlineStr">
        <is>
          <t>●</t>
        </is>
      </c>
      <c r="AA97" s="211" t="inlineStr">
        <is>
          <t>●</t>
        </is>
      </c>
      <c r="AB97" s="211" t="inlineStr">
        <is>
          <t>●</t>
        </is>
      </c>
      <c r="AC97" s="213" t="inlineStr">
        <is>
          <t>●</t>
        </is>
      </c>
      <c r="AD97" s="211" t="inlineStr">
        <is>
          <t>●</t>
        </is>
      </c>
      <c r="AE97" s="211" t="inlineStr">
        <is>
          <t>●</t>
        </is>
      </c>
      <c r="AF97" s="211" t="inlineStr">
        <is>
          <t>●</t>
        </is>
      </c>
      <c r="AG97" s="211" t="inlineStr">
        <is>
          <t>●</t>
        </is>
      </c>
      <c r="AH97" s="213" t="inlineStr">
        <is>
          <t>●</t>
        </is>
      </c>
      <c r="AI97" s="211" t="inlineStr">
        <is>
          <t>●</t>
        </is>
      </c>
      <c r="AJ97" s="211" t="inlineStr">
        <is>
          <t>●</t>
        </is>
      </c>
      <c r="AK97" s="211" t="inlineStr">
        <is>
          <t>●</t>
        </is>
      </c>
      <c r="AL97" s="211" t="inlineStr">
        <is>
          <t>●</t>
        </is>
      </c>
      <c r="AM97" s="211" t="inlineStr">
        <is>
          <t>●</t>
        </is>
      </c>
      <c r="AN97" s="211" t="inlineStr">
        <is>
          <t>●</t>
        </is>
      </c>
      <c r="AO97" s="211" t="inlineStr">
        <is>
          <t>●</t>
        </is>
      </c>
      <c r="AP97" s="211" t="inlineStr">
        <is>
          <t>●</t>
        </is>
      </c>
      <c r="AQ97" s="211" t="inlineStr">
        <is>
          <t>●</t>
        </is>
      </c>
      <c r="AR97" s="213" t="inlineStr">
        <is>
          <t>●</t>
        </is>
      </c>
      <c r="AS97" s="211" t="inlineStr">
        <is>
          <t>●</t>
        </is>
      </c>
      <c r="AT97" s="211" t="inlineStr">
        <is>
          <t>●</t>
        </is>
      </c>
      <c r="AU97" s="214" t="inlineStr">
        <is>
          <t>●</t>
        </is>
      </c>
      <c r="AV97" s="211" t="inlineStr">
        <is>
          <t>●</t>
        </is>
      </c>
      <c r="AW97" s="211" t="inlineStr">
        <is>
          <t>●</t>
        </is>
      </c>
      <c r="AX97" s="213" t="inlineStr">
        <is>
          <t>●</t>
        </is>
      </c>
      <c r="AY97" s="211" t="inlineStr">
        <is>
          <t>●</t>
        </is>
      </c>
      <c r="AZ97" s="211" t="n"/>
      <c r="BA97" s="211" t="n"/>
      <c r="BB97" s="211" t="n"/>
      <c r="BC97" s="211" t="n"/>
      <c r="BD97" s="211" t="n"/>
      <c r="BE97" s="211" t="n"/>
      <c r="BF97" s="211" t="inlineStr">
        <is>
          <t>●</t>
        </is>
      </c>
      <c r="BG97" s="211" t="inlineStr">
        <is>
          <t>●</t>
        </is>
      </c>
      <c r="BH97" s="211" t="inlineStr">
        <is>
          <t>●</t>
        </is>
      </c>
      <c r="BI97" s="211" t="inlineStr">
        <is>
          <t>●</t>
        </is>
      </c>
      <c r="BJ97" s="211" t="inlineStr">
        <is>
          <t>●</t>
        </is>
      </c>
      <c r="BK97" s="211" t="inlineStr">
        <is>
          <t>●</t>
        </is>
      </c>
      <c r="BL97" s="213" t="inlineStr">
        <is>
          <t>●</t>
        </is>
      </c>
      <c r="BM97" s="211" t="inlineStr">
        <is>
          <t>●</t>
        </is>
      </c>
      <c r="BN97" s="211" t="inlineStr">
        <is>
          <t>●</t>
        </is>
      </c>
      <c r="BO97" s="211" t="inlineStr">
        <is>
          <t>●</t>
        </is>
      </c>
      <c r="BP97" s="211" t="inlineStr">
        <is>
          <t>●</t>
        </is>
      </c>
      <c r="BQ97" s="211" t="inlineStr">
        <is>
          <t>●</t>
        </is>
      </c>
      <c r="BR97" s="211" t="inlineStr">
        <is>
          <t>●</t>
        </is>
      </c>
      <c r="BS97" s="211" t="inlineStr">
        <is>
          <t>●</t>
        </is>
      </c>
      <c r="BT97" s="211" t="inlineStr">
        <is>
          <t>●</t>
        </is>
      </c>
      <c r="BU97" s="211" t="inlineStr">
        <is>
          <t>●</t>
        </is>
      </c>
      <c r="BV97" s="211" t="inlineStr">
        <is>
          <t>●</t>
        </is>
      </c>
      <c r="BW97" s="214" t="inlineStr">
        <is>
          <t>●</t>
        </is>
      </c>
      <c r="BX97" s="210" t="n"/>
      <c r="BY97" s="211" t="n"/>
      <c r="BZ97" s="211" t="n"/>
      <c r="CA97" s="211" t="n"/>
      <c r="CB97" s="212" t="n"/>
      <c r="CC97" s="213" t="n"/>
      <c r="CD97" s="211" t="inlineStr">
        <is>
          <t>●</t>
        </is>
      </c>
      <c r="CE97" s="211" t="inlineStr">
        <is>
          <t>●</t>
        </is>
      </c>
      <c r="CF97" s="212" t="n"/>
      <c r="CG97" s="160" t="n"/>
    </row>
    <row r="98" ht="13.8" customHeight="1" thickBot="1">
      <c r="A98" s="160" t="n"/>
      <c r="B98" s="222" t="inlineStr">
        <is>
          <t>消費税が発生しない勘定科目用</t>
        </is>
      </c>
      <c r="C98" s="223" t="inlineStr">
        <is>
          <t>04C</t>
        </is>
      </c>
      <c r="D98" s="224" t="n"/>
      <c r="E98" s="225" t="n"/>
      <c r="F98" s="225" t="n"/>
      <c r="G98" s="225" t="n"/>
      <c r="H98" s="225" t="n"/>
      <c r="I98" s="225" t="n"/>
      <c r="J98" s="225" t="n"/>
      <c r="K98" s="225" t="n"/>
      <c r="L98" s="225" t="n"/>
      <c r="M98" s="225" t="n"/>
      <c r="N98" s="225" t="n"/>
      <c r="O98" s="226" t="n"/>
      <c r="P98" s="227" t="n"/>
      <c r="Q98" s="225" t="n"/>
      <c r="R98" s="225" t="n"/>
      <c r="S98" s="227" t="n"/>
      <c r="T98" s="225" t="n"/>
      <c r="U98" s="225" t="n"/>
      <c r="V98" s="225" t="n"/>
      <c r="W98" s="225" t="n"/>
      <c r="X98" s="225" t="n"/>
      <c r="Y98" s="225" t="n"/>
      <c r="Z98" s="225" t="n"/>
      <c r="AA98" s="225" t="n"/>
      <c r="AB98" s="225" t="n"/>
      <c r="AC98" s="227" t="n"/>
      <c r="AD98" s="225" t="n"/>
      <c r="AE98" s="225" t="n"/>
      <c r="AF98" s="225" t="n"/>
      <c r="AG98" s="225" t="n"/>
      <c r="AH98" s="227" t="n"/>
      <c r="AI98" s="225" t="n"/>
      <c r="AJ98" s="225" t="n"/>
      <c r="AK98" s="225" t="n"/>
      <c r="AL98" s="225" t="n"/>
      <c r="AM98" s="225" t="n"/>
      <c r="AN98" s="225" t="n"/>
      <c r="AO98" s="225" t="n"/>
      <c r="AP98" s="225" t="n"/>
      <c r="AQ98" s="225" t="n"/>
      <c r="AR98" s="227" t="n"/>
      <c r="AS98" s="225" t="n"/>
      <c r="AT98" s="225" t="n"/>
      <c r="AU98" s="223" t="n"/>
      <c r="AV98" s="225" t="n"/>
      <c r="AW98" s="225" t="n"/>
      <c r="AX98" s="227" t="n"/>
      <c r="AY98" s="225" t="n"/>
      <c r="AZ98" s="225" t="n"/>
      <c r="BA98" s="225" t="n"/>
      <c r="BB98" s="225" t="n"/>
      <c r="BC98" s="225" t="n"/>
      <c r="BD98" s="225" t="n"/>
      <c r="BE98" s="225" t="n"/>
      <c r="BF98" s="225" t="n"/>
      <c r="BG98" s="225" t="n"/>
      <c r="BH98" s="225" t="n"/>
      <c r="BI98" s="225" t="n"/>
      <c r="BJ98" s="225" t="n"/>
      <c r="BK98" s="225" t="n"/>
      <c r="BL98" s="227" t="n"/>
      <c r="BM98" s="225" t="n"/>
      <c r="BN98" s="225" t="n"/>
      <c r="BO98" s="225" t="n"/>
      <c r="BP98" s="225" t="n"/>
      <c r="BQ98" s="225" t="n"/>
      <c r="BR98" s="225" t="n"/>
      <c r="BS98" s="225" t="n"/>
      <c r="BT98" s="225" t="n"/>
      <c r="BU98" s="225" t="n"/>
      <c r="BV98" s="225" t="n"/>
      <c r="BW98" s="223" t="n"/>
      <c r="BX98" s="224" t="n"/>
      <c r="BY98" s="225" t="n"/>
      <c r="BZ98" s="225" t="n"/>
      <c r="CA98" s="225" t="n"/>
      <c r="CB98" s="226" t="n"/>
      <c r="CC98" s="227" t="n"/>
      <c r="CD98" s="225" t="n"/>
      <c r="CE98" s="225" t="inlineStr">
        <is>
          <t>●</t>
        </is>
      </c>
      <c r="CF98" s="226" t="n"/>
      <c r="CG98" s="160" t="n"/>
    </row>
    <row r="99">
      <c r="A99" s="160" t="n"/>
      <c r="B99" s="228" t="inlineStr">
        <is>
          <t>貸倒用の税金グループ</t>
        </is>
      </c>
      <c r="C99" s="229" t="inlineStr">
        <is>
          <t>04D</t>
        </is>
      </c>
      <c r="D99" s="197" t="n"/>
      <c r="E99" s="198" t="n"/>
      <c r="F99" s="198" t="n"/>
      <c r="G99" s="198" t="n"/>
      <c r="H99" s="198" t="n"/>
      <c r="I99" s="198" t="n"/>
      <c r="J99" s="198" t="n"/>
      <c r="K99" s="198" t="n"/>
      <c r="L99" s="198" t="n"/>
      <c r="M99" s="198" t="n"/>
      <c r="N99" s="198" t="n"/>
      <c r="O99" s="199" t="n"/>
      <c r="P99" s="200" t="n"/>
      <c r="Q99" s="198" t="n"/>
      <c r="R99" s="198" t="n"/>
      <c r="S99" s="200" t="n"/>
      <c r="T99" s="198" t="n"/>
      <c r="U99" s="198" t="n"/>
      <c r="V99" s="198" t="n"/>
      <c r="W99" s="198" t="n"/>
      <c r="X99" s="198" t="n"/>
      <c r="Y99" s="198" t="n"/>
      <c r="Z99" s="198" t="n"/>
      <c r="AA99" s="198" t="n"/>
      <c r="AB99" s="198" t="n"/>
      <c r="AC99" s="200" t="n"/>
      <c r="AD99" s="198" t="n"/>
      <c r="AE99" s="198" t="n"/>
      <c r="AF99" s="198" t="n"/>
      <c r="AG99" s="198" t="n"/>
      <c r="AH99" s="200" t="n"/>
      <c r="AI99" s="198" t="n"/>
      <c r="AJ99" s="198" t="n"/>
      <c r="AK99" s="198" t="n"/>
      <c r="AL99" s="198" t="n"/>
      <c r="AM99" s="198" t="n"/>
      <c r="AN99" s="198" t="n"/>
      <c r="AO99" s="198" t="n"/>
      <c r="AP99" s="198" t="n"/>
      <c r="AQ99" s="198" t="n"/>
      <c r="AR99" s="200" t="n"/>
      <c r="AS99" s="198" t="n"/>
      <c r="AT99" s="198" t="n"/>
      <c r="AU99" s="201" t="n"/>
      <c r="AV99" s="198" t="n"/>
      <c r="AW99" s="198" t="n"/>
      <c r="AX99" s="200" t="n"/>
      <c r="AY99" s="198" t="n"/>
      <c r="AZ99" s="198" t="n"/>
      <c r="BA99" s="198" t="n"/>
      <c r="BB99" s="198" t="n"/>
      <c r="BC99" s="198" t="n"/>
      <c r="BD99" s="198" t="n"/>
      <c r="BE99" s="198" t="n"/>
      <c r="BF99" s="198" t="n"/>
      <c r="BG99" s="198" t="n"/>
      <c r="BH99" s="198" t="n"/>
      <c r="BI99" s="198" t="n"/>
      <c r="BJ99" s="198" t="n"/>
      <c r="BK99" s="198" t="n"/>
      <c r="BL99" s="200" t="n"/>
      <c r="BM99" s="198" t="n"/>
      <c r="BN99" s="198" t="n"/>
      <c r="BO99" s="198" t="n"/>
      <c r="BP99" s="198" t="n"/>
      <c r="BQ99" s="198" t="n"/>
      <c r="BR99" s="198" t="n"/>
      <c r="BS99" s="198" t="n"/>
      <c r="BT99" s="198" t="n"/>
      <c r="BU99" s="198" t="n"/>
      <c r="BV99" s="198" t="n"/>
      <c r="BW99" s="201" t="n"/>
      <c r="BX99" s="197" t="n"/>
      <c r="BY99" s="198" t="n"/>
      <c r="BZ99" s="198" t="n"/>
      <c r="CA99" s="198" t="n"/>
      <c r="CB99" s="199" t="n"/>
      <c r="CC99" s="200" t="n"/>
      <c r="CD99" s="198" t="n"/>
      <c r="CE99" s="198" t="inlineStr">
        <is>
          <t>●</t>
        </is>
      </c>
      <c r="CF99" s="199" t="inlineStr">
        <is>
          <t>●</t>
        </is>
      </c>
      <c r="CG99" s="160" t="n"/>
    </row>
    <row r="100">
      <c r="A100" s="160" t="n"/>
      <c r="B100" s="230" t="inlineStr">
        <is>
          <t>貸倒損失の勘定科目⇒</t>
        </is>
      </c>
      <c r="C100" s="231" t="inlineStr">
        <is>
          <t>44D</t>
        </is>
      </c>
      <c r="D100" s="204" t="n"/>
      <c r="E100" s="205" t="n"/>
      <c r="F100" s="205" t="n"/>
      <c r="G100" s="205" t="n"/>
      <c r="H100" s="205" t="n"/>
      <c r="I100" s="205" t="n"/>
      <c r="J100" s="205" t="n"/>
      <c r="K100" s="205" t="n"/>
      <c r="L100" s="205" t="n"/>
      <c r="M100" s="205" t="n"/>
      <c r="N100" s="205" t="n"/>
      <c r="O100" s="206" t="n"/>
      <c r="P100" s="207" t="n"/>
      <c r="Q100" s="205" t="n"/>
      <c r="R100" s="205" t="n"/>
      <c r="S100" s="207" t="n"/>
      <c r="T100" s="205" t="n"/>
      <c r="U100" s="205" t="n"/>
      <c r="V100" s="205" t="n"/>
      <c r="W100" s="205" t="n"/>
      <c r="X100" s="205" t="n"/>
      <c r="Y100" s="205" t="n"/>
      <c r="Z100" s="205" t="n"/>
      <c r="AA100" s="205" t="n"/>
      <c r="AB100" s="205" t="n"/>
      <c r="AC100" s="207" t="n"/>
      <c r="AD100" s="205" t="n"/>
      <c r="AE100" s="205" t="n"/>
      <c r="AF100" s="205" t="n"/>
      <c r="AG100" s="205" t="n"/>
      <c r="AH100" s="207" t="n"/>
      <c r="AI100" s="205" t="n"/>
      <c r="AJ100" s="205" t="n"/>
      <c r="AK100" s="205" t="n"/>
      <c r="AL100" s="205" t="n"/>
      <c r="AM100" s="205" t="n"/>
      <c r="AN100" s="205" t="n"/>
      <c r="AO100" s="205" t="n"/>
      <c r="AP100" s="205" t="n"/>
      <c r="AQ100" s="205" t="n"/>
      <c r="AR100" s="207" t="n"/>
      <c r="AS100" s="205" t="n"/>
      <c r="AT100" s="205" t="n"/>
      <c r="AU100" s="208" t="n"/>
      <c r="AV100" s="205" t="n"/>
      <c r="AW100" s="205" t="n"/>
      <c r="AX100" s="207" t="n"/>
      <c r="AY100" s="205" t="n"/>
      <c r="AZ100" s="205" t="n"/>
      <c r="BA100" s="205" t="n"/>
      <c r="BB100" s="205" t="n"/>
      <c r="BC100" s="205" t="n"/>
      <c r="BD100" s="205" t="n"/>
      <c r="BE100" s="205" t="n"/>
      <c r="BF100" s="205" t="n"/>
      <c r="BG100" s="205" t="n"/>
      <c r="BH100" s="205" t="n"/>
      <c r="BI100" s="205" t="n"/>
      <c r="BJ100" s="205" t="n"/>
      <c r="BK100" s="205" t="n"/>
      <c r="BL100" s="207" t="n"/>
      <c r="BM100" s="205" t="n"/>
      <c r="BN100" s="205" t="n"/>
      <c r="BO100" s="205" t="n"/>
      <c r="BP100" s="205" t="n"/>
      <c r="BQ100" s="205" t="n"/>
      <c r="BR100" s="205" t="n"/>
      <c r="BS100" s="205" t="n"/>
      <c r="BT100" s="205" t="n"/>
      <c r="BU100" s="205" t="n"/>
      <c r="BV100" s="205" t="n"/>
      <c r="BW100" s="208" t="n"/>
      <c r="BX100" s="204" t="inlineStr">
        <is>
          <t>●</t>
        </is>
      </c>
      <c r="BY100" s="205" t="inlineStr">
        <is>
          <t>●</t>
        </is>
      </c>
      <c r="BZ100" s="205" t="inlineStr">
        <is>
          <t>●</t>
        </is>
      </c>
      <c r="CA100" s="205" t="inlineStr">
        <is>
          <t>●</t>
        </is>
      </c>
      <c r="CB100" s="206" t="inlineStr">
        <is>
          <t>●</t>
        </is>
      </c>
      <c r="CC100" s="207" t="n"/>
      <c r="CD100" s="205" t="n"/>
      <c r="CE100" s="205" t="inlineStr">
        <is>
          <t>●</t>
        </is>
      </c>
      <c r="CF100" s="206" t="inlineStr">
        <is>
          <t>●</t>
        </is>
      </c>
      <c r="CG100" s="160" t="n"/>
    </row>
    <row r="101" ht="13.8" customHeight="1" thickBot="1">
      <c r="A101" s="160" t="n"/>
      <c r="B101" s="232" t="n"/>
      <c r="C101" s="233" t="inlineStr">
        <is>
          <t>64D</t>
        </is>
      </c>
      <c r="D101" s="210" t="n"/>
      <c r="E101" s="211" t="n"/>
      <c r="F101" s="211" t="n"/>
      <c r="G101" s="211" t="n"/>
      <c r="H101" s="211" t="n"/>
      <c r="I101" s="211" t="n"/>
      <c r="J101" s="211" t="n"/>
      <c r="K101" s="211" t="n"/>
      <c r="L101" s="211" t="n"/>
      <c r="M101" s="211" t="n"/>
      <c r="N101" s="211" t="n"/>
      <c r="O101" s="212" t="n"/>
      <c r="P101" s="213" t="n"/>
      <c r="Q101" s="211" t="n"/>
      <c r="R101" s="211" t="n"/>
      <c r="S101" s="213" t="n"/>
      <c r="T101" s="211" t="n"/>
      <c r="U101" s="211" t="n"/>
      <c r="V101" s="211" t="n"/>
      <c r="W101" s="211" t="n"/>
      <c r="X101" s="211" t="n"/>
      <c r="Y101" s="211" t="n"/>
      <c r="Z101" s="211" t="n"/>
      <c r="AA101" s="211" t="n"/>
      <c r="AB101" s="211" t="n"/>
      <c r="AC101" s="213" t="n"/>
      <c r="AD101" s="211" t="n"/>
      <c r="AE101" s="211" t="n"/>
      <c r="AF101" s="211" t="n"/>
      <c r="AG101" s="211" t="n"/>
      <c r="AH101" s="213" t="n"/>
      <c r="AI101" s="211" t="n"/>
      <c r="AJ101" s="211" t="n"/>
      <c r="AK101" s="211" t="n"/>
      <c r="AL101" s="211" t="n"/>
      <c r="AM101" s="211" t="n"/>
      <c r="AN101" s="211" t="n"/>
      <c r="AO101" s="211" t="n"/>
      <c r="AP101" s="211" t="n"/>
      <c r="AQ101" s="211" t="n"/>
      <c r="AR101" s="213" t="n"/>
      <c r="AS101" s="211" t="n"/>
      <c r="AT101" s="211" t="n"/>
      <c r="AU101" s="214" t="n"/>
      <c r="AV101" s="211" t="n"/>
      <c r="AW101" s="211" t="n"/>
      <c r="AX101" s="213" t="n"/>
      <c r="AY101" s="211" t="n"/>
      <c r="AZ101" s="211" t="n"/>
      <c r="BA101" s="211" t="n"/>
      <c r="BB101" s="211" t="n"/>
      <c r="BC101" s="211" t="n"/>
      <c r="BD101" s="211" t="n"/>
      <c r="BE101" s="211" t="n"/>
      <c r="BF101" s="211" t="n"/>
      <c r="BG101" s="211" t="n"/>
      <c r="BH101" s="211" t="n"/>
      <c r="BI101" s="211" t="n"/>
      <c r="BJ101" s="211" t="n"/>
      <c r="BK101" s="211" t="n"/>
      <c r="BL101" s="213" t="n"/>
      <c r="BM101" s="211" t="n"/>
      <c r="BN101" s="211" t="n"/>
      <c r="BO101" s="211" t="n"/>
      <c r="BP101" s="211" t="n"/>
      <c r="BQ101" s="211" t="n"/>
      <c r="BR101" s="211" t="n"/>
      <c r="BS101" s="211" t="n"/>
      <c r="BT101" s="211" t="n"/>
      <c r="BU101" s="211" t="n"/>
      <c r="BV101" s="211" t="n"/>
      <c r="BW101" s="214" t="n"/>
      <c r="BX101" s="210" t="inlineStr">
        <is>
          <t>●</t>
        </is>
      </c>
      <c r="BY101" s="211" t="inlineStr">
        <is>
          <t>●</t>
        </is>
      </c>
      <c r="BZ101" s="211" t="inlineStr">
        <is>
          <t>●</t>
        </is>
      </c>
      <c r="CA101" s="211" t="inlineStr">
        <is>
          <t>●</t>
        </is>
      </c>
      <c r="CB101" s="212" t="inlineStr">
        <is>
          <t>●</t>
        </is>
      </c>
      <c r="CC101" s="213" t="n"/>
      <c r="CD101" s="211" t="n"/>
      <c r="CE101" s="211" t="inlineStr">
        <is>
          <t>●</t>
        </is>
      </c>
      <c r="CF101" s="212" t="inlineStr">
        <is>
          <t>●</t>
        </is>
      </c>
      <c r="CG101" s="160" t="n"/>
    </row>
    <row r="102" ht="40.2" customHeight="1" thickBot="1">
      <c r="A102" s="160" t="n"/>
      <c r="B102" s="234" t="inlineStr">
        <is>
          <t>※サービスでは選択不可
エラー勘定用(各社で選択不可)</t>
        </is>
      </c>
      <c r="C102" s="235" t="inlineStr">
        <is>
          <t>ALL</t>
        </is>
      </c>
      <c r="D102" s="236" t="inlineStr">
        <is>
          <t>●</t>
        </is>
      </c>
      <c r="E102" s="237" t="inlineStr">
        <is>
          <t>●</t>
        </is>
      </c>
      <c r="F102" s="237" t="inlineStr">
        <is>
          <t>●</t>
        </is>
      </c>
      <c r="G102" s="237" t="inlineStr">
        <is>
          <t>●</t>
        </is>
      </c>
      <c r="H102" s="237" t="inlineStr">
        <is>
          <t>●</t>
        </is>
      </c>
      <c r="I102" s="237" t="inlineStr">
        <is>
          <t>●</t>
        </is>
      </c>
      <c r="J102" s="237" t="inlineStr">
        <is>
          <t>●</t>
        </is>
      </c>
      <c r="K102" s="237" t="inlineStr">
        <is>
          <t>●</t>
        </is>
      </c>
      <c r="L102" s="237" t="inlineStr">
        <is>
          <t>●</t>
        </is>
      </c>
      <c r="M102" s="237" t="inlineStr">
        <is>
          <t>●</t>
        </is>
      </c>
      <c r="N102" s="237" t="inlineStr">
        <is>
          <t>●</t>
        </is>
      </c>
      <c r="O102" s="238" t="inlineStr">
        <is>
          <t>●</t>
        </is>
      </c>
      <c r="P102" s="239" t="inlineStr">
        <is>
          <t>●</t>
        </is>
      </c>
      <c r="Q102" s="237" t="inlineStr">
        <is>
          <t>●</t>
        </is>
      </c>
      <c r="R102" s="237" t="inlineStr">
        <is>
          <t>●</t>
        </is>
      </c>
      <c r="S102" s="239" t="inlineStr">
        <is>
          <t>●</t>
        </is>
      </c>
      <c r="T102" s="237" t="inlineStr">
        <is>
          <t>●</t>
        </is>
      </c>
      <c r="U102" s="237" t="inlineStr">
        <is>
          <t>●</t>
        </is>
      </c>
      <c r="V102" s="237" t="inlineStr">
        <is>
          <t>●</t>
        </is>
      </c>
      <c r="W102" s="237" t="inlineStr">
        <is>
          <t>●</t>
        </is>
      </c>
      <c r="X102" s="237" t="inlineStr">
        <is>
          <t>●</t>
        </is>
      </c>
      <c r="Y102" s="237" t="inlineStr">
        <is>
          <t>●</t>
        </is>
      </c>
      <c r="Z102" s="237" t="inlineStr">
        <is>
          <t>●</t>
        </is>
      </c>
      <c r="AA102" s="237" t="inlineStr">
        <is>
          <t>●</t>
        </is>
      </c>
      <c r="AB102" s="237" t="inlineStr">
        <is>
          <t>●</t>
        </is>
      </c>
      <c r="AC102" s="239" t="inlineStr">
        <is>
          <t>●</t>
        </is>
      </c>
      <c r="AD102" s="237" t="inlineStr">
        <is>
          <t>●</t>
        </is>
      </c>
      <c r="AE102" s="237" t="inlineStr">
        <is>
          <t>●</t>
        </is>
      </c>
      <c r="AF102" s="237" t="inlineStr">
        <is>
          <t>●</t>
        </is>
      </c>
      <c r="AG102" s="237" t="inlineStr">
        <is>
          <t>●</t>
        </is>
      </c>
      <c r="AH102" s="239" t="inlineStr">
        <is>
          <t>●</t>
        </is>
      </c>
      <c r="AI102" s="237" t="inlineStr">
        <is>
          <t>●</t>
        </is>
      </c>
      <c r="AJ102" s="237" t="inlineStr">
        <is>
          <t>●</t>
        </is>
      </c>
      <c r="AK102" s="237" t="inlineStr">
        <is>
          <t>●</t>
        </is>
      </c>
      <c r="AL102" s="237" t="inlineStr">
        <is>
          <t>●</t>
        </is>
      </c>
      <c r="AM102" s="237" t="inlineStr">
        <is>
          <t>●</t>
        </is>
      </c>
      <c r="AN102" s="237" t="inlineStr">
        <is>
          <t>●</t>
        </is>
      </c>
      <c r="AO102" s="237" t="inlineStr">
        <is>
          <t>●</t>
        </is>
      </c>
      <c r="AP102" s="237" t="inlineStr">
        <is>
          <t>●</t>
        </is>
      </c>
      <c r="AQ102" s="237" t="inlineStr">
        <is>
          <t>●</t>
        </is>
      </c>
      <c r="AR102" s="239" t="inlineStr">
        <is>
          <t>●</t>
        </is>
      </c>
      <c r="AS102" s="237" t="inlineStr">
        <is>
          <t>●</t>
        </is>
      </c>
      <c r="AT102" s="237" t="inlineStr">
        <is>
          <t>●</t>
        </is>
      </c>
      <c r="AU102" s="235" t="inlineStr">
        <is>
          <t>●</t>
        </is>
      </c>
      <c r="AV102" s="237" t="inlineStr">
        <is>
          <t>●</t>
        </is>
      </c>
      <c r="AW102" s="237" t="inlineStr">
        <is>
          <t>●</t>
        </is>
      </c>
      <c r="AX102" s="239" t="inlineStr">
        <is>
          <t>●</t>
        </is>
      </c>
      <c r="AY102" s="237" t="inlineStr">
        <is>
          <t>●</t>
        </is>
      </c>
      <c r="AZ102" s="237" t="inlineStr">
        <is>
          <t>●</t>
        </is>
      </c>
      <c r="BA102" s="237" t="inlineStr">
        <is>
          <t>●</t>
        </is>
      </c>
      <c r="BB102" s="237" t="inlineStr">
        <is>
          <t>●</t>
        </is>
      </c>
      <c r="BC102" s="237" t="inlineStr">
        <is>
          <t>●</t>
        </is>
      </c>
      <c r="BD102" s="237" t="inlineStr">
        <is>
          <t>●</t>
        </is>
      </c>
      <c r="BE102" s="237" t="inlineStr">
        <is>
          <t>●</t>
        </is>
      </c>
      <c r="BF102" s="237" t="inlineStr">
        <is>
          <t>●</t>
        </is>
      </c>
      <c r="BG102" s="237" t="inlineStr">
        <is>
          <t>●</t>
        </is>
      </c>
      <c r="BH102" s="237" t="inlineStr">
        <is>
          <t>●</t>
        </is>
      </c>
      <c r="BI102" s="237" t="inlineStr">
        <is>
          <t>●</t>
        </is>
      </c>
      <c r="BJ102" s="237" t="inlineStr">
        <is>
          <t>●</t>
        </is>
      </c>
      <c r="BK102" s="237" t="inlineStr">
        <is>
          <t>●</t>
        </is>
      </c>
      <c r="BL102" s="239" t="inlineStr">
        <is>
          <t>●</t>
        </is>
      </c>
      <c r="BM102" s="237" t="inlineStr">
        <is>
          <t>●</t>
        </is>
      </c>
      <c r="BN102" s="237" t="inlineStr">
        <is>
          <t>●</t>
        </is>
      </c>
      <c r="BO102" s="237" t="inlineStr">
        <is>
          <t>●</t>
        </is>
      </c>
      <c r="BP102" s="237" t="inlineStr">
        <is>
          <t>●</t>
        </is>
      </c>
      <c r="BQ102" s="237" t="inlineStr">
        <is>
          <t>●</t>
        </is>
      </c>
      <c r="BR102" s="237" t="inlineStr">
        <is>
          <t>●</t>
        </is>
      </c>
      <c r="BS102" s="237" t="inlineStr">
        <is>
          <t>●</t>
        </is>
      </c>
      <c r="BT102" s="237" t="inlineStr">
        <is>
          <t>●</t>
        </is>
      </c>
      <c r="BU102" s="237" t="inlineStr">
        <is>
          <t>●</t>
        </is>
      </c>
      <c r="BV102" s="237" t="inlineStr">
        <is>
          <t>●</t>
        </is>
      </c>
      <c r="BW102" s="235" t="inlineStr">
        <is>
          <t>●</t>
        </is>
      </c>
      <c r="BX102" s="236" t="inlineStr">
        <is>
          <t>●</t>
        </is>
      </c>
      <c r="BY102" s="237" t="inlineStr">
        <is>
          <t>●</t>
        </is>
      </c>
      <c r="BZ102" s="237" t="inlineStr">
        <is>
          <t>●</t>
        </is>
      </c>
      <c r="CA102" s="237" t="inlineStr">
        <is>
          <t>●</t>
        </is>
      </c>
      <c r="CB102" s="238" t="inlineStr">
        <is>
          <t>●</t>
        </is>
      </c>
      <c r="CC102" s="239" t="inlineStr">
        <is>
          <t>●</t>
        </is>
      </c>
      <c r="CD102" s="237" t="inlineStr">
        <is>
          <t>●</t>
        </is>
      </c>
      <c r="CE102" s="237" t="inlineStr">
        <is>
          <t>●</t>
        </is>
      </c>
      <c r="CF102" s="238" t="inlineStr">
        <is>
          <t>●</t>
        </is>
      </c>
      <c r="CG102" s="160" t="n"/>
    </row>
    <row r="103">
      <c r="A103" s="160" t="n"/>
      <c r="B103" s="160" t="n"/>
      <c r="C103" s="160" t="n"/>
      <c r="D103" s="160" t="n"/>
      <c r="E103" s="160" t="n"/>
      <c r="F103" s="160" t="n"/>
      <c r="G103" s="160" t="n"/>
      <c r="H103" s="160" t="n"/>
      <c r="I103" s="160" t="n"/>
      <c r="J103" s="160" t="n"/>
      <c r="K103" s="160" t="n"/>
      <c r="L103" s="160" t="n"/>
      <c r="M103" s="160" t="n"/>
      <c r="N103" s="160" t="n"/>
      <c r="O103" s="160" t="n"/>
      <c r="P103" s="160" t="n"/>
      <c r="Q103" s="160" t="n"/>
      <c r="R103" s="160" t="n"/>
      <c r="S103" s="160" t="n"/>
      <c r="T103" s="160" t="n"/>
      <c r="U103" s="160" t="n"/>
      <c r="V103" s="160" t="n"/>
      <c r="W103" s="160" t="n"/>
      <c r="X103" s="160" t="n"/>
      <c r="Y103" s="160" t="n"/>
      <c r="Z103" s="160" t="n"/>
      <c r="AA103" s="160" t="n"/>
      <c r="AB103" s="160" t="n"/>
      <c r="AC103" s="160" t="n"/>
      <c r="AD103" s="160" t="n"/>
      <c r="AE103" s="160" t="n"/>
      <c r="AF103" s="160" t="n"/>
      <c r="AG103" s="160" t="n"/>
      <c r="AH103" s="160" t="n"/>
      <c r="AI103" s="160" t="n"/>
      <c r="AJ103" s="160" t="n"/>
      <c r="AK103" s="160" t="n"/>
      <c r="AL103" s="160" t="n"/>
      <c r="AM103" s="160" t="n"/>
      <c r="AN103" s="160" t="n"/>
      <c r="AO103" s="160" t="n"/>
      <c r="AP103" s="160" t="n"/>
      <c r="AQ103" s="160" t="n"/>
      <c r="AR103" s="160" t="n"/>
      <c r="AS103" s="160" t="n"/>
      <c r="AT103" s="160" t="n"/>
      <c r="AU103" s="160" t="n"/>
      <c r="AV103" s="160" t="n"/>
      <c r="AW103" s="160" t="n"/>
      <c r="AX103" s="160" t="n"/>
      <c r="AY103" s="160" t="n"/>
      <c r="AZ103" s="160" t="n"/>
      <c r="BA103" s="160" t="n"/>
      <c r="BB103" s="160" t="n"/>
      <c r="BC103" s="160" t="n"/>
      <c r="BD103" s="160" t="n"/>
      <c r="BE103" s="160" t="n"/>
      <c r="BF103" s="160" t="n"/>
      <c r="BG103" s="160" t="n"/>
      <c r="BH103" s="160" t="n"/>
      <c r="BI103" s="160" t="n"/>
      <c r="BJ103" s="160" t="n"/>
      <c r="BK103" s="160" t="n"/>
      <c r="BL103" s="160" t="n"/>
      <c r="BM103" s="160" t="n"/>
      <c r="BN103" s="160" t="n"/>
      <c r="BO103" s="160" t="n"/>
      <c r="BP103" s="160" t="n"/>
      <c r="BQ103" s="160" t="n"/>
      <c r="BR103" s="160" t="n"/>
      <c r="BS103" s="160" t="n"/>
      <c r="BT103" s="160" t="n"/>
      <c r="BU103" s="160" t="n"/>
      <c r="BV103" s="160" t="n"/>
      <c r="BW103" s="160" t="n"/>
      <c r="BX103" s="160" t="n"/>
      <c r="BY103" s="160" t="n"/>
      <c r="BZ103" s="160" t="n"/>
      <c r="CA103" s="160" t="n"/>
      <c r="CB103" s="160" t="n"/>
      <c r="CC103" s="160" t="n"/>
      <c r="CD103" s="160" t="n"/>
      <c r="CE103" s="160" t="n"/>
      <c r="CF103" s="160" t="n"/>
      <c r="CG103" s="160" t="n"/>
    </row>
  </sheetData>
  <sheetProtection selectLockedCells="0" selectUnlockedCells="0" algorithmName="SHA-512" sheet="1" objects="1" insertRows="1" insertHyperlinks="1" autoFilter="1" scenarios="1" formatColumns="1" deleteColumns="1" insertColumns="1" pivotTables="1" deleteRows="1" formatCells="1" saltValue="jfxh+5EHoukS140YJLnhtw==" formatRows="1" sort="1" spinCount="100000" hashValue="vdgJGf/R5lKJGYGCQ2nLeSdAaDU14yzS3/KYtLHhypGOxBr2sKY5XCfx0cX2Zlflo3cAGyjf14fB2ddi+hH+kw=="/>
  <mergeCells count="28">
    <mergeCell ref="AX4:AY4"/>
    <mergeCell ref="AE4:AI4"/>
    <mergeCell ref="P4:T4"/>
    <mergeCell ref="B7:C7"/>
    <mergeCell ref="BF4:BH4"/>
    <mergeCell ref="BP4:BQ4"/>
    <mergeCell ref="BV4:BW4"/>
    <mergeCell ref="BX4:CB4"/>
    <mergeCell ref="BI4:BK4"/>
    <mergeCell ref="AT4:AU4"/>
    <mergeCell ref="AZ4:BA4"/>
    <mergeCell ref="BB4:BC4"/>
    <mergeCell ref="BD4:BE4"/>
    <mergeCell ref="BL4:BM4"/>
    <mergeCell ref="BN4:BO4"/>
    <mergeCell ref="D4:H4"/>
    <mergeCell ref="AO4:AS4"/>
    <mergeCell ref="I4:M4"/>
    <mergeCell ref="B6:C6"/>
    <mergeCell ref="BR4:BS4"/>
    <mergeCell ref="Z4:AD4"/>
    <mergeCell ref="BT4:BU4"/>
    <mergeCell ref="AJ4:AN4"/>
    <mergeCell ref="B4:C4"/>
    <mergeCell ref="B5:C5"/>
    <mergeCell ref="CC4:CF4"/>
    <mergeCell ref="U4:Y4"/>
    <mergeCell ref="AV4:AW4"/>
  </mergeCells>
  <pageMargins left="0.7" right="0.7" top="0.75" bottom="0.75" header="0.3" footer="0.3"/>
</worksheet>
</file>

<file path=xl/worksheets/sheet6.xml><?xml version="1.0" encoding="utf-8"?>
<worksheet xmlns="http://schemas.openxmlformats.org/spreadsheetml/2006/main">
  <sheetPr codeName="Sheet5">
    <tabColor theme="5" tint="0.5999938962981048"/>
    <outlinePr summaryBelow="1" summaryRight="1"/>
    <pageSetUpPr/>
  </sheetPr>
  <dimension ref="A1:AQ103"/>
  <sheetViews>
    <sheetView zoomScaleNormal="100" workbookViewId="0">
      <pane xSplit="3" ySplit="7" topLeftCell="D8" activePane="bottomRight" state="frozen"/>
      <selection activeCell="O32" sqref="O32"/>
      <selection pane="topRight" activeCell="O32" sqref="O32"/>
      <selection pane="bottomLeft" activeCell="O32" sqref="O32"/>
      <selection pane="bottomRight" activeCell="D8" sqref="D8"/>
    </sheetView>
  </sheetViews>
  <sheetFormatPr baseColWidth="8" defaultRowHeight="13.2"/>
  <cols>
    <col width="3" customWidth="1" min="1" max="1"/>
    <col width="26.21875" customWidth="1" min="2" max="2"/>
    <col width="5.44140625" customWidth="1" min="3" max="3"/>
    <col width="6.44140625" customWidth="1" min="4" max="13"/>
    <col width="8.21875" customWidth="1" min="14" max="15"/>
    <col width="6.44140625" customWidth="1" min="16" max="25"/>
    <col width="10" customWidth="1" min="26" max="33"/>
    <col width="6.44140625" customWidth="1" min="34" max="38"/>
    <col width="9.44140625" customWidth="1" min="39" max="42"/>
  </cols>
  <sheetData>
    <row r="1" ht="14.4" customHeight="1">
      <c r="A1" s="167" t="inlineStr">
        <is>
          <t>■個別消費税が「個別（変換方式）」「一括比例方式」の会社で利用可能な税金グループ/税金コードの組合せ</t>
        </is>
      </c>
    </row>
    <row r="3" ht="13.8" customHeight="1" thickBot="1">
      <c r="A3" s="160" t="n"/>
      <c r="B3" s="160" t="n"/>
      <c r="C3" s="160" t="n"/>
      <c r="D3" s="160" t="inlineStr">
        <is>
          <t>●が利用可能な税金コード</t>
        </is>
      </c>
      <c r="E3" s="160" t="n"/>
      <c r="F3" s="160" t="n"/>
      <c r="G3" s="160" t="n"/>
      <c r="H3" s="160" t="n"/>
      <c r="I3" s="160" t="n"/>
      <c r="J3" s="160" t="n"/>
      <c r="K3" s="160" t="n"/>
      <c r="L3" s="160" t="n"/>
      <c r="M3" s="160" t="n"/>
      <c r="N3" s="160" t="n"/>
      <c r="O3" s="160" t="n"/>
      <c r="P3" s="160" t="n"/>
      <c r="Q3" s="160" t="n"/>
      <c r="R3" s="160" t="n"/>
      <c r="S3" s="160" t="n"/>
      <c r="T3" s="160" t="n"/>
      <c r="U3" s="160" t="n"/>
      <c r="V3" s="160" t="n"/>
      <c r="W3" s="160" t="n"/>
      <c r="X3" s="160" t="n"/>
      <c r="Y3" s="160" t="n"/>
      <c r="Z3" s="160" t="n"/>
      <c r="AA3" s="160" t="n"/>
      <c r="AB3" s="160" t="n"/>
      <c r="AC3" s="160" t="n"/>
      <c r="AD3" s="160" t="n"/>
      <c r="AE3" s="160" t="n"/>
      <c r="AF3" s="160" t="n"/>
      <c r="AG3" s="160" t="n"/>
      <c r="AH3" s="160" t="n"/>
      <c r="AI3" s="160" t="n"/>
      <c r="AJ3" s="160" t="n"/>
      <c r="AK3" s="160" t="n"/>
      <c r="AL3" s="160" t="n"/>
      <c r="AM3" s="160" t="n"/>
      <c r="AN3" s="160" t="n"/>
      <c r="AO3" s="160" t="n"/>
      <c r="AP3" s="160" t="n"/>
      <c r="AQ3" s="160" t="n"/>
    </row>
    <row r="4" ht="40.5" customHeight="1">
      <c r="A4" s="160" t="n"/>
      <c r="B4" s="329" t="inlineStr">
        <is>
          <t>税金コード名称</t>
        </is>
      </c>
      <c r="C4" s="330" t="n"/>
      <c r="D4" s="331" t="inlineStr">
        <is>
          <t>売上x％（課税）
（税込）</t>
        </is>
      </c>
      <c r="E4" s="332" t="n"/>
      <c r="F4" s="332" t="n"/>
      <c r="G4" s="332" t="n"/>
      <c r="H4" s="333" t="n"/>
      <c r="I4" s="334" t="inlineStr">
        <is>
          <t>売上x％（課税）
（税別記）</t>
        </is>
      </c>
      <c r="J4" s="332" t="n"/>
      <c r="K4" s="332" t="n"/>
      <c r="L4" s="332" t="n"/>
      <c r="M4" s="333" t="n"/>
      <c r="N4" s="169" t="inlineStr">
        <is>
          <t>売上
（非課税）</t>
        </is>
      </c>
      <c r="O4" s="170" t="inlineStr">
        <is>
          <t>売上
（免税）</t>
        </is>
      </c>
      <c r="P4" s="343" t="inlineStr">
        <is>
          <t>仕入x％（税込）
（税個別なし）</t>
        </is>
      </c>
      <c r="Q4" s="332" t="n"/>
      <c r="R4" s="332" t="n"/>
      <c r="S4" s="332" t="n"/>
      <c r="T4" s="333" t="n"/>
      <c r="U4" s="336" t="inlineStr">
        <is>
          <t>仕入x％（税別記）
（税個別なし）</t>
        </is>
      </c>
      <c r="V4" s="332" t="n"/>
      <c r="W4" s="332" t="n"/>
      <c r="X4" s="332" t="n"/>
      <c r="Y4" s="333" t="n"/>
      <c r="Z4" s="336" t="inlineStr">
        <is>
          <t>仕入（輸入）x％
（税個別なし）</t>
        </is>
      </c>
      <c r="AA4" s="333" t="n"/>
      <c r="AB4" s="336" t="inlineStr">
        <is>
          <t>仕入（輸入貨物割地方）
（税個別なし）</t>
        </is>
      </c>
      <c r="AC4" s="333" t="n"/>
      <c r="AD4" s="336" t="inlineStr">
        <is>
          <t>仕入（免税事業者）
x％（税込）
（税個別なし）</t>
        </is>
      </c>
      <c r="AE4" s="333" t="n"/>
      <c r="AF4" s="344" t="inlineStr">
        <is>
          <t>仕入（免税事業者）
x％（税別記）
（税個別なし）</t>
        </is>
      </c>
      <c r="AG4" s="330" t="n"/>
      <c r="AH4" s="337" t="inlineStr">
        <is>
          <t>貸倒損失x％
（課税）</t>
        </is>
      </c>
      <c r="AI4" s="332" t="n"/>
      <c r="AJ4" s="332" t="n"/>
      <c r="AK4" s="332" t="n"/>
      <c r="AL4" s="330" t="n"/>
      <c r="AM4" s="338" t="inlineStr">
        <is>
          <t>課税対象外</t>
        </is>
      </c>
      <c r="AN4" s="332" t="n"/>
      <c r="AO4" s="332" t="n"/>
      <c r="AP4" s="330" t="n"/>
      <c r="AQ4" s="160" t="n"/>
    </row>
    <row r="5">
      <c r="A5" s="160" t="n"/>
      <c r="B5" s="339" t="inlineStr">
        <is>
          <t>旧税金コード</t>
        </is>
      </c>
      <c r="C5" s="340" t="n"/>
      <c r="D5" s="171" t="inlineStr">
        <is>
          <t>A030</t>
        </is>
      </c>
      <c r="E5" s="172" t="inlineStr">
        <is>
          <t>A050</t>
        </is>
      </c>
      <c r="F5" s="172" t="inlineStr">
        <is>
          <t>A080</t>
        </is>
      </c>
      <c r="G5" s="172" t="inlineStr">
        <is>
          <t>A0A0</t>
        </is>
      </c>
      <c r="H5" s="172" t="inlineStr">
        <is>
          <t>A0K0</t>
        </is>
      </c>
      <c r="I5" s="172" t="inlineStr">
        <is>
          <t>A130</t>
        </is>
      </c>
      <c r="J5" s="172" t="inlineStr">
        <is>
          <t>A150</t>
        </is>
      </c>
      <c r="K5" s="172" t="inlineStr">
        <is>
          <t>A180</t>
        </is>
      </c>
      <c r="L5" s="172" t="inlineStr">
        <is>
          <t>A1A0</t>
        </is>
      </c>
      <c r="M5" s="172" t="inlineStr">
        <is>
          <t>A1K0</t>
        </is>
      </c>
      <c r="N5" s="172" t="inlineStr">
        <is>
          <t>A2A0</t>
        </is>
      </c>
      <c r="O5" s="173" t="inlineStr">
        <is>
          <t>A4A0</t>
        </is>
      </c>
      <c r="P5" s="240" t="inlineStr">
        <is>
          <t>B030</t>
        </is>
      </c>
      <c r="Q5" s="175" t="inlineStr">
        <is>
          <t>B050</t>
        </is>
      </c>
      <c r="R5" s="175" t="inlineStr">
        <is>
          <t>B080</t>
        </is>
      </c>
      <c r="S5" s="175" t="inlineStr">
        <is>
          <t>B0A0</t>
        </is>
      </c>
      <c r="T5" s="175" t="inlineStr">
        <is>
          <t>B0K0</t>
        </is>
      </c>
      <c r="U5" s="175" t="inlineStr">
        <is>
          <t>B130</t>
        </is>
      </c>
      <c r="V5" s="175" t="inlineStr">
        <is>
          <t>B150</t>
        </is>
      </c>
      <c r="W5" s="175" t="inlineStr">
        <is>
          <t>B180</t>
        </is>
      </c>
      <c r="X5" s="175" t="inlineStr">
        <is>
          <t>B1A0</t>
        </is>
      </c>
      <c r="Y5" s="175" t="inlineStr">
        <is>
          <t>B1K0</t>
        </is>
      </c>
      <c r="Z5" s="175" t="inlineStr">
        <is>
          <t>B4A0</t>
        </is>
      </c>
      <c r="AA5" s="175" t="inlineStr">
        <is>
          <t>B4K0</t>
        </is>
      </c>
      <c r="AB5" s="175" t="inlineStr">
        <is>
          <t>B6A0</t>
        </is>
      </c>
      <c r="AC5" s="175" t="inlineStr">
        <is>
          <t>B6K0</t>
        </is>
      </c>
      <c r="AD5" s="175" t="inlineStr">
        <is>
          <t>BCA0</t>
        </is>
      </c>
      <c r="AE5" s="175" t="inlineStr">
        <is>
          <t>BCK0</t>
        </is>
      </c>
      <c r="AF5" s="175" t="inlineStr">
        <is>
          <t>BDA0</t>
        </is>
      </c>
      <c r="AG5" s="241" t="inlineStr">
        <is>
          <t>BDK0</t>
        </is>
      </c>
      <c r="AH5" s="177" t="inlineStr">
        <is>
          <t>D030</t>
        </is>
      </c>
      <c r="AI5" s="178" t="inlineStr">
        <is>
          <t>D050</t>
        </is>
      </c>
      <c r="AJ5" s="178" t="inlineStr">
        <is>
          <t>D080</t>
        </is>
      </c>
      <c r="AK5" s="178" t="inlineStr">
        <is>
          <t>D0A0</t>
        </is>
      </c>
      <c r="AL5" s="179" t="inlineStr">
        <is>
          <t>D0K0</t>
        </is>
      </c>
      <c r="AM5" s="180" t="inlineStr">
        <is>
          <t>A300</t>
        </is>
      </c>
      <c r="AN5" s="181" t="inlineStr">
        <is>
          <t>B300</t>
        </is>
      </c>
      <c r="AO5" s="181" t="inlineStr">
        <is>
          <t>C300</t>
        </is>
      </c>
      <c r="AP5" s="182" t="inlineStr">
        <is>
          <t>D300</t>
        </is>
      </c>
      <c r="AQ5" s="160" t="n"/>
    </row>
    <row r="6">
      <c r="A6" s="160" t="n"/>
      <c r="B6" s="339" t="inlineStr">
        <is>
          <t>新税金コード</t>
        </is>
      </c>
      <c r="C6" s="340" t="n"/>
      <c r="D6" s="171" t="inlineStr">
        <is>
          <t>A3</t>
        </is>
      </c>
      <c r="E6" s="172" t="inlineStr">
        <is>
          <t>A5</t>
        </is>
      </c>
      <c r="F6" s="172" t="inlineStr">
        <is>
          <t>A8</t>
        </is>
      </c>
      <c r="G6" s="172" t="inlineStr">
        <is>
          <t>AA</t>
        </is>
      </c>
      <c r="H6" s="172" t="inlineStr">
        <is>
          <t>AK</t>
        </is>
      </c>
      <c r="I6" s="172" t="inlineStr">
        <is>
          <t>B3</t>
        </is>
      </c>
      <c r="J6" s="172" t="inlineStr">
        <is>
          <t>B5</t>
        </is>
      </c>
      <c r="K6" s="172" t="inlineStr">
        <is>
          <t>B8</t>
        </is>
      </c>
      <c r="L6" s="172" t="inlineStr">
        <is>
          <t>BA</t>
        </is>
      </c>
      <c r="M6" s="172" t="inlineStr">
        <is>
          <t>BK</t>
        </is>
      </c>
      <c r="N6" s="172" t="inlineStr">
        <is>
          <t>D0</t>
        </is>
      </c>
      <c r="O6" s="173" t="inlineStr">
        <is>
          <t>C0</t>
        </is>
      </c>
      <c r="P6" s="240" t="inlineStr">
        <is>
          <t>F3</t>
        </is>
      </c>
      <c r="Q6" s="175" t="inlineStr">
        <is>
          <t>F5</t>
        </is>
      </c>
      <c r="R6" s="175" t="inlineStr">
        <is>
          <t>F8</t>
        </is>
      </c>
      <c r="S6" s="175" t="inlineStr">
        <is>
          <t>FA</t>
        </is>
      </c>
      <c r="T6" s="175" t="inlineStr">
        <is>
          <t>FK</t>
        </is>
      </c>
      <c r="U6" s="175" t="inlineStr">
        <is>
          <t>K3</t>
        </is>
      </c>
      <c r="V6" s="175" t="inlineStr">
        <is>
          <t>K5</t>
        </is>
      </c>
      <c r="W6" s="175" t="inlineStr">
        <is>
          <t>K8</t>
        </is>
      </c>
      <c r="X6" s="175" t="inlineStr">
        <is>
          <t>KA</t>
        </is>
      </c>
      <c r="Y6" s="175" t="inlineStr">
        <is>
          <t>KK</t>
        </is>
      </c>
      <c r="Z6" s="175" t="inlineStr">
        <is>
          <t>PA</t>
        </is>
      </c>
      <c r="AA6" s="175" t="inlineStr">
        <is>
          <t>PK</t>
        </is>
      </c>
      <c r="AB6" s="175" t="inlineStr">
        <is>
          <t>TA</t>
        </is>
      </c>
      <c r="AC6" s="175" t="inlineStr">
        <is>
          <t>TK</t>
        </is>
      </c>
      <c r="AD6" s="175" t="inlineStr">
        <is>
          <t>3A</t>
        </is>
      </c>
      <c r="AE6" s="175" t="inlineStr">
        <is>
          <t>3K</t>
        </is>
      </c>
      <c r="AF6" s="175" t="inlineStr">
        <is>
          <t>7A</t>
        </is>
      </c>
      <c r="AG6" s="241" t="inlineStr">
        <is>
          <t>7K</t>
        </is>
      </c>
      <c r="AH6" s="177" t="inlineStr">
        <is>
          <t>E3</t>
        </is>
      </c>
      <c r="AI6" s="178" t="inlineStr">
        <is>
          <t>E5</t>
        </is>
      </c>
      <c r="AJ6" s="178" t="inlineStr">
        <is>
          <t>E8</t>
        </is>
      </c>
      <c r="AK6" s="178" t="inlineStr">
        <is>
          <t>EA</t>
        </is>
      </c>
      <c r="AL6" s="179" t="inlineStr">
        <is>
          <t>EK</t>
        </is>
      </c>
      <c r="AM6" s="180" t="inlineStr">
        <is>
          <t>A0</t>
        </is>
      </c>
      <c r="AN6" s="181" t="inlineStr">
        <is>
          <t>F0</t>
        </is>
      </c>
      <c r="AO6" s="181" t="inlineStr">
        <is>
          <t>Z0</t>
        </is>
      </c>
      <c r="AP6" s="182" t="inlineStr">
        <is>
          <t>E0</t>
        </is>
      </c>
      <c r="AQ6" s="160" t="n"/>
    </row>
    <row r="7" ht="13.8" customHeight="1" thickBot="1">
      <c r="A7" s="160" t="n"/>
      <c r="B7" s="341" t="inlineStr">
        <is>
          <t>税率</t>
        </is>
      </c>
      <c r="C7" s="342" t="n"/>
      <c r="D7" s="242" t="inlineStr">
        <is>
          <t>3%</t>
        </is>
      </c>
      <c r="E7" s="243" t="inlineStr">
        <is>
          <t>5%</t>
        </is>
      </c>
      <c r="F7" s="243" t="inlineStr">
        <is>
          <t>8%</t>
        </is>
      </c>
      <c r="G7" s="243" t="inlineStr">
        <is>
          <t>10%</t>
        </is>
      </c>
      <c r="H7" s="243" t="inlineStr">
        <is>
          <t>軽減</t>
        </is>
      </c>
      <c r="I7" s="243" t="inlineStr">
        <is>
          <t>3%</t>
        </is>
      </c>
      <c r="J7" s="243" t="inlineStr">
        <is>
          <t>5%</t>
        </is>
      </c>
      <c r="K7" s="243" t="inlineStr">
        <is>
          <t>8%</t>
        </is>
      </c>
      <c r="L7" s="243" t="inlineStr">
        <is>
          <t>10%</t>
        </is>
      </c>
      <c r="M7" s="243" t="inlineStr">
        <is>
          <t>軽減</t>
        </is>
      </c>
      <c r="N7" s="184" t="inlineStr">
        <is>
          <t>非課税</t>
        </is>
      </c>
      <c r="O7" s="185" t="inlineStr">
        <is>
          <t>免税</t>
        </is>
      </c>
      <c r="P7" s="244" t="inlineStr">
        <is>
          <t>3%</t>
        </is>
      </c>
      <c r="Q7" s="245" t="inlineStr">
        <is>
          <t>5%</t>
        </is>
      </c>
      <c r="R7" s="245" t="inlineStr">
        <is>
          <t>8%</t>
        </is>
      </c>
      <c r="S7" s="245" t="inlineStr">
        <is>
          <t>10%</t>
        </is>
      </c>
      <c r="T7" s="245" t="inlineStr">
        <is>
          <t>軽減</t>
        </is>
      </c>
      <c r="U7" s="245" t="inlineStr">
        <is>
          <t>3%</t>
        </is>
      </c>
      <c r="V7" s="245" t="inlineStr">
        <is>
          <t>5%</t>
        </is>
      </c>
      <c r="W7" s="245" t="inlineStr">
        <is>
          <t>8%</t>
        </is>
      </c>
      <c r="X7" s="245" t="inlineStr">
        <is>
          <t>10%</t>
        </is>
      </c>
      <c r="Y7" s="245" t="inlineStr">
        <is>
          <t>軽減</t>
        </is>
      </c>
      <c r="Z7" s="245" t="inlineStr">
        <is>
          <t>10%</t>
        </is>
      </c>
      <c r="AA7" s="245" t="inlineStr">
        <is>
          <t>軽減</t>
        </is>
      </c>
      <c r="AB7" s="245" t="inlineStr">
        <is>
          <t>10%</t>
        </is>
      </c>
      <c r="AC7" s="245" t="inlineStr">
        <is>
          <t>軽減</t>
        </is>
      </c>
      <c r="AD7" s="245" t="inlineStr">
        <is>
          <t>10%</t>
        </is>
      </c>
      <c r="AE7" s="245" t="inlineStr">
        <is>
          <t>軽減</t>
        </is>
      </c>
      <c r="AF7" s="245" t="inlineStr">
        <is>
          <t>10%</t>
        </is>
      </c>
      <c r="AG7" s="246" t="inlineStr">
        <is>
          <t>軽減</t>
        </is>
      </c>
      <c r="AH7" s="189" t="inlineStr">
        <is>
          <t>3%</t>
        </is>
      </c>
      <c r="AI7" s="190" t="inlineStr">
        <is>
          <t>5%</t>
        </is>
      </c>
      <c r="AJ7" s="190" t="inlineStr">
        <is>
          <t>8%</t>
        </is>
      </c>
      <c r="AK7" s="190" t="inlineStr">
        <is>
          <t>10%</t>
        </is>
      </c>
      <c r="AL7" s="191" t="inlineStr">
        <is>
          <t>軽減</t>
        </is>
      </c>
      <c r="AM7" s="192" t="inlineStr">
        <is>
          <t>売上税込</t>
        </is>
      </c>
      <c r="AN7" s="193" t="inlineStr">
        <is>
          <t>仕入税込</t>
        </is>
      </c>
      <c r="AO7" s="193" t="inlineStr">
        <is>
          <t>その他取引</t>
        </is>
      </c>
      <c r="AP7" s="194" t="inlineStr">
        <is>
          <t>貸倒損失</t>
        </is>
      </c>
      <c r="AQ7" s="160" t="n"/>
    </row>
    <row r="8">
      <c r="A8" s="160" t="n"/>
      <c r="B8" s="195" t="inlineStr">
        <is>
          <t>売上用の税金グループ</t>
        </is>
      </c>
      <c r="C8" s="196" t="inlineStr">
        <is>
          <t>03A</t>
        </is>
      </c>
      <c r="D8" s="197" t="n"/>
      <c r="E8" s="198" t="n"/>
      <c r="F8" s="198" t="n"/>
      <c r="G8" s="198" t="n"/>
      <c r="H8" s="198" t="n"/>
      <c r="I8" s="198" t="n"/>
      <c r="J8" s="198" t="n"/>
      <c r="K8" s="198" t="n"/>
      <c r="L8" s="198" t="n"/>
      <c r="M8" s="198" t="n"/>
      <c r="N8" s="198" t="n"/>
      <c r="O8" s="199" t="inlineStr">
        <is>
          <t>●</t>
        </is>
      </c>
      <c r="P8" s="197" t="n"/>
      <c r="Q8" s="198" t="n"/>
      <c r="R8" s="198" t="n"/>
      <c r="S8" s="198" t="n"/>
      <c r="T8" s="198" t="n"/>
      <c r="U8" s="198" t="n"/>
      <c r="V8" s="198" t="n"/>
      <c r="W8" s="198" t="n"/>
      <c r="X8" s="198" t="n"/>
      <c r="Y8" s="198" t="n"/>
      <c r="Z8" s="198" t="n"/>
      <c r="AA8" s="198" t="n"/>
      <c r="AB8" s="198" t="n"/>
      <c r="AC8" s="198" t="n"/>
      <c r="AD8" s="198" t="n"/>
      <c r="AE8" s="198" t="n"/>
      <c r="AF8" s="198" t="n"/>
      <c r="AG8" s="199" t="n"/>
      <c r="AH8" s="197" t="n"/>
      <c r="AI8" s="198" t="n"/>
      <c r="AJ8" s="198" t="n"/>
      <c r="AK8" s="198" t="n"/>
      <c r="AL8" s="199" t="n"/>
      <c r="AM8" s="200" t="n"/>
      <c r="AN8" s="198" t="n"/>
      <c r="AO8" s="198" t="n"/>
      <c r="AP8" s="199" t="n"/>
      <c r="AQ8" s="160" t="n"/>
    </row>
    <row r="9">
      <c r="A9" s="160" t="n"/>
      <c r="B9" s="202" t="n"/>
      <c r="C9" s="203" t="inlineStr">
        <is>
          <t>04A</t>
        </is>
      </c>
      <c r="D9" s="204" t="n"/>
      <c r="E9" s="205" t="n"/>
      <c r="F9" s="205" t="n"/>
      <c r="G9" s="205" t="n"/>
      <c r="H9" s="205" t="n"/>
      <c r="I9" s="205" t="n"/>
      <c r="J9" s="205" t="n"/>
      <c r="K9" s="205" t="n"/>
      <c r="L9" s="205" t="n"/>
      <c r="M9" s="205" t="n"/>
      <c r="N9" s="205" t="n"/>
      <c r="O9" s="206" t="n"/>
      <c r="P9" s="204" t="n"/>
      <c r="Q9" s="205" t="n"/>
      <c r="R9" s="205" t="n"/>
      <c r="S9" s="205" t="n"/>
      <c r="T9" s="205" t="n"/>
      <c r="U9" s="205" t="n"/>
      <c r="V9" s="205" t="n"/>
      <c r="W9" s="205" t="n"/>
      <c r="X9" s="205" t="n"/>
      <c r="Y9" s="205" t="n"/>
      <c r="Z9" s="205" t="n"/>
      <c r="AA9" s="205" t="n"/>
      <c r="AB9" s="205" t="n"/>
      <c r="AC9" s="205" t="n"/>
      <c r="AD9" s="205" t="n"/>
      <c r="AE9" s="205" t="n"/>
      <c r="AF9" s="205" t="n"/>
      <c r="AG9" s="206" t="n"/>
      <c r="AH9" s="204" t="n"/>
      <c r="AI9" s="205" t="n"/>
      <c r="AJ9" s="205" t="n"/>
      <c r="AK9" s="205" t="n"/>
      <c r="AL9" s="206" t="n"/>
      <c r="AM9" s="207" t="inlineStr">
        <is>
          <t>●</t>
        </is>
      </c>
      <c r="AN9" s="205" t="n"/>
      <c r="AO9" s="205" t="inlineStr">
        <is>
          <t>●</t>
        </is>
      </c>
      <c r="AP9" s="206" t="n"/>
      <c r="AQ9" s="160" t="n"/>
    </row>
    <row r="10">
      <c r="A10" s="160" t="n"/>
      <c r="B10" s="202" t="n"/>
      <c r="C10" s="203" t="inlineStr">
        <is>
          <t>06A</t>
        </is>
      </c>
      <c r="D10" s="204" t="n"/>
      <c r="E10" s="205" t="n"/>
      <c r="F10" s="205" t="n"/>
      <c r="G10" s="205" t="n"/>
      <c r="H10" s="205" t="n"/>
      <c r="I10" s="205" t="n"/>
      <c r="J10" s="205" t="n"/>
      <c r="K10" s="205" t="n"/>
      <c r="L10" s="205" t="n"/>
      <c r="M10" s="205" t="n"/>
      <c r="N10" s="205" t="n"/>
      <c r="O10" s="206" t="inlineStr">
        <is>
          <t>●</t>
        </is>
      </c>
      <c r="P10" s="204" t="n"/>
      <c r="Q10" s="205" t="n"/>
      <c r="R10" s="205" t="n"/>
      <c r="S10" s="205" t="n"/>
      <c r="T10" s="205" t="n"/>
      <c r="U10" s="205" t="n"/>
      <c r="V10" s="205" t="n"/>
      <c r="W10" s="205" t="n"/>
      <c r="X10" s="205" t="n"/>
      <c r="Y10" s="205" t="n"/>
      <c r="Z10" s="205" t="n"/>
      <c r="AA10" s="205" t="n"/>
      <c r="AB10" s="205" t="n"/>
      <c r="AC10" s="205" t="n"/>
      <c r="AD10" s="205" t="n"/>
      <c r="AE10" s="205" t="n"/>
      <c r="AF10" s="205" t="n"/>
      <c r="AG10" s="206" t="n"/>
      <c r="AH10" s="204" t="n"/>
      <c r="AI10" s="205" t="n"/>
      <c r="AJ10" s="205" t="n"/>
      <c r="AK10" s="205" t="n"/>
      <c r="AL10" s="206" t="n"/>
      <c r="AM10" s="207" t="inlineStr">
        <is>
          <t>●</t>
        </is>
      </c>
      <c r="AN10" s="205" t="n"/>
      <c r="AO10" s="205" t="inlineStr">
        <is>
          <t>●</t>
        </is>
      </c>
      <c r="AP10" s="206" t="n"/>
      <c r="AQ10" s="160" t="n"/>
    </row>
    <row r="11">
      <c r="A11" s="160" t="n"/>
      <c r="B11" s="202" t="n"/>
      <c r="C11" s="203" t="inlineStr">
        <is>
          <t>10A</t>
        </is>
      </c>
      <c r="D11" s="204" t="n"/>
      <c r="E11" s="205" t="n"/>
      <c r="F11" s="205" t="n"/>
      <c r="G11" s="205" t="n"/>
      <c r="H11" s="205" t="n"/>
      <c r="I11" s="205" t="n"/>
      <c r="J11" s="205" t="n"/>
      <c r="K11" s="205" t="n"/>
      <c r="L11" s="205" t="n"/>
      <c r="M11" s="205" t="n"/>
      <c r="N11" s="205" t="inlineStr">
        <is>
          <t>●</t>
        </is>
      </c>
      <c r="O11" s="206" t="n"/>
      <c r="P11" s="204" t="n"/>
      <c r="Q11" s="205" t="n"/>
      <c r="R11" s="205" t="n"/>
      <c r="S11" s="205" t="n"/>
      <c r="T11" s="205" t="n"/>
      <c r="U11" s="205" t="n"/>
      <c r="V11" s="205" t="n"/>
      <c r="W11" s="205" t="n"/>
      <c r="X11" s="205" t="n"/>
      <c r="Y11" s="205" t="n"/>
      <c r="Z11" s="205" t="n"/>
      <c r="AA11" s="205" t="n"/>
      <c r="AB11" s="205" t="n"/>
      <c r="AC11" s="205" t="n"/>
      <c r="AD11" s="205" t="n"/>
      <c r="AE11" s="205" t="n"/>
      <c r="AF11" s="205" t="n"/>
      <c r="AG11" s="206" t="n"/>
      <c r="AH11" s="204" t="n"/>
      <c r="AI11" s="205" t="n"/>
      <c r="AJ11" s="205" t="n"/>
      <c r="AK11" s="205" t="n"/>
      <c r="AL11" s="206" t="n"/>
      <c r="AM11" s="207" t="n"/>
      <c r="AN11" s="205" t="n"/>
      <c r="AO11" s="205" t="n"/>
      <c r="AP11" s="206" t="n"/>
      <c r="AQ11" s="160" t="n"/>
    </row>
    <row r="12">
      <c r="A12" s="160" t="n"/>
      <c r="B12" s="202" t="n"/>
      <c r="C12" s="203" t="inlineStr">
        <is>
          <t>11A</t>
        </is>
      </c>
      <c r="D12" s="204" t="n"/>
      <c r="E12" s="205" t="n"/>
      <c r="F12" s="205" t="n"/>
      <c r="G12" s="205" t="n"/>
      <c r="H12" s="205" t="n"/>
      <c r="I12" s="205" t="n"/>
      <c r="J12" s="205" t="n"/>
      <c r="K12" s="205" t="n"/>
      <c r="L12" s="205" t="n"/>
      <c r="M12" s="205" t="n"/>
      <c r="N12" s="205" t="inlineStr">
        <is>
          <t>●</t>
        </is>
      </c>
      <c r="O12" s="206" t="n"/>
      <c r="P12" s="204" t="n"/>
      <c r="Q12" s="205" t="n"/>
      <c r="R12" s="205" t="n"/>
      <c r="S12" s="205" t="n"/>
      <c r="T12" s="205" t="n"/>
      <c r="U12" s="205" t="n"/>
      <c r="V12" s="205" t="n"/>
      <c r="W12" s="205" t="n"/>
      <c r="X12" s="205" t="n"/>
      <c r="Y12" s="205" t="n"/>
      <c r="Z12" s="205" t="n"/>
      <c r="AA12" s="205" t="n"/>
      <c r="AB12" s="205" t="n"/>
      <c r="AC12" s="205" t="n"/>
      <c r="AD12" s="205" t="n"/>
      <c r="AE12" s="205" t="n"/>
      <c r="AF12" s="205" t="n"/>
      <c r="AG12" s="206" t="n"/>
      <c r="AH12" s="204" t="n"/>
      <c r="AI12" s="205" t="n"/>
      <c r="AJ12" s="205" t="n"/>
      <c r="AK12" s="205" t="n"/>
      <c r="AL12" s="206" t="n"/>
      <c r="AM12" s="207" t="n"/>
      <c r="AN12" s="205" t="n"/>
      <c r="AO12" s="205" t="n"/>
      <c r="AP12" s="206" t="n"/>
      <c r="AQ12" s="160" t="n"/>
    </row>
    <row r="13">
      <c r="A13" s="160" t="n"/>
      <c r="B13" s="202" t="n"/>
      <c r="C13" s="203" t="inlineStr">
        <is>
          <t>12A</t>
        </is>
      </c>
      <c r="D13" s="204" t="n"/>
      <c r="E13" s="205" t="n"/>
      <c r="F13" s="205" t="n"/>
      <c r="G13" s="205" t="n"/>
      <c r="H13" s="205" t="n"/>
      <c r="I13" s="205" t="n"/>
      <c r="J13" s="205" t="n"/>
      <c r="K13" s="205" t="n"/>
      <c r="L13" s="205" t="n"/>
      <c r="M13" s="205" t="n"/>
      <c r="N13" s="205" t="inlineStr">
        <is>
          <t>●</t>
        </is>
      </c>
      <c r="O13" s="206" t="inlineStr">
        <is>
          <t>●</t>
        </is>
      </c>
      <c r="P13" s="204" t="n"/>
      <c r="Q13" s="205" t="n"/>
      <c r="R13" s="205" t="n"/>
      <c r="S13" s="205" t="n"/>
      <c r="T13" s="205" t="n"/>
      <c r="U13" s="205" t="n"/>
      <c r="V13" s="205" t="n"/>
      <c r="W13" s="205" t="n"/>
      <c r="X13" s="205" t="n"/>
      <c r="Y13" s="205" t="n"/>
      <c r="Z13" s="205" t="n"/>
      <c r="AA13" s="205" t="n"/>
      <c r="AB13" s="205" t="n"/>
      <c r="AC13" s="205" t="n"/>
      <c r="AD13" s="205" t="n"/>
      <c r="AE13" s="205" t="n"/>
      <c r="AF13" s="205" t="n"/>
      <c r="AG13" s="206" t="n"/>
      <c r="AH13" s="204" t="n"/>
      <c r="AI13" s="205" t="n"/>
      <c r="AJ13" s="205" t="n"/>
      <c r="AK13" s="205" t="n"/>
      <c r="AL13" s="206" t="n"/>
      <c r="AM13" s="207" t="n"/>
      <c r="AN13" s="205" t="n"/>
      <c r="AO13" s="205" t="n"/>
      <c r="AP13" s="206" t="n"/>
      <c r="AQ13" s="160" t="n"/>
    </row>
    <row r="14">
      <c r="A14" s="160" t="n"/>
      <c r="B14" s="202" t="n"/>
      <c r="C14" s="203" t="inlineStr">
        <is>
          <t>13A</t>
        </is>
      </c>
      <c r="D14" s="204" t="n"/>
      <c r="E14" s="205" t="n"/>
      <c r="F14" s="205" t="n"/>
      <c r="G14" s="205" t="n"/>
      <c r="H14" s="205" t="n"/>
      <c r="I14" s="205" t="n"/>
      <c r="J14" s="205" t="n"/>
      <c r="K14" s="205" t="n"/>
      <c r="L14" s="205" t="n"/>
      <c r="M14" s="205" t="n"/>
      <c r="N14" s="205" t="inlineStr">
        <is>
          <t>●</t>
        </is>
      </c>
      <c r="O14" s="206" t="inlineStr">
        <is>
          <t>●</t>
        </is>
      </c>
      <c r="P14" s="204" t="n"/>
      <c r="Q14" s="205" t="n"/>
      <c r="R14" s="205" t="n"/>
      <c r="S14" s="205" t="n"/>
      <c r="T14" s="205" t="n"/>
      <c r="U14" s="205" t="n"/>
      <c r="V14" s="205" t="n"/>
      <c r="W14" s="205" t="n"/>
      <c r="X14" s="205" t="n"/>
      <c r="Y14" s="205" t="n"/>
      <c r="Z14" s="205" t="n"/>
      <c r="AA14" s="205" t="n"/>
      <c r="AB14" s="205" t="n"/>
      <c r="AC14" s="205" t="n"/>
      <c r="AD14" s="205" t="n"/>
      <c r="AE14" s="205" t="n"/>
      <c r="AF14" s="205" t="n"/>
      <c r="AG14" s="206" t="n"/>
      <c r="AH14" s="204" t="n"/>
      <c r="AI14" s="205" t="n"/>
      <c r="AJ14" s="205" t="n"/>
      <c r="AK14" s="205" t="n"/>
      <c r="AL14" s="206" t="n"/>
      <c r="AM14" s="207" t="n"/>
      <c r="AN14" s="205" t="n"/>
      <c r="AO14" s="205" t="n"/>
      <c r="AP14" s="206" t="n"/>
      <c r="AQ14" s="160" t="n"/>
    </row>
    <row r="15">
      <c r="A15" s="160" t="n"/>
      <c r="B15" s="202" t="n"/>
      <c r="C15" s="203" t="inlineStr">
        <is>
          <t>14A</t>
        </is>
      </c>
      <c r="D15" s="204" t="n"/>
      <c r="E15" s="205" t="n"/>
      <c r="F15" s="205" t="n"/>
      <c r="G15" s="205" t="n"/>
      <c r="H15" s="205" t="n"/>
      <c r="I15" s="205" t="n"/>
      <c r="J15" s="205" t="n"/>
      <c r="K15" s="205" t="n"/>
      <c r="L15" s="205" t="n"/>
      <c r="M15" s="205" t="n"/>
      <c r="N15" s="205" t="inlineStr">
        <is>
          <t>●</t>
        </is>
      </c>
      <c r="O15" s="206" t="n"/>
      <c r="P15" s="204" t="n"/>
      <c r="Q15" s="205" t="n"/>
      <c r="R15" s="205" t="n"/>
      <c r="S15" s="205" t="n"/>
      <c r="T15" s="205" t="n"/>
      <c r="U15" s="205" t="n"/>
      <c r="V15" s="205" t="n"/>
      <c r="W15" s="205" t="n"/>
      <c r="X15" s="205" t="n"/>
      <c r="Y15" s="205" t="n"/>
      <c r="Z15" s="205" t="n"/>
      <c r="AA15" s="205" t="n"/>
      <c r="AB15" s="205" t="n"/>
      <c r="AC15" s="205" t="n"/>
      <c r="AD15" s="205" t="n"/>
      <c r="AE15" s="205" t="n"/>
      <c r="AF15" s="205" t="n"/>
      <c r="AG15" s="206" t="n"/>
      <c r="AH15" s="204" t="n"/>
      <c r="AI15" s="205" t="n"/>
      <c r="AJ15" s="205" t="n"/>
      <c r="AK15" s="205" t="n"/>
      <c r="AL15" s="206" t="n"/>
      <c r="AM15" s="207" t="inlineStr">
        <is>
          <t>●</t>
        </is>
      </c>
      <c r="AN15" s="205" t="n"/>
      <c r="AO15" s="205" t="inlineStr">
        <is>
          <t>●</t>
        </is>
      </c>
      <c r="AP15" s="206" t="n"/>
      <c r="AQ15" s="160" t="n"/>
    </row>
    <row r="16">
      <c r="A16" s="160" t="n"/>
      <c r="B16" s="202" t="n"/>
      <c r="C16" s="203" t="inlineStr">
        <is>
          <t>15A</t>
        </is>
      </c>
      <c r="D16" s="204" t="n"/>
      <c r="E16" s="205" t="n"/>
      <c r="F16" s="205" t="n"/>
      <c r="G16" s="205" t="n"/>
      <c r="H16" s="205" t="n"/>
      <c r="I16" s="205" t="n"/>
      <c r="J16" s="205" t="n"/>
      <c r="K16" s="205" t="n"/>
      <c r="L16" s="205" t="n"/>
      <c r="M16" s="205" t="n"/>
      <c r="N16" s="205" t="inlineStr">
        <is>
          <t>●</t>
        </is>
      </c>
      <c r="O16" s="206" t="n"/>
      <c r="P16" s="204" t="n"/>
      <c r="Q16" s="205" t="n"/>
      <c r="R16" s="205" t="n"/>
      <c r="S16" s="205" t="n"/>
      <c r="T16" s="205" t="n"/>
      <c r="U16" s="205" t="n"/>
      <c r="V16" s="205" t="n"/>
      <c r="W16" s="205" t="n"/>
      <c r="X16" s="205" t="n"/>
      <c r="Y16" s="205" t="n"/>
      <c r="Z16" s="205" t="n"/>
      <c r="AA16" s="205" t="n"/>
      <c r="AB16" s="205" t="n"/>
      <c r="AC16" s="205" t="n"/>
      <c r="AD16" s="205" t="n"/>
      <c r="AE16" s="205" t="n"/>
      <c r="AF16" s="205" t="n"/>
      <c r="AG16" s="206" t="n"/>
      <c r="AH16" s="204" t="n"/>
      <c r="AI16" s="205" t="n"/>
      <c r="AJ16" s="205" t="n"/>
      <c r="AK16" s="205" t="n"/>
      <c r="AL16" s="206" t="n"/>
      <c r="AM16" s="207" t="inlineStr">
        <is>
          <t>●</t>
        </is>
      </c>
      <c r="AN16" s="205" t="n"/>
      <c r="AO16" s="205" t="inlineStr">
        <is>
          <t>●</t>
        </is>
      </c>
      <c r="AP16" s="206" t="n"/>
      <c r="AQ16" s="160" t="n"/>
    </row>
    <row r="17">
      <c r="A17" s="160" t="n"/>
      <c r="B17" s="202" t="n"/>
      <c r="C17" s="203" t="inlineStr">
        <is>
          <t>16A</t>
        </is>
      </c>
      <c r="D17" s="204" t="n"/>
      <c r="E17" s="205" t="n"/>
      <c r="F17" s="205" t="n"/>
      <c r="G17" s="205" t="n"/>
      <c r="H17" s="205" t="n"/>
      <c r="I17" s="205" t="n"/>
      <c r="J17" s="205" t="n"/>
      <c r="K17" s="205" t="n"/>
      <c r="L17" s="205" t="n"/>
      <c r="M17" s="205" t="n"/>
      <c r="N17" s="205" t="inlineStr">
        <is>
          <t>●</t>
        </is>
      </c>
      <c r="O17" s="206" t="inlineStr">
        <is>
          <t>●</t>
        </is>
      </c>
      <c r="P17" s="204" t="n"/>
      <c r="Q17" s="205" t="n"/>
      <c r="R17" s="205" t="n"/>
      <c r="S17" s="205" t="n"/>
      <c r="T17" s="205" t="n"/>
      <c r="U17" s="205" t="n"/>
      <c r="V17" s="205" t="n"/>
      <c r="W17" s="205" t="n"/>
      <c r="X17" s="205" t="n"/>
      <c r="Y17" s="205" t="n"/>
      <c r="Z17" s="205" t="n"/>
      <c r="AA17" s="205" t="n"/>
      <c r="AB17" s="205" t="n"/>
      <c r="AC17" s="205" t="n"/>
      <c r="AD17" s="205" t="n"/>
      <c r="AE17" s="205" t="n"/>
      <c r="AF17" s="205" t="n"/>
      <c r="AG17" s="206" t="n"/>
      <c r="AH17" s="204" t="n"/>
      <c r="AI17" s="205" t="n"/>
      <c r="AJ17" s="205" t="n"/>
      <c r="AK17" s="205" t="n"/>
      <c r="AL17" s="206" t="n"/>
      <c r="AM17" s="207" t="inlineStr">
        <is>
          <t>●</t>
        </is>
      </c>
      <c r="AN17" s="205" t="n"/>
      <c r="AO17" s="205" t="inlineStr">
        <is>
          <t>●</t>
        </is>
      </c>
      <c r="AP17" s="206" t="n"/>
      <c r="AQ17" s="160" t="n"/>
    </row>
    <row r="18">
      <c r="A18" s="160" t="n"/>
      <c r="B18" s="202" t="n"/>
      <c r="C18" s="203" t="inlineStr">
        <is>
          <t>17A</t>
        </is>
      </c>
      <c r="D18" s="204" t="n"/>
      <c r="E18" s="205" t="n"/>
      <c r="F18" s="205" t="n"/>
      <c r="G18" s="205" t="n"/>
      <c r="H18" s="205" t="n"/>
      <c r="I18" s="205" t="n"/>
      <c r="J18" s="205" t="n"/>
      <c r="K18" s="205" t="n"/>
      <c r="L18" s="205" t="n"/>
      <c r="M18" s="205" t="n"/>
      <c r="N18" s="205" t="inlineStr">
        <is>
          <t>●</t>
        </is>
      </c>
      <c r="O18" s="206" t="inlineStr">
        <is>
          <t>●</t>
        </is>
      </c>
      <c r="P18" s="204" t="n"/>
      <c r="Q18" s="205" t="n"/>
      <c r="R18" s="205" t="n"/>
      <c r="S18" s="205" t="n"/>
      <c r="T18" s="205" t="n"/>
      <c r="U18" s="205" t="n"/>
      <c r="V18" s="205" t="n"/>
      <c r="W18" s="205" t="n"/>
      <c r="X18" s="205" t="n"/>
      <c r="Y18" s="205" t="n"/>
      <c r="Z18" s="205" t="n"/>
      <c r="AA18" s="205" t="n"/>
      <c r="AB18" s="205" t="n"/>
      <c r="AC18" s="205" t="n"/>
      <c r="AD18" s="205" t="n"/>
      <c r="AE18" s="205" t="n"/>
      <c r="AF18" s="205" t="n"/>
      <c r="AG18" s="206" t="n"/>
      <c r="AH18" s="204" t="n"/>
      <c r="AI18" s="205" t="n"/>
      <c r="AJ18" s="205" t="n"/>
      <c r="AK18" s="205" t="n"/>
      <c r="AL18" s="206" t="n"/>
      <c r="AM18" s="207" t="inlineStr">
        <is>
          <t>●</t>
        </is>
      </c>
      <c r="AN18" s="205" t="n"/>
      <c r="AO18" s="205" t="inlineStr">
        <is>
          <t>●</t>
        </is>
      </c>
      <c r="AP18" s="206" t="n"/>
      <c r="AQ18" s="160" t="n"/>
    </row>
    <row r="19">
      <c r="A19" s="160" t="n"/>
      <c r="B19" s="202" t="n"/>
      <c r="C19" s="203" t="inlineStr">
        <is>
          <t>20A</t>
        </is>
      </c>
      <c r="D19" s="204" t="n"/>
      <c r="E19" s="205" t="n"/>
      <c r="F19" s="205" t="n"/>
      <c r="G19" s="205" t="n"/>
      <c r="H19" s="205" t="n"/>
      <c r="I19" s="205" t="n"/>
      <c r="J19" s="205" t="inlineStr">
        <is>
          <t>●</t>
        </is>
      </c>
      <c r="K19" s="205" t="inlineStr">
        <is>
          <t>●</t>
        </is>
      </c>
      <c r="L19" s="205" t="inlineStr">
        <is>
          <t>●</t>
        </is>
      </c>
      <c r="M19" s="205" t="inlineStr">
        <is>
          <t>●</t>
        </is>
      </c>
      <c r="N19" s="205" t="n"/>
      <c r="O19" s="206" t="n"/>
      <c r="P19" s="204" t="n"/>
      <c r="Q19" s="205" t="n"/>
      <c r="R19" s="205" t="n"/>
      <c r="S19" s="205" t="n"/>
      <c r="T19" s="205" t="n"/>
      <c r="U19" s="205" t="n"/>
      <c r="V19" s="205" t="n"/>
      <c r="W19" s="205" t="n"/>
      <c r="X19" s="205" t="n"/>
      <c r="Y19" s="205" t="n"/>
      <c r="Z19" s="205" t="n"/>
      <c r="AA19" s="205" t="n"/>
      <c r="AB19" s="205" t="n"/>
      <c r="AC19" s="205" t="n"/>
      <c r="AD19" s="205" t="n"/>
      <c r="AE19" s="205" t="n"/>
      <c r="AF19" s="205" t="n"/>
      <c r="AG19" s="206" t="n"/>
      <c r="AH19" s="204" t="n"/>
      <c r="AI19" s="205" t="n"/>
      <c r="AJ19" s="205" t="n"/>
      <c r="AK19" s="205" t="n"/>
      <c r="AL19" s="206" t="n"/>
      <c r="AM19" s="207" t="n"/>
      <c r="AN19" s="205" t="n"/>
      <c r="AO19" s="205" t="n"/>
      <c r="AP19" s="206" t="n"/>
      <c r="AQ19" s="160" t="n"/>
    </row>
    <row r="20">
      <c r="A20" s="160" t="n"/>
      <c r="B20" s="202" t="n"/>
      <c r="C20" s="203" t="inlineStr">
        <is>
          <t>21A</t>
        </is>
      </c>
      <c r="D20" s="204" t="n"/>
      <c r="E20" s="205" t="n"/>
      <c r="F20" s="205" t="n"/>
      <c r="G20" s="205" t="n"/>
      <c r="H20" s="205" t="n"/>
      <c r="I20" s="205" t="n"/>
      <c r="J20" s="205" t="inlineStr">
        <is>
          <t>●</t>
        </is>
      </c>
      <c r="K20" s="205" t="inlineStr">
        <is>
          <t>●</t>
        </is>
      </c>
      <c r="L20" s="205" t="inlineStr">
        <is>
          <t>●</t>
        </is>
      </c>
      <c r="M20" s="205" t="inlineStr">
        <is>
          <t>●</t>
        </is>
      </c>
      <c r="N20" s="205" t="n"/>
      <c r="O20" s="206" t="n"/>
      <c r="P20" s="204" t="n"/>
      <c r="Q20" s="205" t="n"/>
      <c r="R20" s="205" t="n"/>
      <c r="S20" s="205" t="n"/>
      <c r="T20" s="205" t="n"/>
      <c r="U20" s="205" t="n"/>
      <c r="V20" s="205" t="n"/>
      <c r="W20" s="205" t="n"/>
      <c r="X20" s="205" t="n"/>
      <c r="Y20" s="205" t="n"/>
      <c r="Z20" s="205" t="n"/>
      <c r="AA20" s="205" t="n"/>
      <c r="AB20" s="205" t="n"/>
      <c r="AC20" s="205" t="n"/>
      <c r="AD20" s="205" t="n"/>
      <c r="AE20" s="205" t="n"/>
      <c r="AF20" s="205" t="n"/>
      <c r="AG20" s="206" t="n"/>
      <c r="AH20" s="204" t="n"/>
      <c r="AI20" s="205" t="n"/>
      <c r="AJ20" s="205" t="n"/>
      <c r="AK20" s="205" t="n"/>
      <c r="AL20" s="206" t="n"/>
      <c r="AM20" s="207" t="inlineStr">
        <is>
          <t>●</t>
        </is>
      </c>
      <c r="AN20" s="205" t="n"/>
      <c r="AO20" s="205" t="n"/>
      <c r="AP20" s="206" t="n"/>
      <c r="AQ20" s="160" t="n"/>
    </row>
    <row r="21">
      <c r="A21" s="160" t="n"/>
      <c r="B21" s="202" t="n"/>
      <c r="C21" s="203" t="inlineStr">
        <is>
          <t>22A</t>
        </is>
      </c>
      <c r="D21" s="204" t="n"/>
      <c r="E21" s="205" t="n"/>
      <c r="F21" s="205" t="n"/>
      <c r="G21" s="205" t="n"/>
      <c r="H21" s="205" t="n"/>
      <c r="I21" s="205" t="n"/>
      <c r="J21" s="205" t="inlineStr">
        <is>
          <t>●</t>
        </is>
      </c>
      <c r="K21" s="205" t="inlineStr">
        <is>
          <t>●</t>
        </is>
      </c>
      <c r="L21" s="205" t="inlineStr">
        <is>
          <t>●</t>
        </is>
      </c>
      <c r="M21" s="205" t="inlineStr">
        <is>
          <t>●</t>
        </is>
      </c>
      <c r="N21" s="205" t="n"/>
      <c r="O21" s="206" t="inlineStr">
        <is>
          <t>●</t>
        </is>
      </c>
      <c r="P21" s="204" t="n"/>
      <c r="Q21" s="205" t="n"/>
      <c r="R21" s="205" t="n"/>
      <c r="S21" s="205" t="n"/>
      <c r="T21" s="205" t="n"/>
      <c r="U21" s="205" t="n"/>
      <c r="V21" s="205" t="n"/>
      <c r="W21" s="205" t="n"/>
      <c r="X21" s="205" t="n"/>
      <c r="Y21" s="205" t="n"/>
      <c r="Z21" s="205" t="n"/>
      <c r="AA21" s="205" t="n"/>
      <c r="AB21" s="205" t="n"/>
      <c r="AC21" s="205" t="n"/>
      <c r="AD21" s="205" t="n"/>
      <c r="AE21" s="205" t="n"/>
      <c r="AF21" s="205" t="n"/>
      <c r="AG21" s="206" t="n"/>
      <c r="AH21" s="204" t="n"/>
      <c r="AI21" s="205" t="n"/>
      <c r="AJ21" s="205" t="n"/>
      <c r="AK21" s="205" t="n"/>
      <c r="AL21" s="206" t="n"/>
      <c r="AM21" s="207" t="n"/>
      <c r="AN21" s="205" t="n"/>
      <c r="AO21" s="205" t="n"/>
      <c r="AP21" s="206" t="n"/>
      <c r="AQ21" s="160" t="n"/>
    </row>
    <row r="22">
      <c r="A22" s="160" t="n"/>
      <c r="B22" s="202" t="n"/>
      <c r="C22" s="203" t="inlineStr">
        <is>
          <t>23A</t>
        </is>
      </c>
      <c r="D22" s="204" t="n"/>
      <c r="E22" s="205" t="n"/>
      <c r="F22" s="205" t="n"/>
      <c r="G22" s="205" t="n"/>
      <c r="H22" s="205" t="n"/>
      <c r="I22" s="205" t="n"/>
      <c r="J22" s="205" t="inlineStr">
        <is>
          <t>●</t>
        </is>
      </c>
      <c r="K22" s="205" t="inlineStr">
        <is>
          <t>●</t>
        </is>
      </c>
      <c r="L22" s="205" t="inlineStr">
        <is>
          <t>●</t>
        </is>
      </c>
      <c r="M22" s="205" t="inlineStr">
        <is>
          <t>●</t>
        </is>
      </c>
      <c r="N22" s="205" t="n"/>
      <c r="O22" s="206" t="inlineStr">
        <is>
          <t>●</t>
        </is>
      </c>
      <c r="P22" s="204" t="n"/>
      <c r="Q22" s="205" t="n"/>
      <c r="R22" s="205" t="n"/>
      <c r="S22" s="205" t="n"/>
      <c r="T22" s="205" t="n"/>
      <c r="U22" s="205" t="n"/>
      <c r="V22" s="205" t="n"/>
      <c r="W22" s="205" t="n"/>
      <c r="X22" s="205" t="n"/>
      <c r="Y22" s="205" t="n"/>
      <c r="Z22" s="205" t="n"/>
      <c r="AA22" s="205" t="n"/>
      <c r="AB22" s="205" t="n"/>
      <c r="AC22" s="205" t="n"/>
      <c r="AD22" s="205" t="n"/>
      <c r="AE22" s="205" t="n"/>
      <c r="AF22" s="205" t="n"/>
      <c r="AG22" s="206" t="n"/>
      <c r="AH22" s="204" t="n"/>
      <c r="AI22" s="205" t="n"/>
      <c r="AJ22" s="205" t="n"/>
      <c r="AK22" s="205" t="n"/>
      <c r="AL22" s="206" t="n"/>
      <c r="AM22" s="207" t="inlineStr">
        <is>
          <t>●</t>
        </is>
      </c>
      <c r="AN22" s="205" t="n"/>
      <c r="AO22" s="205" t="n"/>
      <c r="AP22" s="206" t="n"/>
      <c r="AQ22" s="160" t="n"/>
    </row>
    <row r="23">
      <c r="A23" s="160" t="n"/>
      <c r="B23" s="202" t="n"/>
      <c r="C23" s="203" t="inlineStr">
        <is>
          <t>24A</t>
        </is>
      </c>
      <c r="D23" s="204" t="n"/>
      <c r="E23" s="205" t="n"/>
      <c r="F23" s="205" t="n"/>
      <c r="G23" s="205" t="n"/>
      <c r="H23" s="205" t="n"/>
      <c r="I23" s="205" t="n"/>
      <c r="J23" s="205" t="inlineStr">
        <is>
          <t>●</t>
        </is>
      </c>
      <c r="K23" s="205" t="inlineStr">
        <is>
          <t>●</t>
        </is>
      </c>
      <c r="L23" s="205" t="inlineStr">
        <is>
          <t>●</t>
        </is>
      </c>
      <c r="M23" s="205" t="inlineStr">
        <is>
          <t>●</t>
        </is>
      </c>
      <c r="N23" s="205" t="n"/>
      <c r="O23" s="206" t="n"/>
      <c r="P23" s="204" t="n"/>
      <c r="Q23" s="205" t="n"/>
      <c r="R23" s="205" t="n"/>
      <c r="S23" s="205" t="n"/>
      <c r="T23" s="205" t="n"/>
      <c r="U23" s="205" t="n"/>
      <c r="V23" s="205" t="n"/>
      <c r="W23" s="205" t="n"/>
      <c r="X23" s="205" t="n"/>
      <c r="Y23" s="205" t="n"/>
      <c r="Z23" s="205" t="n"/>
      <c r="AA23" s="205" t="n"/>
      <c r="AB23" s="205" t="n"/>
      <c r="AC23" s="205" t="n"/>
      <c r="AD23" s="205" t="n"/>
      <c r="AE23" s="205" t="n"/>
      <c r="AF23" s="205" t="n"/>
      <c r="AG23" s="206" t="n"/>
      <c r="AH23" s="204" t="n"/>
      <c r="AI23" s="205" t="n"/>
      <c r="AJ23" s="205" t="n"/>
      <c r="AK23" s="205" t="n"/>
      <c r="AL23" s="206" t="n"/>
      <c r="AM23" s="207" t="inlineStr">
        <is>
          <t>●</t>
        </is>
      </c>
      <c r="AN23" s="205" t="n"/>
      <c r="AO23" s="205" t="inlineStr">
        <is>
          <t>●</t>
        </is>
      </c>
      <c r="AP23" s="206" t="n"/>
      <c r="AQ23" s="160" t="n"/>
    </row>
    <row r="24">
      <c r="A24" s="160" t="n"/>
      <c r="B24" s="202" t="n"/>
      <c r="C24" s="203" t="inlineStr">
        <is>
          <t>25A</t>
        </is>
      </c>
      <c r="D24" s="204" t="n"/>
      <c r="E24" s="205" t="n"/>
      <c r="F24" s="205" t="n"/>
      <c r="G24" s="205" t="n"/>
      <c r="H24" s="205" t="n"/>
      <c r="I24" s="205" t="n"/>
      <c r="J24" s="205" t="inlineStr">
        <is>
          <t>●</t>
        </is>
      </c>
      <c r="K24" s="205" t="inlineStr">
        <is>
          <t>●</t>
        </is>
      </c>
      <c r="L24" s="205" t="inlineStr">
        <is>
          <t>●</t>
        </is>
      </c>
      <c r="M24" s="205" t="inlineStr">
        <is>
          <t>●</t>
        </is>
      </c>
      <c r="N24" s="205" t="n"/>
      <c r="O24" s="206" t="n"/>
      <c r="P24" s="204" t="n"/>
      <c r="Q24" s="205" t="n"/>
      <c r="R24" s="205" t="n"/>
      <c r="S24" s="205" t="n"/>
      <c r="T24" s="205" t="n"/>
      <c r="U24" s="205" t="n"/>
      <c r="V24" s="205" t="n"/>
      <c r="W24" s="205" t="n"/>
      <c r="X24" s="205" t="n"/>
      <c r="Y24" s="205" t="n"/>
      <c r="Z24" s="205" t="n"/>
      <c r="AA24" s="205" t="n"/>
      <c r="AB24" s="205" t="n"/>
      <c r="AC24" s="205" t="n"/>
      <c r="AD24" s="205" t="n"/>
      <c r="AE24" s="205" t="n"/>
      <c r="AF24" s="205" t="n"/>
      <c r="AG24" s="206" t="n"/>
      <c r="AH24" s="204" t="n"/>
      <c r="AI24" s="205" t="n"/>
      <c r="AJ24" s="205" t="n"/>
      <c r="AK24" s="205" t="n"/>
      <c r="AL24" s="206" t="n"/>
      <c r="AM24" s="207" t="inlineStr">
        <is>
          <t>●</t>
        </is>
      </c>
      <c r="AN24" s="205" t="n"/>
      <c r="AO24" s="205" t="inlineStr">
        <is>
          <t>●</t>
        </is>
      </c>
      <c r="AP24" s="206" t="n"/>
      <c r="AQ24" s="160" t="n"/>
    </row>
    <row r="25">
      <c r="A25" s="160" t="n"/>
      <c r="B25" s="202" t="n"/>
      <c r="C25" s="203" t="inlineStr">
        <is>
          <t>26A</t>
        </is>
      </c>
      <c r="D25" s="204" t="n"/>
      <c r="E25" s="205" t="n"/>
      <c r="F25" s="205" t="n"/>
      <c r="G25" s="205" t="n"/>
      <c r="H25" s="205" t="n"/>
      <c r="I25" s="205" t="n"/>
      <c r="J25" s="205" t="inlineStr">
        <is>
          <t>●</t>
        </is>
      </c>
      <c r="K25" s="205" t="inlineStr">
        <is>
          <t>●</t>
        </is>
      </c>
      <c r="L25" s="205" t="inlineStr">
        <is>
          <t>●</t>
        </is>
      </c>
      <c r="M25" s="205" t="inlineStr">
        <is>
          <t>●</t>
        </is>
      </c>
      <c r="N25" s="205" t="n"/>
      <c r="O25" s="206" t="inlineStr">
        <is>
          <t>●</t>
        </is>
      </c>
      <c r="P25" s="204" t="n"/>
      <c r="Q25" s="205" t="n"/>
      <c r="R25" s="205" t="n"/>
      <c r="S25" s="205" t="n"/>
      <c r="T25" s="205" t="n"/>
      <c r="U25" s="205" t="n"/>
      <c r="V25" s="205" t="n"/>
      <c r="W25" s="205" t="n"/>
      <c r="X25" s="205" t="n"/>
      <c r="Y25" s="205" t="n"/>
      <c r="Z25" s="205" t="n"/>
      <c r="AA25" s="205" t="n"/>
      <c r="AB25" s="205" t="n"/>
      <c r="AC25" s="205" t="n"/>
      <c r="AD25" s="205" t="n"/>
      <c r="AE25" s="205" t="n"/>
      <c r="AF25" s="205" t="n"/>
      <c r="AG25" s="206" t="n"/>
      <c r="AH25" s="204" t="n"/>
      <c r="AI25" s="205" t="n"/>
      <c r="AJ25" s="205" t="n"/>
      <c r="AK25" s="205" t="n"/>
      <c r="AL25" s="206" t="n"/>
      <c r="AM25" s="207" t="inlineStr">
        <is>
          <t>●</t>
        </is>
      </c>
      <c r="AN25" s="205" t="n"/>
      <c r="AO25" s="205" t="inlineStr">
        <is>
          <t>●</t>
        </is>
      </c>
      <c r="AP25" s="206" t="n"/>
      <c r="AQ25" s="160" t="n"/>
    </row>
    <row r="26">
      <c r="A26" s="160" t="n"/>
      <c r="B26" s="202" t="n"/>
      <c r="C26" s="203" t="inlineStr">
        <is>
          <t>27A</t>
        </is>
      </c>
      <c r="D26" s="204" t="n"/>
      <c r="E26" s="205" t="n"/>
      <c r="F26" s="205" t="n"/>
      <c r="G26" s="205" t="n"/>
      <c r="H26" s="205" t="n"/>
      <c r="I26" s="205" t="n"/>
      <c r="J26" s="205" t="inlineStr">
        <is>
          <t>●</t>
        </is>
      </c>
      <c r="K26" s="205" t="inlineStr">
        <is>
          <t>●</t>
        </is>
      </c>
      <c r="L26" s="205" t="inlineStr">
        <is>
          <t>●</t>
        </is>
      </c>
      <c r="M26" s="205" t="inlineStr">
        <is>
          <t>●</t>
        </is>
      </c>
      <c r="N26" s="205" t="n"/>
      <c r="O26" s="206" t="inlineStr">
        <is>
          <t>●</t>
        </is>
      </c>
      <c r="P26" s="204" t="n"/>
      <c r="Q26" s="205" t="n"/>
      <c r="R26" s="205" t="n"/>
      <c r="S26" s="205" t="n"/>
      <c r="T26" s="205" t="n"/>
      <c r="U26" s="205" t="n"/>
      <c r="V26" s="205" t="n"/>
      <c r="W26" s="205" t="n"/>
      <c r="X26" s="205" t="n"/>
      <c r="Y26" s="205" t="n"/>
      <c r="Z26" s="205" t="n"/>
      <c r="AA26" s="205" t="n"/>
      <c r="AB26" s="205" t="n"/>
      <c r="AC26" s="205" t="n"/>
      <c r="AD26" s="205" t="n"/>
      <c r="AE26" s="205" t="n"/>
      <c r="AF26" s="205" t="n"/>
      <c r="AG26" s="206" t="n"/>
      <c r="AH26" s="204" t="n"/>
      <c r="AI26" s="205" t="n"/>
      <c r="AJ26" s="205" t="n"/>
      <c r="AK26" s="205" t="n"/>
      <c r="AL26" s="206" t="n"/>
      <c r="AM26" s="207" t="inlineStr">
        <is>
          <t>●</t>
        </is>
      </c>
      <c r="AN26" s="205" t="n"/>
      <c r="AO26" s="205" t="inlineStr">
        <is>
          <t>●</t>
        </is>
      </c>
      <c r="AP26" s="206" t="n"/>
      <c r="AQ26" s="160" t="n"/>
    </row>
    <row r="27">
      <c r="A27" s="160" t="n"/>
      <c r="B27" s="202" t="n"/>
      <c r="C27" s="203" t="inlineStr">
        <is>
          <t>28A</t>
        </is>
      </c>
      <c r="D27" s="204" t="n"/>
      <c r="E27" s="205" t="n"/>
      <c r="F27" s="205" t="n"/>
      <c r="G27" s="205" t="n"/>
      <c r="H27" s="205" t="n"/>
      <c r="I27" s="205" t="n"/>
      <c r="J27" s="205" t="inlineStr">
        <is>
          <t>●</t>
        </is>
      </c>
      <c r="K27" s="205" t="inlineStr">
        <is>
          <t>●</t>
        </is>
      </c>
      <c r="L27" s="205" t="inlineStr">
        <is>
          <t>●</t>
        </is>
      </c>
      <c r="M27" s="205" t="inlineStr">
        <is>
          <t>●</t>
        </is>
      </c>
      <c r="N27" s="205" t="n"/>
      <c r="O27" s="206" t="inlineStr">
        <is>
          <t>●</t>
        </is>
      </c>
      <c r="P27" s="204" t="n"/>
      <c r="Q27" s="205" t="n"/>
      <c r="R27" s="205" t="n"/>
      <c r="S27" s="205" t="n"/>
      <c r="T27" s="205" t="n"/>
      <c r="U27" s="205" t="n"/>
      <c r="V27" s="205" t="n"/>
      <c r="W27" s="205" t="n"/>
      <c r="X27" s="205" t="n"/>
      <c r="Y27" s="205" t="n"/>
      <c r="Z27" s="205" t="n"/>
      <c r="AA27" s="205" t="n"/>
      <c r="AB27" s="205" t="n"/>
      <c r="AC27" s="205" t="n"/>
      <c r="AD27" s="205" t="n"/>
      <c r="AE27" s="205" t="n"/>
      <c r="AF27" s="205" t="n"/>
      <c r="AG27" s="206" t="n"/>
      <c r="AH27" s="204" t="n"/>
      <c r="AI27" s="205" t="n"/>
      <c r="AJ27" s="205" t="n"/>
      <c r="AK27" s="205" t="n"/>
      <c r="AL27" s="206" t="n"/>
      <c r="AM27" s="207" t="inlineStr">
        <is>
          <t>●</t>
        </is>
      </c>
      <c r="AN27" s="205" t="n"/>
      <c r="AO27" s="205" t="inlineStr">
        <is>
          <t>●</t>
        </is>
      </c>
      <c r="AP27" s="206" t="n"/>
      <c r="AQ27" s="160" t="n"/>
    </row>
    <row r="28">
      <c r="A28" s="160" t="n"/>
      <c r="B28" s="202" t="n"/>
      <c r="C28" s="203" t="inlineStr">
        <is>
          <t>30A</t>
        </is>
      </c>
      <c r="D28" s="204" t="n"/>
      <c r="E28" s="205" t="n"/>
      <c r="F28" s="205" t="n"/>
      <c r="G28" s="205" t="n"/>
      <c r="H28" s="205" t="n"/>
      <c r="I28" s="205" t="n"/>
      <c r="J28" s="205" t="inlineStr">
        <is>
          <t>●</t>
        </is>
      </c>
      <c r="K28" s="205" t="inlineStr">
        <is>
          <t>●</t>
        </is>
      </c>
      <c r="L28" s="205" t="inlineStr">
        <is>
          <t>●</t>
        </is>
      </c>
      <c r="M28" s="205" t="inlineStr">
        <is>
          <t>●</t>
        </is>
      </c>
      <c r="N28" s="205" t="inlineStr">
        <is>
          <t>●</t>
        </is>
      </c>
      <c r="O28" s="206" t="n"/>
      <c r="P28" s="204" t="n"/>
      <c r="Q28" s="205" t="n"/>
      <c r="R28" s="205" t="n"/>
      <c r="S28" s="205" t="n"/>
      <c r="T28" s="205" t="n"/>
      <c r="U28" s="205" t="n"/>
      <c r="V28" s="205" t="n"/>
      <c r="W28" s="205" t="n"/>
      <c r="X28" s="205" t="n"/>
      <c r="Y28" s="205" t="n"/>
      <c r="Z28" s="205" t="n"/>
      <c r="AA28" s="205" t="n"/>
      <c r="AB28" s="205" t="n"/>
      <c r="AC28" s="205" t="n"/>
      <c r="AD28" s="205" t="n"/>
      <c r="AE28" s="205" t="n"/>
      <c r="AF28" s="205" t="n"/>
      <c r="AG28" s="206" t="n"/>
      <c r="AH28" s="204" t="n"/>
      <c r="AI28" s="205" t="n"/>
      <c r="AJ28" s="205" t="n"/>
      <c r="AK28" s="205" t="n"/>
      <c r="AL28" s="206" t="n"/>
      <c r="AM28" s="207" t="n"/>
      <c r="AN28" s="205" t="n"/>
      <c r="AO28" s="205" t="n"/>
      <c r="AP28" s="206" t="n"/>
      <c r="AQ28" s="160" t="n"/>
    </row>
    <row r="29">
      <c r="A29" s="160" t="n"/>
      <c r="B29" s="202" t="n"/>
      <c r="C29" s="203" t="inlineStr">
        <is>
          <t>31A</t>
        </is>
      </c>
      <c r="D29" s="204" t="n"/>
      <c r="E29" s="205" t="n"/>
      <c r="F29" s="205" t="n"/>
      <c r="G29" s="205" t="n"/>
      <c r="H29" s="205" t="n"/>
      <c r="I29" s="205" t="n"/>
      <c r="J29" s="205" t="inlineStr">
        <is>
          <t>●</t>
        </is>
      </c>
      <c r="K29" s="205" t="inlineStr">
        <is>
          <t>●</t>
        </is>
      </c>
      <c r="L29" s="205" t="inlineStr">
        <is>
          <t>●</t>
        </is>
      </c>
      <c r="M29" s="205" t="inlineStr">
        <is>
          <t>●</t>
        </is>
      </c>
      <c r="N29" s="205" t="inlineStr">
        <is>
          <t>●</t>
        </is>
      </c>
      <c r="O29" s="206" t="n"/>
      <c r="P29" s="204" t="n"/>
      <c r="Q29" s="205" t="n"/>
      <c r="R29" s="205" t="n"/>
      <c r="S29" s="205" t="n"/>
      <c r="T29" s="205" t="n"/>
      <c r="U29" s="205" t="n"/>
      <c r="V29" s="205" t="n"/>
      <c r="W29" s="205" t="n"/>
      <c r="X29" s="205" t="n"/>
      <c r="Y29" s="205" t="n"/>
      <c r="Z29" s="205" t="n"/>
      <c r="AA29" s="205" t="n"/>
      <c r="AB29" s="205" t="n"/>
      <c r="AC29" s="205" t="n"/>
      <c r="AD29" s="205" t="n"/>
      <c r="AE29" s="205" t="n"/>
      <c r="AF29" s="205" t="n"/>
      <c r="AG29" s="206" t="n"/>
      <c r="AH29" s="204" t="n"/>
      <c r="AI29" s="205" t="n"/>
      <c r="AJ29" s="205" t="n"/>
      <c r="AK29" s="205" t="n"/>
      <c r="AL29" s="206" t="n"/>
      <c r="AM29" s="207" t="n"/>
      <c r="AN29" s="205" t="n"/>
      <c r="AO29" s="205" t="n"/>
      <c r="AP29" s="206" t="n"/>
      <c r="AQ29" s="160" t="n"/>
    </row>
    <row r="30">
      <c r="A30" s="160" t="n"/>
      <c r="B30" s="202" t="n"/>
      <c r="C30" s="203" t="inlineStr">
        <is>
          <t>32A</t>
        </is>
      </c>
      <c r="D30" s="204" t="n"/>
      <c r="E30" s="205" t="n"/>
      <c r="F30" s="205" t="n"/>
      <c r="G30" s="205" t="n"/>
      <c r="H30" s="205" t="n"/>
      <c r="I30" s="205" t="n"/>
      <c r="J30" s="205" t="inlineStr">
        <is>
          <t>●</t>
        </is>
      </c>
      <c r="K30" s="205" t="inlineStr">
        <is>
          <t>●</t>
        </is>
      </c>
      <c r="L30" s="205" t="inlineStr">
        <is>
          <t>●</t>
        </is>
      </c>
      <c r="M30" s="205" t="inlineStr">
        <is>
          <t>●</t>
        </is>
      </c>
      <c r="N30" s="205" t="inlineStr">
        <is>
          <t>●</t>
        </is>
      </c>
      <c r="O30" s="206" t="inlineStr">
        <is>
          <t>●</t>
        </is>
      </c>
      <c r="P30" s="204" t="n"/>
      <c r="Q30" s="205" t="n"/>
      <c r="R30" s="205" t="n"/>
      <c r="S30" s="205" t="n"/>
      <c r="T30" s="205" t="n"/>
      <c r="U30" s="205" t="n"/>
      <c r="V30" s="205" t="n"/>
      <c r="W30" s="205" t="n"/>
      <c r="X30" s="205" t="n"/>
      <c r="Y30" s="205" t="n"/>
      <c r="Z30" s="205" t="n"/>
      <c r="AA30" s="205" t="n"/>
      <c r="AB30" s="205" t="n"/>
      <c r="AC30" s="205" t="n"/>
      <c r="AD30" s="205" t="n"/>
      <c r="AE30" s="205" t="n"/>
      <c r="AF30" s="205" t="n"/>
      <c r="AG30" s="206" t="n"/>
      <c r="AH30" s="204" t="n"/>
      <c r="AI30" s="205" t="n"/>
      <c r="AJ30" s="205" t="n"/>
      <c r="AK30" s="205" t="n"/>
      <c r="AL30" s="206" t="n"/>
      <c r="AM30" s="207" t="n"/>
      <c r="AN30" s="205" t="n"/>
      <c r="AO30" s="205" t="n"/>
      <c r="AP30" s="206" t="n"/>
      <c r="AQ30" s="160" t="n"/>
    </row>
    <row r="31">
      <c r="A31" s="160" t="n"/>
      <c r="B31" s="202" t="n"/>
      <c r="C31" s="203" t="inlineStr">
        <is>
          <t>33A</t>
        </is>
      </c>
      <c r="D31" s="204" t="n"/>
      <c r="E31" s="205" t="n"/>
      <c r="F31" s="205" t="n"/>
      <c r="G31" s="205" t="n"/>
      <c r="H31" s="205" t="n"/>
      <c r="I31" s="205" t="n"/>
      <c r="J31" s="205" t="inlineStr">
        <is>
          <t>●</t>
        </is>
      </c>
      <c r="K31" s="205" t="inlineStr">
        <is>
          <t>●</t>
        </is>
      </c>
      <c r="L31" s="205" t="inlineStr">
        <is>
          <t>●</t>
        </is>
      </c>
      <c r="M31" s="205" t="inlineStr">
        <is>
          <t>●</t>
        </is>
      </c>
      <c r="N31" s="205" t="inlineStr">
        <is>
          <t>●</t>
        </is>
      </c>
      <c r="O31" s="206" t="inlineStr">
        <is>
          <t>●</t>
        </is>
      </c>
      <c r="P31" s="204" t="n"/>
      <c r="Q31" s="205" t="n"/>
      <c r="R31" s="205" t="n"/>
      <c r="S31" s="205" t="n"/>
      <c r="T31" s="205" t="n"/>
      <c r="U31" s="205" t="n"/>
      <c r="V31" s="205" t="n"/>
      <c r="W31" s="205" t="n"/>
      <c r="X31" s="205" t="n"/>
      <c r="Y31" s="205" t="n"/>
      <c r="Z31" s="205" t="n"/>
      <c r="AA31" s="205" t="n"/>
      <c r="AB31" s="205" t="n"/>
      <c r="AC31" s="205" t="n"/>
      <c r="AD31" s="205" t="n"/>
      <c r="AE31" s="205" t="n"/>
      <c r="AF31" s="205" t="n"/>
      <c r="AG31" s="206" t="n"/>
      <c r="AH31" s="204" t="n"/>
      <c r="AI31" s="205" t="n"/>
      <c r="AJ31" s="205" t="n"/>
      <c r="AK31" s="205" t="n"/>
      <c r="AL31" s="206" t="n"/>
      <c r="AM31" s="207" t="inlineStr">
        <is>
          <t>●</t>
        </is>
      </c>
      <c r="AN31" s="205" t="n"/>
      <c r="AO31" s="205" t="n"/>
      <c r="AP31" s="206" t="n"/>
      <c r="AQ31" s="160" t="n"/>
    </row>
    <row r="32">
      <c r="A32" s="160" t="n"/>
      <c r="B32" s="202" t="n"/>
      <c r="C32" s="203" t="inlineStr">
        <is>
          <t>34A</t>
        </is>
      </c>
      <c r="D32" s="204" t="n"/>
      <c r="E32" s="205" t="n"/>
      <c r="F32" s="205" t="n"/>
      <c r="G32" s="205" t="n"/>
      <c r="H32" s="205" t="n"/>
      <c r="I32" s="205" t="n"/>
      <c r="J32" s="205" t="inlineStr">
        <is>
          <t>●</t>
        </is>
      </c>
      <c r="K32" s="205" t="inlineStr">
        <is>
          <t>●</t>
        </is>
      </c>
      <c r="L32" s="205" t="inlineStr">
        <is>
          <t>●</t>
        </is>
      </c>
      <c r="M32" s="205" t="inlineStr">
        <is>
          <t>●</t>
        </is>
      </c>
      <c r="N32" s="205" t="inlineStr">
        <is>
          <t>●</t>
        </is>
      </c>
      <c r="O32" s="206" t="n"/>
      <c r="P32" s="204" t="n"/>
      <c r="Q32" s="205" t="n"/>
      <c r="R32" s="205" t="n"/>
      <c r="S32" s="205" t="n"/>
      <c r="T32" s="205" t="n"/>
      <c r="U32" s="205" t="n"/>
      <c r="V32" s="205" t="n"/>
      <c r="W32" s="205" t="n"/>
      <c r="X32" s="205" t="n"/>
      <c r="Y32" s="205" t="n"/>
      <c r="Z32" s="205" t="n"/>
      <c r="AA32" s="205" t="n"/>
      <c r="AB32" s="205" t="n"/>
      <c r="AC32" s="205" t="n"/>
      <c r="AD32" s="205" t="n"/>
      <c r="AE32" s="205" t="n"/>
      <c r="AF32" s="205" t="n"/>
      <c r="AG32" s="206" t="n"/>
      <c r="AH32" s="204" t="n"/>
      <c r="AI32" s="205" t="n"/>
      <c r="AJ32" s="205" t="n"/>
      <c r="AK32" s="205" t="n"/>
      <c r="AL32" s="206" t="n"/>
      <c r="AM32" s="207" t="inlineStr">
        <is>
          <t>●</t>
        </is>
      </c>
      <c r="AN32" s="205" t="n"/>
      <c r="AO32" s="205" t="inlineStr">
        <is>
          <t>●</t>
        </is>
      </c>
      <c r="AP32" s="206" t="n"/>
      <c r="AQ32" s="160" t="n"/>
    </row>
    <row r="33">
      <c r="A33" s="160" t="n"/>
      <c r="B33" s="202" t="n"/>
      <c r="C33" s="203" t="inlineStr">
        <is>
          <t>35A</t>
        </is>
      </c>
      <c r="D33" s="204" t="n"/>
      <c r="E33" s="205" t="n"/>
      <c r="F33" s="205" t="n"/>
      <c r="G33" s="205" t="n"/>
      <c r="H33" s="205" t="n"/>
      <c r="I33" s="205" t="n"/>
      <c r="J33" s="205" t="inlineStr">
        <is>
          <t>●</t>
        </is>
      </c>
      <c r="K33" s="205" t="inlineStr">
        <is>
          <t>●</t>
        </is>
      </c>
      <c r="L33" s="205" t="inlineStr">
        <is>
          <t>●</t>
        </is>
      </c>
      <c r="M33" s="205" t="inlineStr">
        <is>
          <t>●</t>
        </is>
      </c>
      <c r="N33" s="205" t="inlineStr">
        <is>
          <t>●</t>
        </is>
      </c>
      <c r="O33" s="206" t="n"/>
      <c r="P33" s="204" t="n"/>
      <c r="Q33" s="205" t="n"/>
      <c r="R33" s="205" t="n"/>
      <c r="S33" s="205" t="n"/>
      <c r="T33" s="205" t="n"/>
      <c r="U33" s="205" t="n"/>
      <c r="V33" s="205" t="n"/>
      <c r="W33" s="205" t="n"/>
      <c r="X33" s="205" t="n"/>
      <c r="Y33" s="205" t="n"/>
      <c r="Z33" s="205" t="n"/>
      <c r="AA33" s="205" t="n"/>
      <c r="AB33" s="205" t="n"/>
      <c r="AC33" s="205" t="n"/>
      <c r="AD33" s="205" t="n"/>
      <c r="AE33" s="205" t="n"/>
      <c r="AF33" s="205" t="n"/>
      <c r="AG33" s="206" t="n"/>
      <c r="AH33" s="204" t="n"/>
      <c r="AI33" s="205" t="n"/>
      <c r="AJ33" s="205" t="n"/>
      <c r="AK33" s="205" t="n"/>
      <c r="AL33" s="206" t="n"/>
      <c r="AM33" s="207" t="inlineStr">
        <is>
          <t>●</t>
        </is>
      </c>
      <c r="AN33" s="205" t="n"/>
      <c r="AO33" s="205" t="n"/>
      <c r="AP33" s="206" t="n"/>
      <c r="AQ33" s="160" t="n"/>
    </row>
    <row r="34">
      <c r="A34" s="160" t="n"/>
      <c r="B34" s="202" t="n"/>
      <c r="C34" s="203" t="inlineStr">
        <is>
          <t>36A</t>
        </is>
      </c>
      <c r="D34" s="204" t="n"/>
      <c r="E34" s="205" t="n"/>
      <c r="F34" s="205" t="n"/>
      <c r="G34" s="205" t="n"/>
      <c r="H34" s="205" t="n"/>
      <c r="I34" s="205" t="n"/>
      <c r="J34" s="205" t="inlineStr">
        <is>
          <t>●</t>
        </is>
      </c>
      <c r="K34" s="205" t="inlineStr">
        <is>
          <t>●</t>
        </is>
      </c>
      <c r="L34" s="205" t="inlineStr">
        <is>
          <t>●</t>
        </is>
      </c>
      <c r="M34" s="205" t="inlineStr">
        <is>
          <t>●</t>
        </is>
      </c>
      <c r="N34" s="205" t="inlineStr">
        <is>
          <t>●</t>
        </is>
      </c>
      <c r="O34" s="206" t="inlineStr">
        <is>
          <t>●</t>
        </is>
      </c>
      <c r="P34" s="204" t="n"/>
      <c r="Q34" s="205" t="n"/>
      <c r="R34" s="205" t="n"/>
      <c r="S34" s="205" t="n"/>
      <c r="T34" s="205" t="n"/>
      <c r="U34" s="205" t="n"/>
      <c r="V34" s="205" t="n"/>
      <c r="W34" s="205" t="n"/>
      <c r="X34" s="205" t="n"/>
      <c r="Y34" s="205" t="n"/>
      <c r="Z34" s="205" t="n"/>
      <c r="AA34" s="205" t="n"/>
      <c r="AB34" s="205" t="n"/>
      <c r="AC34" s="205" t="n"/>
      <c r="AD34" s="205" t="n"/>
      <c r="AE34" s="205" t="n"/>
      <c r="AF34" s="205" t="n"/>
      <c r="AG34" s="206" t="n"/>
      <c r="AH34" s="204" t="n"/>
      <c r="AI34" s="205" t="n"/>
      <c r="AJ34" s="205" t="n"/>
      <c r="AK34" s="205" t="n"/>
      <c r="AL34" s="206" t="n"/>
      <c r="AM34" s="207" t="inlineStr">
        <is>
          <t>●</t>
        </is>
      </c>
      <c r="AN34" s="205" t="n"/>
      <c r="AO34" s="205" t="inlineStr">
        <is>
          <t>●</t>
        </is>
      </c>
      <c r="AP34" s="206" t="n"/>
      <c r="AQ34" s="160" t="n"/>
    </row>
    <row r="35">
      <c r="A35" s="160" t="n"/>
      <c r="B35" s="202" t="n"/>
      <c r="C35" s="203" t="inlineStr">
        <is>
          <t>37A</t>
        </is>
      </c>
      <c r="D35" s="204" t="n"/>
      <c r="E35" s="205" t="n"/>
      <c r="F35" s="205" t="n"/>
      <c r="G35" s="205" t="n"/>
      <c r="H35" s="205" t="n"/>
      <c r="I35" s="205" t="n"/>
      <c r="J35" s="205" t="inlineStr">
        <is>
          <t>●</t>
        </is>
      </c>
      <c r="K35" s="205" t="inlineStr">
        <is>
          <t>●</t>
        </is>
      </c>
      <c r="L35" s="205" t="inlineStr">
        <is>
          <t>●</t>
        </is>
      </c>
      <c r="M35" s="205" t="inlineStr">
        <is>
          <t>●</t>
        </is>
      </c>
      <c r="N35" s="205" t="inlineStr">
        <is>
          <t>●</t>
        </is>
      </c>
      <c r="O35" s="206" t="inlineStr">
        <is>
          <t>●</t>
        </is>
      </c>
      <c r="P35" s="204" t="n"/>
      <c r="Q35" s="205" t="n"/>
      <c r="R35" s="205" t="n"/>
      <c r="S35" s="205" t="n"/>
      <c r="T35" s="205" t="n"/>
      <c r="U35" s="205" t="n"/>
      <c r="V35" s="205" t="n"/>
      <c r="W35" s="205" t="n"/>
      <c r="X35" s="205" t="n"/>
      <c r="Y35" s="205" t="n"/>
      <c r="Z35" s="205" t="n"/>
      <c r="AA35" s="205" t="n"/>
      <c r="AB35" s="205" t="n"/>
      <c r="AC35" s="205" t="n"/>
      <c r="AD35" s="205" t="n"/>
      <c r="AE35" s="205" t="n"/>
      <c r="AF35" s="205" t="n"/>
      <c r="AG35" s="206" t="n"/>
      <c r="AH35" s="204" t="n"/>
      <c r="AI35" s="205" t="n"/>
      <c r="AJ35" s="205" t="n"/>
      <c r="AK35" s="205" t="n"/>
      <c r="AL35" s="206" t="n"/>
      <c r="AM35" s="207" t="inlineStr">
        <is>
          <t>●</t>
        </is>
      </c>
      <c r="AN35" s="205" t="n"/>
      <c r="AO35" s="205" t="inlineStr">
        <is>
          <t>●</t>
        </is>
      </c>
      <c r="AP35" s="206" t="n"/>
      <c r="AQ35" s="160" t="n"/>
    </row>
    <row r="36">
      <c r="A36" s="160" t="n"/>
      <c r="B36" s="202" t="n"/>
      <c r="C36" s="203" t="inlineStr">
        <is>
          <t>40A</t>
        </is>
      </c>
      <c r="D36" s="204" t="n"/>
      <c r="E36" s="205" t="inlineStr">
        <is>
          <t>●</t>
        </is>
      </c>
      <c r="F36" s="205" t="inlineStr">
        <is>
          <t>●</t>
        </is>
      </c>
      <c r="G36" s="205" t="inlineStr">
        <is>
          <t>●</t>
        </is>
      </c>
      <c r="H36" s="205" t="inlineStr">
        <is>
          <t>●</t>
        </is>
      </c>
      <c r="I36" s="205" t="n"/>
      <c r="J36" s="205" t="n"/>
      <c r="K36" s="205" t="n"/>
      <c r="L36" s="205" t="n"/>
      <c r="M36" s="205" t="n"/>
      <c r="N36" s="205" t="n"/>
      <c r="O36" s="206" t="n"/>
      <c r="P36" s="204" t="n"/>
      <c r="Q36" s="205" t="n"/>
      <c r="R36" s="205" t="n"/>
      <c r="S36" s="205" t="n"/>
      <c r="T36" s="205" t="n"/>
      <c r="U36" s="205" t="n"/>
      <c r="V36" s="205" t="n"/>
      <c r="W36" s="205" t="n"/>
      <c r="X36" s="205" t="n"/>
      <c r="Y36" s="205" t="n"/>
      <c r="Z36" s="205" t="n"/>
      <c r="AA36" s="205" t="n"/>
      <c r="AB36" s="205" t="n"/>
      <c r="AC36" s="205" t="n"/>
      <c r="AD36" s="205" t="n"/>
      <c r="AE36" s="205" t="n"/>
      <c r="AF36" s="205" t="n"/>
      <c r="AG36" s="206" t="n"/>
      <c r="AH36" s="204" t="n"/>
      <c r="AI36" s="205" t="n"/>
      <c r="AJ36" s="205" t="n"/>
      <c r="AK36" s="205" t="n"/>
      <c r="AL36" s="206" t="n"/>
      <c r="AM36" s="207" t="n"/>
      <c r="AN36" s="205" t="n"/>
      <c r="AO36" s="205" t="n"/>
      <c r="AP36" s="206" t="n"/>
      <c r="AQ36" s="160" t="n"/>
    </row>
    <row r="37">
      <c r="A37" s="160" t="n"/>
      <c r="B37" s="202" t="n"/>
      <c r="C37" s="203" t="inlineStr">
        <is>
          <t>41A</t>
        </is>
      </c>
      <c r="D37" s="204" t="n"/>
      <c r="E37" s="205" t="inlineStr">
        <is>
          <t>●</t>
        </is>
      </c>
      <c r="F37" s="205" t="inlineStr">
        <is>
          <t>●</t>
        </is>
      </c>
      <c r="G37" s="205" t="inlineStr">
        <is>
          <t>●</t>
        </is>
      </c>
      <c r="H37" s="205" t="inlineStr">
        <is>
          <t>●</t>
        </is>
      </c>
      <c r="I37" s="205" t="n"/>
      <c r="J37" s="205" t="n"/>
      <c r="K37" s="205" t="n"/>
      <c r="L37" s="205" t="n"/>
      <c r="M37" s="205" t="n"/>
      <c r="N37" s="205" t="n"/>
      <c r="O37" s="206" t="n"/>
      <c r="P37" s="204" t="n"/>
      <c r="Q37" s="205" t="n"/>
      <c r="R37" s="205" t="n"/>
      <c r="S37" s="205" t="n"/>
      <c r="T37" s="205" t="n"/>
      <c r="U37" s="205" t="n"/>
      <c r="V37" s="205" t="n"/>
      <c r="W37" s="205" t="n"/>
      <c r="X37" s="205" t="n"/>
      <c r="Y37" s="205" t="n"/>
      <c r="Z37" s="205" t="n"/>
      <c r="AA37" s="205" t="n"/>
      <c r="AB37" s="205" t="n"/>
      <c r="AC37" s="205" t="n"/>
      <c r="AD37" s="205" t="n"/>
      <c r="AE37" s="205" t="n"/>
      <c r="AF37" s="205" t="n"/>
      <c r="AG37" s="206" t="n"/>
      <c r="AH37" s="204" t="n"/>
      <c r="AI37" s="205" t="n"/>
      <c r="AJ37" s="205" t="n"/>
      <c r="AK37" s="205" t="n"/>
      <c r="AL37" s="206" t="n"/>
      <c r="AM37" s="207" t="n"/>
      <c r="AN37" s="205" t="n"/>
      <c r="AO37" s="205" t="n"/>
      <c r="AP37" s="206" t="n"/>
      <c r="AQ37" s="160" t="n"/>
    </row>
    <row r="38">
      <c r="A38" s="160" t="n"/>
      <c r="B38" s="202" t="n"/>
      <c r="C38" s="203" t="inlineStr">
        <is>
          <t>42A</t>
        </is>
      </c>
      <c r="D38" s="204" t="n"/>
      <c r="E38" s="205" t="inlineStr">
        <is>
          <t>●</t>
        </is>
      </c>
      <c r="F38" s="205" t="inlineStr">
        <is>
          <t>●</t>
        </is>
      </c>
      <c r="G38" s="205" t="inlineStr">
        <is>
          <t>●</t>
        </is>
      </c>
      <c r="H38" s="205" t="inlineStr">
        <is>
          <t>●</t>
        </is>
      </c>
      <c r="I38" s="205" t="n"/>
      <c r="J38" s="205" t="n"/>
      <c r="K38" s="205" t="n"/>
      <c r="L38" s="205" t="n"/>
      <c r="M38" s="205" t="n"/>
      <c r="N38" s="205" t="n"/>
      <c r="O38" s="206" t="inlineStr">
        <is>
          <t>●</t>
        </is>
      </c>
      <c r="P38" s="204" t="n"/>
      <c r="Q38" s="205" t="n"/>
      <c r="R38" s="205" t="n"/>
      <c r="S38" s="205" t="n"/>
      <c r="T38" s="205" t="n"/>
      <c r="U38" s="205" t="n"/>
      <c r="V38" s="205" t="n"/>
      <c r="W38" s="205" t="n"/>
      <c r="X38" s="205" t="n"/>
      <c r="Y38" s="205" t="n"/>
      <c r="Z38" s="205" t="n"/>
      <c r="AA38" s="205" t="n"/>
      <c r="AB38" s="205" t="n"/>
      <c r="AC38" s="205" t="n"/>
      <c r="AD38" s="205" t="n"/>
      <c r="AE38" s="205" t="n"/>
      <c r="AF38" s="205" t="n"/>
      <c r="AG38" s="206" t="n"/>
      <c r="AH38" s="204" t="n"/>
      <c r="AI38" s="205" t="n"/>
      <c r="AJ38" s="205" t="n"/>
      <c r="AK38" s="205" t="n"/>
      <c r="AL38" s="206" t="n"/>
      <c r="AM38" s="207" t="n"/>
      <c r="AN38" s="205" t="n"/>
      <c r="AO38" s="205" t="n"/>
      <c r="AP38" s="206" t="n"/>
      <c r="AQ38" s="160" t="n"/>
    </row>
    <row r="39">
      <c r="A39" s="160" t="n"/>
      <c r="B39" s="202" t="n"/>
      <c r="C39" s="203" t="inlineStr">
        <is>
          <t>43A</t>
        </is>
      </c>
      <c r="D39" s="204" t="n"/>
      <c r="E39" s="205" t="inlineStr">
        <is>
          <t>●</t>
        </is>
      </c>
      <c r="F39" s="205" t="inlineStr">
        <is>
          <t>●</t>
        </is>
      </c>
      <c r="G39" s="205" t="inlineStr">
        <is>
          <t>●</t>
        </is>
      </c>
      <c r="H39" s="205" t="inlineStr">
        <is>
          <t>●</t>
        </is>
      </c>
      <c r="I39" s="205" t="n"/>
      <c r="J39" s="205" t="n"/>
      <c r="K39" s="205" t="n"/>
      <c r="L39" s="205" t="n"/>
      <c r="M39" s="205" t="n"/>
      <c r="N39" s="205" t="n"/>
      <c r="O39" s="206" t="inlineStr">
        <is>
          <t>●</t>
        </is>
      </c>
      <c r="P39" s="204" t="n"/>
      <c r="Q39" s="205" t="n"/>
      <c r="R39" s="205" t="n"/>
      <c r="S39" s="205" t="n"/>
      <c r="T39" s="205" t="n"/>
      <c r="U39" s="205" t="n"/>
      <c r="V39" s="205" t="n"/>
      <c r="W39" s="205" t="n"/>
      <c r="X39" s="205" t="n"/>
      <c r="Y39" s="205" t="n"/>
      <c r="Z39" s="205" t="n"/>
      <c r="AA39" s="205" t="n"/>
      <c r="AB39" s="205" t="n"/>
      <c r="AC39" s="205" t="n"/>
      <c r="AD39" s="205" t="n"/>
      <c r="AE39" s="205" t="n"/>
      <c r="AF39" s="205" t="n"/>
      <c r="AG39" s="206" t="n"/>
      <c r="AH39" s="204" t="n"/>
      <c r="AI39" s="205" t="n"/>
      <c r="AJ39" s="205" t="n"/>
      <c r="AK39" s="205" t="n"/>
      <c r="AL39" s="206" t="n"/>
      <c r="AM39" s="207" t="n"/>
      <c r="AN39" s="205" t="n"/>
      <c r="AO39" s="205" t="n"/>
      <c r="AP39" s="206" t="n"/>
      <c r="AQ39" s="160" t="n"/>
    </row>
    <row r="40">
      <c r="A40" s="160" t="n"/>
      <c r="B40" s="202" t="n"/>
      <c r="C40" s="203" t="inlineStr">
        <is>
          <t>44A</t>
        </is>
      </c>
      <c r="D40" s="204" t="n"/>
      <c r="E40" s="205" t="inlineStr">
        <is>
          <t>●</t>
        </is>
      </c>
      <c r="F40" s="205" t="inlineStr">
        <is>
          <t>●</t>
        </is>
      </c>
      <c r="G40" s="205" t="inlineStr">
        <is>
          <t>●</t>
        </is>
      </c>
      <c r="H40" s="205" t="inlineStr">
        <is>
          <t>●</t>
        </is>
      </c>
      <c r="I40" s="205" t="n"/>
      <c r="J40" s="205" t="n"/>
      <c r="K40" s="205" t="n"/>
      <c r="L40" s="205" t="n"/>
      <c r="M40" s="205" t="n"/>
      <c r="N40" s="205" t="n"/>
      <c r="O40" s="206" t="n"/>
      <c r="P40" s="204" t="n"/>
      <c r="Q40" s="205" t="n"/>
      <c r="R40" s="205" t="n"/>
      <c r="S40" s="205" t="n"/>
      <c r="T40" s="205" t="n"/>
      <c r="U40" s="205" t="n"/>
      <c r="V40" s="205" t="n"/>
      <c r="W40" s="205" t="n"/>
      <c r="X40" s="205" t="n"/>
      <c r="Y40" s="205" t="n"/>
      <c r="Z40" s="205" t="n"/>
      <c r="AA40" s="205" t="n"/>
      <c r="AB40" s="205" t="n"/>
      <c r="AC40" s="205" t="n"/>
      <c r="AD40" s="205" t="n"/>
      <c r="AE40" s="205" t="n"/>
      <c r="AF40" s="205" t="n"/>
      <c r="AG40" s="206" t="n"/>
      <c r="AH40" s="204" t="n"/>
      <c r="AI40" s="205" t="n"/>
      <c r="AJ40" s="205" t="n"/>
      <c r="AK40" s="205" t="n"/>
      <c r="AL40" s="206" t="n"/>
      <c r="AM40" s="207" t="inlineStr">
        <is>
          <t>●</t>
        </is>
      </c>
      <c r="AN40" s="205" t="n"/>
      <c r="AO40" s="205" t="inlineStr">
        <is>
          <t>●</t>
        </is>
      </c>
      <c r="AP40" s="206" t="n"/>
      <c r="AQ40" s="160" t="n"/>
    </row>
    <row r="41">
      <c r="A41" s="160" t="n"/>
      <c r="B41" s="202" t="n"/>
      <c r="C41" s="203" t="inlineStr">
        <is>
          <t>45A</t>
        </is>
      </c>
      <c r="D41" s="204" t="n"/>
      <c r="E41" s="205" t="inlineStr">
        <is>
          <t>●</t>
        </is>
      </c>
      <c r="F41" s="205" t="inlineStr">
        <is>
          <t>●</t>
        </is>
      </c>
      <c r="G41" s="205" t="inlineStr">
        <is>
          <t>●</t>
        </is>
      </c>
      <c r="H41" s="205" t="inlineStr">
        <is>
          <t>●</t>
        </is>
      </c>
      <c r="I41" s="205" t="n"/>
      <c r="J41" s="205" t="n"/>
      <c r="K41" s="205" t="n"/>
      <c r="L41" s="205" t="n"/>
      <c r="M41" s="205" t="n"/>
      <c r="N41" s="205" t="n"/>
      <c r="O41" s="206" t="n"/>
      <c r="P41" s="204" t="n"/>
      <c r="Q41" s="205" t="n"/>
      <c r="R41" s="205" t="n"/>
      <c r="S41" s="205" t="n"/>
      <c r="T41" s="205" t="n"/>
      <c r="U41" s="205" t="n"/>
      <c r="V41" s="205" t="n"/>
      <c r="W41" s="205" t="n"/>
      <c r="X41" s="205" t="n"/>
      <c r="Y41" s="205" t="n"/>
      <c r="Z41" s="205" t="n"/>
      <c r="AA41" s="205" t="n"/>
      <c r="AB41" s="205" t="n"/>
      <c r="AC41" s="205" t="n"/>
      <c r="AD41" s="205" t="n"/>
      <c r="AE41" s="205" t="n"/>
      <c r="AF41" s="205" t="n"/>
      <c r="AG41" s="206" t="n"/>
      <c r="AH41" s="204" t="n"/>
      <c r="AI41" s="205" t="n"/>
      <c r="AJ41" s="205" t="n"/>
      <c r="AK41" s="205" t="n"/>
      <c r="AL41" s="206" t="n"/>
      <c r="AM41" s="207" t="inlineStr">
        <is>
          <t>●</t>
        </is>
      </c>
      <c r="AN41" s="205" t="n"/>
      <c r="AO41" s="205" t="inlineStr">
        <is>
          <t>●</t>
        </is>
      </c>
      <c r="AP41" s="206" t="n"/>
      <c r="AQ41" s="160" t="n"/>
    </row>
    <row r="42">
      <c r="A42" s="160" t="n"/>
      <c r="B42" s="202" t="n"/>
      <c r="C42" s="203" t="inlineStr">
        <is>
          <t>46A</t>
        </is>
      </c>
      <c r="D42" s="204" t="n"/>
      <c r="E42" s="205" t="inlineStr">
        <is>
          <t>●</t>
        </is>
      </c>
      <c r="F42" s="205" t="inlineStr">
        <is>
          <t>●</t>
        </is>
      </c>
      <c r="G42" s="205" t="inlineStr">
        <is>
          <t>●</t>
        </is>
      </c>
      <c r="H42" s="205" t="inlineStr">
        <is>
          <t>●</t>
        </is>
      </c>
      <c r="I42" s="205" t="n"/>
      <c r="J42" s="205" t="n"/>
      <c r="K42" s="205" t="n"/>
      <c r="L42" s="205" t="n"/>
      <c r="M42" s="205" t="n"/>
      <c r="N42" s="205" t="n"/>
      <c r="O42" s="206" t="inlineStr">
        <is>
          <t>●</t>
        </is>
      </c>
      <c r="P42" s="204" t="n"/>
      <c r="Q42" s="205" t="n"/>
      <c r="R42" s="205" t="n"/>
      <c r="S42" s="205" t="n"/>
      <c r="T42" s="205" t="n"/>
      <c r="U42" s="205" t="n"/>
      <c r="V42" s="205" t="n"/>
      <c r="W42" s="205" t="n"/>
      <c r="X42" s="205" t="n"/>
      <c r="Y42" s="205" t="n"/>
      <c r="Z42" s="205" t="n"/>
      <c r="AA42" s="205" t="n"/>
      <c r="AB42" s="205" t="n"/>
      <c r="AC42" s="205" t="n"/>
      <c r="AD42" s="205" t="n"/>
      <c r="AE42" s="205" t="n"/>
      <c r="AF42" s="205" t="n"/>
      <c r="AG42" s="206" t="n"/>
      <c r="AH42" s="204" t="n"/>
      <c r="AI42" s="205" t="n"/>
      <c r="AJ42" s="205" t="n"/>
      <c r="AK42" s="205" t="n"/>
      <c r="AL42" s="206" t="n"/>
      <c r="AM42" s="207" t="inlineStr">
        <is>
          <t>●</t>
        </is>
      </c>
      <c r="AN42" s="205" t="n"/>
      <c r="AO42" s="205" t="inlineStr">
        <is>
          <t>●</t>
        </is>
      </c>
      <c r="AP42" s="206" t="n"/>
      <c r="AQ42" s="160" t="n"/>
    </row>
    <row r="43">
      <c r="A43" s="160" t="n"/>
      <c r="B43" s="202" t="n"/>
      <c r="C43" s="203" t="inlineStr">
        <is>
          <t>47A</t>
        </is>
      </c>
      <c r="D43" s="204" t="n"/>
      <c r="E43" s="205" t="inlineStr">
        <is>
          <t>●</t>
        </is>
      </c>
      <c r="F43" s="205" t="inlineStr">
        <is>
          <t>●</t>
        </is>
      </c>
      <c r="G43" s="205" t="inlineStr">
        <is>
          <t>●</t>
        </is>
      </c>
      <c r="H43" s="205" t="inlineStr">
        <is>
          <t>●</t>
        </is>
      </c>
      <c r="I43" s="205" t="n"/>
      <c r="J43" s="205" t="n"/>
      <c r="K43" s="205" t="n"/>
      <c r="L43" s="205" t="n"/>
      <c r="M43" s="205" t="n"/>
      <c r="N43" s="205" t="n"/>
      <c r="O43" s="206" t="inlineStr">
        <is>
          <t>●</t>
        </is>
      </c>
      <c r="P43" s="204" t="n"/>
      <c r="Q43" s="205" t="n"/>
      <c r="R43" s="205" t="n"/>
      <c r="S43" s="205" t="n"/>
      <c r="T43" s="205" t="n"/>
      <c r="U43" s="205" t="n"/>
      <c r="V43" s="205" t="n"/>
      <c r="W43" s="205" t="n"/>
      <c r="X43" s="205" t="n"/>
      <c r="Y43" s="205" t="n"/>
      <c r="Z43" s="205" t="n"/>
      <c r="AA43" s="205" t="n"/>
      <c r="AB43" s="205" t="n"/>
      <c r="AC43" s="205" t="n"/>
      <c r="AD43" s="205" t="n"/>
      <c r="AE43" s="205" t="n"/>
      <c r="AF43" s="205" t="n"/>
      <c r="AG43" s="206" t="n"/>
      <c r="AH43" s="204" t="n"/>
      <c r="AI43" s="205" t="n"/>
      <c r="AJ43" s="205" t="n"/>
      <c r="AK43" s="205" t="n"/>
      <c r="AL43" s="206" t="n"/>
      <c r="AM43" s="207" t="inlineStr">
        <is>
          <t>●</t>
        </is>
      </c>
      <c r="AN43" s="205" t="n"/>
      <c r="AO43" s="205" t="inlineStr">
        <is>
          <t>●</t>
        </is>
      </c>
      <c r="AP43" s="206" t="n"/>
      <c r="AQ43" s="160" t="n"/>
    </row>
    <row r="44">
      <c r="A44" s="160" t="n"/>
      <c r="B44" s="202" t="n"/>
      <c r="C44" s="203" t="inlineStr">
        <is>
          <t>60A</t>
        </is>
      </c>
      <c r="D44" s="204" t="n"/>
      <c r="E44" s="205" t="inlineStr">
        <is>
          <t>●</t>
        </is>
      </c>
      <c r="F44" s="205" t="inlineStr">
        <is>
          <t>●</t>
        </is>
      </c>
      <c r="G44" s="205" t="inlineStr">
        <is>
          <t>●</t>
        </is>
      </c>
      <c r="H44" s="205" t="inlineStr">
        <is>
          <t>●</t>
        </is>
      </c>
      <c r="I44" s="205" t="n"/>
      <c r="J44" s="205" t="inlineStr">
        <is>
          <t>●</t>
        </is>
      </c>
      <c r="K44" s="205" t="inlineStr">
        <is>
          <t>●</t>
        </is>
      </c>
      <c r="L44" s="205" t="inlineStr">
        <is>
          <t>●</t>
        </is>
      </c>
      <c r="M44" s="205" t="inlineStr">
        <is>
          <t>●</t>
        </is>
      </c>
      <c r="N44" s="205" t="n"/>
      <c r="O44" s="206" t="n"/>
      <c r="P44" s="204" t="n"/>
      <c r="Q44" s="205" t="n"/>
      <c r="R44" s="205" t="n"/>
      <c r="S44" s="205" t="n"/>
      <c r="T44" s="205" t="n"/>
      <c r="U44" s="205" t="n"/>
      <c r="V44" s="205" t="n"/>
      <c r="W44" s="205" t="n"/>
      <c r="X44" s="205" t="n"/>
      <c r="Y44" s="205" t="n"/>
      <c r="Z44" s="205" t="n"/>
      <c r="AA44" s="205" t="n"/>
      <c r="AB44" s="205" t="n"/>
      <c r="AC44" s="205" t="n"/>
      <c r="AD44" s="205" t="n"/>
      <c r="AE44" s="205" t="n"/>
      <c r="AF44" s="205" t="n"/>
      <c r="AG44" s="206" t="n"/>
      <c r="AH44" s="204" t="n"/>
      <c r="AI44" s="205" t="n"/>
      <c r="AJ44" s="205" t="n"/>
      <c r="AK44" s="205" t="n"/>
      <c r="AL44" s="206" t="n"/>
      <c r="AM44" s="207" t="n"/>
      <c r="AN44" s="205" t="n"/>
      <c r="AO44" s="205" t="n"/>
      <c r="AP44" s="206" t="n"/>
      <c r="AQ44" s="160" t="n"/>
    </row>
    <row r="45">
      <c r="A45" s="160" t="n"/>
      <c r="B45" s="202" t="n"/>
      <c r="C45" s="203" t="inlineStr">
        <is>
          <t>61A</t>
        </is>
      </c>
      <c r="D45" s="204" t="inlineStr">
        <is>
          <t>●</t>
        </is>
      </c>
      <c r="E45" s="205" t="inlineStr">
        <is>
          <t>●</t>
        </is>
      </c>
      <c r="F45" s="205" t="inlineStr">
        <is>
          <t>●</t>
        </is>
      </c>
      <c r="G45" s="205" t="inlineStr">
        <is>
          <t>●</t>
        </is>
      </c>
      <c r="H45" s="205" t="inlineStr">
        <is>
          <t>●</t>
        </is>
      </c>
      <c r="I45" s="205" t="inlineStr">
        <is>
          <t>●</t>
        </is>
      </c>
      <c r="J45" s="205" t="inlineStr">
        <is>
          <t>●</t>
        </is>
      </c>
      <c r="K45" s="205" t="inlineStr">
        <is>
          <t>●</t>
        </is>
      </c>
      <c r="L45" s="205" t="inlineStr">
        <is>
          <t>●</t>
        </is>
      </c>
      <c r="M45" s="205" t="inlineStr">
        <is>
          <t>●</t>
        </is>
      </c>
      <c r="N45" s="205" t="n"/>
      <c r="O45" s="206" t="n"/>
      <c r="P45" s="204" t="n"/>
      <c r="Q45" s="205" t="n"/>
      <c r="R45" s="205" t="n"/>
      <c r="S45" s="205" t="n"/>
      <c r="T45" s="205" t="n"/>
      <c r="U45" s="205" t="n"/>
      <c r="V45" s="205" t="n"/>
      <c r="W45" s="205" t="n"/>
      <c r="X45" s="205" t="n"/>
      <c r="Y45" s="205" t="n"/>
      <c r="Z45" s="205" t="n"/>
      <c r="AA45" s="205" t="n"/>
      <c r="AB45" s="205" t="n"/>
      <c r="AC45" s="205" t="n"/>
      <c r="AD45" s="205" t="n"/>
      <c r="AE45" s="205" t="n"/>
      <c r="AF45" s="205" t="n"/>
      <c r="AG45" s="206" t="n"/>
      <c r="AH45" s="204" t="inlineStr">
        <is>
          <t>●</t>
        </is>
      </c>
      <c r="AI45" s="205" t="inlineStr">
        <is>
          <t>●</t>
        </is>
      </c>
      <c r="AJ45" s="205" t="inlineStr">
        <is>
          <t>●</t>
        </is>
      </c>
      <c r="AK45" s="205" t="inlineStr">
        <is>
          <t>●</t>
        </is>
      </c>
      <c r="AL45" s="206" t="inlineStr">
        <is>
          <t>●</t>
        </is>
      </c>
      <c r="AM45" s="207" t="n"/>
      <c r="AN45" s="205" t="n"/>
      <c r="AO45" s="205" t="n"/>
      <c r="AP45" s="206" t="n"/>
      <c r="AQ45" s="160" t="n"/>
    </row>
    <row r="46">
      <c r="A46" s="160" t="n"/>
      <c r="B46" s="202" t="n"/>
      <c r="C46" s="203" t="inlineStr">
        <is>
          <t>62A</t>
        </is>
      </c>
      <c r="D46" s="204" t="n"/>
      <c r="E46" s="205" t="inlineStr">
        <is>
          <t>●</t>
        </is>
      </c>
      <c r="F46" s="205" t="inlineStr">
        <is>
          <t>●</t>
        </is>
      </c>
      <c r="G46" s="205" t="inlineStr">
        <is>
          <t>●</t>
        </is>
      </c>
      <c r="H46" s="205" t="inlineStr">
        <is>
          <t>●</t>
        </is>
      </c>
      <c r="I46" s="205" t="n"/>
      <c r="J46" s="205" t="inlineStr">
        <is>
          <t>●</t>
        </is>
      </c>
      <c r="K46" s="205" t="inlineStr">
        <is>
          <t>●</t>
        </is>
      </c>
      <c r="L46" s="205" t="inlineStr">
        <is>
          <t>●</t>
        </is>
      </c>
      <c r="M46" s="205" t="inlineStr">
        <is>
          <t>●</t>
        </is>
      </c>
      <c r="N46" s="205" t="n"/>
      <c r="O46" s="206" t="inlineStr">
        <is>
          <t>●</t>
        </is>
      </c>
      <c r="P46" s="204" t="n"/>
      <c r="Q46" s="205" t="n"/>
      <c r="R46" s="205" t="n"/>
      <c r="S46" s="205" t="n"/>
      <c r="T46" s="205" t="n"/>
      <c r="U46" s="205" t="n"/>
      <c r="V46" s="205" t="n"/>
      <c r="W46" s="205" t="n"/>
      <c r="X46" s="205" t="n"/>
      <c r="Y46" s="205" t="n"/>
      <c r="Z46" s="205" t="n"/>
      <c r="AA46" s="205" t="n"/>
      <c r="AB46" s="205" t="n"/>
      <c r="AC46" s="205" t="n"/>
      <c r="AD46" s="205" t="n"/>
      <c r="AE46" s="205" t="n"/>
      <c r="AF46" s="205" t="n"/>
      <c r="AG46" s="206" t="n"/>
      <c r="AH46" s="204" t="n"/>
      <c r="AI46" s="205" t="n"/>
      <c r="AJ46" s="205" t="n"/>
      <c r="AK46" s="205" t="n"/>
      <c r="AL46" s="206" t="n"/>
      <c r="AM46" s="207" t="n"/>
      <c r="AN46" s="205" t="n"/>
      <c r="AO46" s="205" t="n"/>
      <c r="AP46" s="206" t="n"/>
      <c r="AQ46" s="160" t="n"/>
    </row>
    <row r="47">
      <c r="A47" s="160" t="n"/>
      <c r="B47" s="202" t="n"/>
      <c r="C47" s="203" t="inlineStr">
        <is>
          <t>63A</t>
        </is>
      </c>
      <c r="D47" s="204" t="n"/>
      <c r="E47" s="205" t="inlineStr">
        <is>
          <t>●</t>
        </is>
      </c>
      <c r="F47" s="205" t="inlineStr">
        <is>
          <t>●</t>
        </is>
      </c>
      <c r="G47" s="205" t="inlineStr">
        <is>
          <t>●</t>
        </is>
      </c>
      <c r="H47" s="205" t="inlineStr">
        <is>
          <t>●</t>
        </is>
      </c>
      <c r="I47" s="205" t="n"/>
      <c r="J47" s="205" t="inlineStr">
        <is>
          <t>●</t>
        </is>
      </c>
      <c r="K47" s="205" t="inlineStr">
        <is>
          <t>●</t>
        </is>
      </c>
      <c r="L47" s="205" t="inlineStr">
        <is>
          <t>●</t>
        </is>
      </c>
      <c r="M47" s="205" t="inlineStr">
        <is>
          <t>●</t>
        </is>
      </c>
      <c r="N47" s="205" t="n"/>
      <c r="O47" s="206" t="inlineStr">
        <is>
          <t>●</t>
        </is>
      </c>
      <c r="P47" s="204" t="n"/>
      <c r="Q47" s="205" t="n"/>
      <c r="R47" s="205" t="n"/>
      <c r="S47" s="205" t="n"/>
      <c r="T47" s="205" t="n"/>
      <c r="U47" s="205" t="n"/>
      <c r="V47" s="205" t="n"/>
      <c r="W47" s="205" t="n"/>
      <c r="X47" s="205" t="n"/>
      <c r="Y47" s="205" t="n"/>
      <c r="Z47" s="205" t="n"/>
      <c r="AA47" s="205" t="n"/>
      <c r="AB47" s="205" t="n"/>
      <c r="AC47" s="205" t="n"/>
      <c r="AD47" s="205" t="n"/>
      <c r="AE47" s="205" t="n"/>
      <c r="AF47" s="205" t="n"/>
      <c r="AG47" s="206" t="n"/>
      <c r="AH47" s="204" t="n"/>
      <c r="AI47" s="205" t="n"/>
      <c r="AJ47" s="205" t="n"/>
      <c r="AK47" s="205" t="n"/>
      <c r="AL47" s="206" t="n"/>
      <c r="AM47" s="207" t="n"/>
      <c r="AN47" s="205" t="n"/>
      <c r="AO47" s="205" t="n"/>
      <c r="AP47" s="206" t="n"/>
      <c r="AQ47" s="160" t="n"/>
    </row>
    <row r="48">
      <c r="A48" s="160" t="n"/>
      <c r="B48" s="202" t="n"/>
      <c r="C48" s="203" t="inlineStr">
        <is>
          <t>64A</t>
        </is>
      </c>
      <c r="D48" s="204" t="n"/>
      <c r="E48" s="205" t="inlineStr">
        <is>
          <t>●</t>
        </is>
      </c>
      <c r="F48" s="205" t="inlineStr">
        <is>
          <t>●</t>
        </is>
      </c>
      <c r="G48" s="205" t="inlineStr">
        <is>
          <t>●</t>
        </is>
      </c>
      <c r="H48" s="205" t="inlineStr">
        <is>
          <t>●</t>
        </is>
      </c>
      <c r="I48" s="205" t="n"/>
      <c r="J48" s="205" t="inlineStr">
        <is>
          <t>●</t>
        </is>
      </c>
      <c r="K48" s="205" t="inlineStr">
        <is>
          <t>●</t>
        </is>
      </c>
      <c r="L48" s="205" t="inlineStr">
        <is>
          <t>●</t>
        </is>
      </c>
      <c r="M48" s="205" t="inlineStr">
        <is>
          <t>●</t>
        </is>
      </c>
      <c r="N48" s="205" t="n"/>
      <c r="O48" s="206" t="n"/>
      <c r="P48" s="204" t="n"/>
      <c r="Q48" s="205" t="n"/>
      <c r="R48" s="205" t="n"/>
      <c r="S48" s="205" t="n"/>
      <c r="T48" s="205" t="n"/>
      <c r="U48" s="205" t="n"/>
      <c r="V48" s="205" t="n"/>
      <c r="W48" s="205" t="n"/>
      <c r="X48" s="205" t="n"/>
      <c r="Y48" s="205" t="n"/>
      <c r="Z48" s="205" t="n"/>
      <c r="AA48" s="205" t="n"/>
      <c r="AB48" s="205" t="n"/>
      <c r="AC48" s="205" t="n"/>
      <c r="AD48" s="205" t="n"/>
      <c r="AE48" s="205" t="n"/>
      <c r="AF48" s="205" t="n"/>
      <c r="AG48" s="206" t="n"/>
      <c r="AH48" s="204" t="n"/>
      <c r="AI48" s="205" t="n"/>
      <c r="AJ48" s="205" t="n"/>
      <c r="AK48" s="205" t="n"/>
      <c r="AL48" s="206" t="n"/>
      <c r="AM48" s="207" t="inlineStr">
        <is>
          <t>●</t>
        </is>
      </c>
      <c r="AN48" s="205" t="n"/>
      <c r="AO48" s="205" t="inlineStr">
        <is>
          <t>●</t>
        </is>
      </c>
      <c r="AP48" s="206" t="n"/>
      <c r="AQ48" s="160" t="n"/>
    </row>
    <row r="49">
      <c r="A49" s="160" t="n"/>
      <c r="B49" s="202" t="n"/>
      <c r="C49" s="203" t="inlineStr">
        <is>
          <t>65A</t>
        </is>
      </c>
      <c r="D49" s="204" t="n"/>
      <c r="E49" s="205" t="inlineStr">
        <is>
          <t>●</t>
        </is>
      </c>
      <c r="F49" s="205" t="inlineStr">
        <is>
          <t>●</t>
        </is>
      </c>
      <c r="G49" s="205" t="inlineStr">
        <is>
          <t>●</t>
        </is>
      </c>
      <c r="H49" s="205" t="inlineStr">
        <is>
          <t>●</t>
        </is>
      </c>
      <c r="I49" s="205" t="n"/>
      <c r="J49" s="205" t="inlineStr">
        <is>
          <t>●</t>
        </is>
      </c>
      <c r="K49" s="205" t="inlineStr">
        <is>
          <t>●</t>
        </is>
      </c>
      <c r="L49" s="205" t="inlineStr">
        <is>
          <t>●</t>
        </is>
      </c>
      <c r="M49" s="205" t="inlineStr">
        <is>
          <t>●</t>
        </is>
      </c>
      <c r="N49" s="205" t="n"/>
      <c r="O49" s="206" t="n"/>
      <c r="P49" s="204" t="n"/>
      <c r="Q49" s="205" t="n"/>
      <c r="R49" s="205" t="n"/>
      <c r="S49" s="205" t="n"/>
      <c r="T49" s="205" t="n"/>
      <c r="U49" s="205" t="n"/>
      <c r="V49" s="205" t="n"/>
      <c r="W49" s="205" t="n"/>
      <c r="X49" s="205" t="n"/>
      <c r="Y49" s="205" t="n"/>
      <c r="Z49" s="205" t="n"/>
      <c r="AA49" s="205" t="n"/>
      <c r="AB49" s="205" t="n"/>
      <c r="AC49" s="205" t="n"/>
      <c r="AD49" s="205" t="n"/>
      <c r="AE49" s="205" t="n"/>
      <c r="AF49" s="205" t="n"/>
      <c r="AG49" s="206" t="n"/>
      <c r="AH49" s="204" t="n"/>
      <c r="AI49" s="205" t="n"/>
      <c r="AJ49" s="205" t="n"/>
      <c r="AK49" s="205" t="n"/>
      <c r="AL49" s="206" t="n"/>
      <c r="AM49" s="207" t="inlineStr">
        <is>
          <t>●</t>
        </is>
      </c>
      <c r="AN49" s="205" t="n"/>
      <c r="AO49" s="205" t="inlineStr">
        <is>
          <t>●</t>
        </is>
      </c>
      <c r="AP49" s="206" t="n"/>
      <c r="AQ49" s="160" t="n"/>
    </row>
    <row r="50">
      <c r="A50" s="160" t="n"/>
      <c r="B50" s="202" t="n"/>
      <c r="C50" s="203" t="inlineStr">
        <is>
          <t>66A</t>
        </is>
      </c>
      <c r="D50" s="204" t="n"/>
      <c r="E50" s="205" t="inlineStr">
        <is>
          <t>●</t>
        </is>
      </c>
      <c r="F50" s="205" t="inlineStr">
        <is>
          <t>●</t>
        </is>
      </c>
      <c r="G50" s="205" t="inlineStr">
        <is>
          <t>●</t>
        </is>
      </c>
      <c r="H50" s="205" t="inlineStr">
        <is>
          <t>●</t>
        </is>
      </c>
      <c r="I50" s="205" t="n"/>
      <c r="J50" s="205" t="inlineStr">
        <is>
          <t>●</t>
        </is>
      </c>
      <c r="K50" s="205" t="inlineStr">
        <is>
          <t>●</t>
        </is>
      </c>
      <c r="L50" s="205" t="inlineStr">
        <is>
          <t>●</t>
        </is>
      </c>
      <c r="M50" s="205" t="inlineStr">
        <is>
          <t>●</t>
        </is>
      </c>
      <c r="N50" s="205" t="n"/>
      <c r="O50" s="206" t="inlineStr">
        <is>
          <t>●</t>
        </is>
      </c>
      <c r="P50" s="204" t="n"/>
      <c r="Q50" s="205" t="n"/>
      <c r="R50" s="205" t="n"/>
      <c r="S50" s="205" t="n"/>
      <c r="T50" s="205" t="n"/>
      <c r="U50" s="205" t="n"/>
      <c r="V50" s="205" t="n"/>
      <c r="W50" s="205" t="n"/>
      <c r="X50" s="205" t="n"/>
      <c r="Y50" s="205" t="n"/>
      <c r="Z50" s="205" t="n"/>
      <c r="AA50" s="205" t="n"/>
      <c r="AB50" s="205" t="n"/>
      <c r="AC50" s="205" t="n"/>
      <c r="AD50" s="205" t="n"/>
      <c r="AE50" s="205" t="n"/>
      <c r="AF50" s="205" t="n"/>
      <c r="AG50" s="206" t="n"/>
      <c r="AH50" s="204" t="n"/>
      <c r="AI50" s="205" t="n"/>
      <c r="AJ50" s="205" t="n"/>
      <c r="AK50" s="205" t="n"/>
      <c r="AL50" s="206" t="n"/>
      <c r="AM50" s="207" t="inlineStr">
        <is>
          <t>●</t>
        </is>
      </c>
      <c r="AN50" s="205" t="n"/>
      <c r="AO50" s="205" t="inlineStr">
        <is>
          <t>●</t>
        </is>
      </c>
      <c r="AP50" s="206" t="n"/>
      <c r="AQ50" s="160" t="n"/>
    </row>
    <row r="51">
      <c r="A51" s="160" t="n"/>
      <c r="B51" s="202" t="n"/>
      <c r="C51" s="203" t="inlineStr">
        <is>
          <t>67A</t>
        </is>
      </c>
      <c r="D51" s="204" t="n"/>
      <c r="E51" s="205" t="inlineStr">
        <is>
          <t>●</t>
        </is>
      </c>
      <c r="F51" s="205" t="inlineStr">
        <is>
          <t>●</t>
        </is>
      </c>
      <c r="G51" s="205" t="inlineStr">
        <is>
          <t>●</t>
        </is>
      </c>
      <c r="H51" s="205" t="inlineStr">
        <is>
          <t>●</t>
        </is>
      </c>
      <c r="I51" s="205" t="n"/>
      <c r="J51" s="205" t="inlineStr">
        <is>
          <t>●</t>
        </is>
      </c>
      <c r="K51" s="205" t="inlineStr">
        <is>
          <t>●</t>
        </is>
      </c>
      <c r="L51" s="205" t="inlineStr">
        <is>
          <t>●</t>
        </is>
      </c>
      <c r="M51" s="205" t="inlineStr">
        <is>
          <t>●</t>
        </is>
      </c>
      <c r="N51" s="205" t="n"/>
      <c r="O51" s="206" t="inlineStr">
        <is>
          <t>●</t>
        </is>
      </c>
      <c r="P51" s="204" t="n"/>
      <c r="Q51" s="205" t="n"/>
      <c r="R51" s="205" t="n"/>
      <c r="S51" s="205" t="n"/>
      <c r="T51" s="205" t="n"/>
      <c r="U51" s="205" t="n"/>
      <c r="V51" s="205" t="n"/>
      <c r="W51" s="205" t="n"/>
      <c r="X51" s="205" t="n"/>
      <c r="Y51" s="205" t="n"/>
      <c r="Z51" s="205" t="n"/>
      <c r="AA51" s="205" t="n"/>
      <c r="AB51" s="205" t="n"/>
      <c r="AC51" s="205" t="n"/>
      <c r="AD51" s="205" t="n"/>
      <c r="AE51" s="205" t="n"/>
      <c r="AF51" s="205" t="n"/>
      <c r="AG51" s="206" t="n"/>
      <c r="AH51" s="204" t="n"/>
      <c r="AI51" s="205" t="n"/>
      <c r="AJ51" s="205" t="n"/>
      <c r="AK51" s="205" t="n"/>
      <c r="AL51" s="206" t="n"/>
      <c r="AM51" s="207" t="inlineStr">
        <is>
          <t>●</t>
        </is>
      </c>
      <c r="AN51" s="205" t="n"/>
      <c r="AO51" s="205" t="inlineStr">
        <is>
          <t>●</t>
        </is>
      </c>
      <c r="AP51" s="206" t="n"/>
      <c r="AQ51" s="160" t="n"/>
    </row>
    <row r="52">
      <c r="A52" s="160" t="n"/>
      <c r="B52" s="202" t="n"/>
      <c r="C52" s="203" t="inlineStr">
        <is>
          <t>70A</t>
        </is>
      </c>
      <c r="D52" s="204" t="n"/>
      <c r="E52" s="205" t="inlineStr">
        <is>
          <t>●</t>
        </is>
      </c>
      <c r="F52" s="205" t="inlineStr">
        <is>
          <t>●</t>
        </is>
      </c>
      <c r="G52" s="205" t="inlineStr">
        <is>
          <t>●</t>
        </is>
      </c>
      <c r="H52" s="205" t="inlineStr">
        <is>
          <t>●</t>
        </is>
      </c>
      <c r="I52" s="205" t="n"/>
      <c r="J52" s="205" t="inlineStr">
        <is>
          <t>●</t>
        </is>
      </c>
      <c r="K52" s="205" t="inlineStr">
        <is>
          <t>●</t>
        </is>
      </c>
      <c r="L52" s="205" t="inlineStr">
        <is>
          <t>●</t>
        </is>
      </c>
      <c r="M52" s="205" t="inlineStr">
        <is>
          <t>●</t>
        </is>
      </c>
      <c r="N52" s="205" t="inlineStr">
        <is>
          <t>●</t>
        </is>
      </c>
      <c r="O52" s="206" t="n"/>
      <c r="P52" s="204" t="n"/>
      <c r="Q52" s="205" t="n"/>
      <c r="R52" s="205" t="n"/>
      <c r="S52" s="205" t="n"/>
      <c r="T52" s="205" t="n"/>
      <c r="U52" s="205" t="n"/>
      <c r="V52" s="205" t="n"/>
      <c r="W52" s="205" t="n"/>
      <c r="X52" s="205" t="n"/>
      <c r="Y52" s="205" t="n"/>
      <c r="Z52" s="205" t="n"/>
      <c r="AA52" s="205" t="n"/>
      <c r="AB52" s="205" t="n"/>
      <c r="AC52" s="205" t="n"/>
      <c r="AD52" s="205" t="n"/>
      <c r="AE52" s="205" t="n"/>
      <c r="AF52" s="205" t="n"/>
      <c r="AG52" s="206" t="n"/>
      <c r="AH52" s="204" t="n"/>
      <c r="AI52" s="205" t="n"/>
      <c r="AJ52" s="205" t="n"/>
      <c r="AK52" s="205" t="n"/>
      <c r="AL52" s="206" t="n"/>
      <c r="AM52" s="207" t="n"/>
      <c r="AN52" s="205" t="n"/>
      <c r="AO52" s="205" t="n"/>
      <c r="AP52" s="206" t="n"/>
      <c r="AQ52" s="160" t="n"/>
    </row>
    <row r="53">
      <c r="A53" s="160" t="n"/>
      <c r="B53" s="202" t="n"/>
      <c r="C53" s="203" t="inlineStr">
        <is>
          <t>71A</t>
        </is>
      </c>
      <c r="D53" s="204" t="n"/>
      <c r="E53" s="205" t="inlineStr">
        <is>
          <t>●</t>
        </is>
      </c>
      <c r="F53" s="205" t="inlineStr">
        <is>
          <t>●</t>
        </is>
      </c>
      <c r="G53" s="205" t="inlineStr">
        <is>
          <t>●</t>
        </is>
      </c>
      <c r="H53" s="205" t="inlineStr">
        <is>
          <t>●</t>
        </is>
      </c>
      <c r="I53" s="205" t="n"/>
      <c r="J53" s="205" t="inlineStr">
        <is>
          <t>●</t>
        </is>
      </c>
      <c r="K53" s="205" t="inlineStr">
        <is>
          <t>●</t>
        </is>
      </c>
      <c r="L53" s="205" t="inlineStr">
        <is>
          <t>●</t>
        </is>
      </c>
      <c r="M53" s="205" t="inlineStr">
        <is>
          <t>●</t>
        </is>
      </c>
      <c r="N53" s="205" t="inlineStr">
        <is>
          <t>●</t>
        </is>
      </c>
      <c r="O53" s="206" t="n"/>
      <c r="P53" s="204" t="n"/>
      <c r="Q53" s="205" t="n"/>
      <c r="R53" s="205" t="n"/>
      <c r="S53" s="205" t="n"/>
      <c r="T53" s="205" t="n"/>
      <c r="U53" s="205" t="n"/>
      <c r="V53" s="205" t="n"/>
      <c r="W53" s="205" t="n"/>
      <c r="X53" s="205" t="n"/>
      <c r="Y53" s="205" t="n"/>
      <c r="Z53" s="205" t="n"/>
      <c r="AA53" s="205" t="n"/>
      <c r="AB53" s="205" t="n"/>
      <c r="AC53" s="205" t="n"/>
      <c r="AD53" s="205" t="n"/>
      <c r="AE53" s="205" t="n"/>
      <c r="AF53" s="205" t="n"/>
      <c r="AG53" s="206" t="n"/>
      <c r="AH53" s="204" t="n"/>
      <c r="AI53" s="205" t="n"/>
      <c r="AJ53" s="205" t="n"/>
      <c r="AK53" s="205" t="n"/>
      <c r="AL53" s="206" t="n"/>
      <c r="AM53" s="207" t="n"/>
      <c r="AN53" s="205" t="n"/>
      <c r="AO53" s="205" t="n"/>
      <c r="AP53" s="206" t="n"/>
      <c r="AQ53" s="160" t="n"/>
    </row>
    <row r="54">
      <c r="A54" s="160" t="n"/>
      <c r="B54" s="202" t="n"/>
      <c r="C54" s="203" t="inlineStr">
        <is>
          <t>72A</t>
        </is>
      </c>
      <c r="D54" s="204" t="n"/>
      <c r="E54" s="205" t="inlineStr">
        <is>
          <t>●</t>
        </is>
      </c>
      <c r="F54" s="205" t="inlineStr">
        <is>
          <t>●</t>
        </is>
      </c>
      <c r="G54" s="205" t="inlineStr">
        <is>
          <t>●</t>
        </is>
      </c>
      <c r="H54" s="205" t="inlineStr">
        <is>
          <t>●</t>
        </is>
      </c>
      <c r="I54" s="205" t="n"/>
      <c r="J54" s="205" t="inlineStr">
        <is>
          <t>●</t>
        </is>
      </c>
      <c r="K54" s="205" t="inlineStr">
        <is>
          <t>●</t>
        </is>
      </c>
      <c r="L54" s="205" t="inlineStr">
        <is>
          <t>●</t>
        </is>
      </c>
      <c r="M54" s="205" t="inlineStr">
        <is>
          <t>●</t>
        </is>
      </c>
      <c r="N54" s="205" t="inlineStr">
        <is>
          <t>●</t>
        </is>
      </c>
      <c r="O54" s="206" t="inlineStr">
        <is>
          <t>●</t>
        </is>
      </c>
      <c r="P54" s="204" t="n"/>
      <c r="Q54" s="205" t="n"/>
      <c r="R54" s="205" t="n"/>
      <c r="S54" s="205" t="n"/>
      <c r="T54" s="205" t="n"/>
      <c r="U54" s="205" t="n"/>
      <c r="V54" s="205" t="n"/>
      <c r="W54" s="205" t="n"/>
      <c r="X54" s="205" t="n"/>
      <c r="Y54" s="205" t="n"/>
      <c r="Z54" s="205" t="n"/>
      <c r="AA54" s="205" t="n"/>
      <c r="AB54" s="205" t="n"/>
      <c r="AC54" s="205" t="n"/>
      <c r="AD54" s="205" t="n"/>
      <c r="AE54" s="205" t="n"/>
      <c r="AF54" s="205" t="n"/>
      <c r="AG54" s="206" t="n"/>
      <c r="AH54" s="204" t="n"/>
      <c r="AI54" s="205" t="n"/>
      <c r="AJ54" s="205" t="n"/>
      <c r="AK54" s="205" t="n"/>
      <c r="AL54" s="206" t="n"/>
      <c r="AM54" s="207" t="n"/>
      <c r="AN54" s="205" t="n"/>
      <c r="AO54" s="205" t="n"/>
      <c r="AP54" s="206" t="n"/>
      <c r="AQ54" s="160" t="n"/>
    </row>
    <row r="55">
      <c r="A55" s="160" t="n"/>
      <c r="B55" s="202" t="n"/>
      <c r="C55" s="203" t="inlineStr">
        <is>
          <t>73A</t>
        </is>
      </c>
      <c r="D55" s="204" t="n"/>
      <c r="E55" s="205" t="inlineStr">
        <is>
          <t>●</t>
        </is>
      </c>
      <c r="F55" s="205" t="inlineStr">
        <is>
          <t>●</t>
        </is>
      </c>
      <c r="G55" s="205" t="inlineStr">
        <is>
          <t>●</t>
        </is>
      </c>
      <c r="H55" s="205" t="inlineStr">
        <is>
          <t>●</t>
        </is>
      </c>
      <c r="I55" s="205" t="n"/>
      <c r="J55" s="205" t="inlineStr">
        <is>
          <t>●</t>
        </is>
      </c>
      <c r="K55" s="205" t="inlineStr">
        <is>
          <t>●</t>
        </is>
      </c>
      <c r="L55" s="205" t="inlineStr">
        <is>
          <t>●</t>
        </is>
      </c>
      <c r="M55" s="205" t="inlineStr">
        <is>
          <t>●</t>
        </is>
      </c>
      <c r="N55" s="205" t="inlineStr">
        <is>
          <t>●</t>
        </is>
      </c>
      <c r="O55" s="206" t="inlineStr">
        <is>
          <t>●</t>
        </is>
      </c>
      <c r="P55" s="204" t="n"/>
      <c r="Q55" s="205" t="n"/>
      <c r="R55" s="205" t="n"/>
      <c r="S55" s="205" t="n"/>
      <c r="T55" s="205" t="n"/>
      <c r="U55" s="205" t="n"/>
      <c r="V55" s="205" t="n"/>
      <c r="W55" s="205" t="n"/>
      <c r="X55" s="205" t="n"/>
      <c r="Y55" s="205" t="n"/>
      <c r="Z55" s="205" t="n"/>
      <c r="AA55" s="205" t="n"/>
      <c r="AB55" s="205" t="n"/>
      <c r="AC55" s="205" t="n"/>
      <c r="AD55" s="205" t="n"/>
      <c r="AE55" s="205" t="n"/>
      <c r="AF55" s="205" t="n"/>
      <c r="AG55" s="206" t="n"/>
      <c r="AH55" s="204" t="n"/>
      <c r="AI55" s="205" t="n"/>
      <c r="AJ55" s="205" t="n"/>
      <c r="AK55" s="205" t="n"/>
      <c r="AL55" s="206" t="n"/>
      <c r="AM55" s="207" t="n"/>
      <c r="AN55" s="205" t="n"/>
      <c r="AO55" s="205" t="n"/>
      <c r="AP55" s="206" t="n"/>
      <c r="AQ55" s="160" t="n"/>
    </row>
    <row r="56">
      <c r="A56" s="160" t="n"/>
      <c r="B56" s="202" t="n"/>
      <c r="C56" s="203" t="inlineStr">
        <is>
          <t>74A</t>
        </is>
      </c>
      <c r="D56" s="204" t="n"/>
      <c r="E56" s="205" t="inlineStr">
        <is>
          <t>●</t>
        </is>
      </c>
      <c r="F56" s="205" t="inlineStr">
        <is>
          <t>●</t>
        </is>
      </c>
      <c r="G56" s="205" t="inlineStr">
        <is>
          <t>●</t>
        </is>
      </c>
      <c r="H56" s="205" t="inlineStr">
        <is>
          <t>●</t>
        </is>
      </c>
      <c r="I56" s="205" t="n"/>
      <c r="J56" s="205" t="inlineStr">
        <is>
          <t>●</t>
        </is>
      </c>
      <c r="K56" s="205" t="inlineStr">
        <is>
          <t>●</t>
        </is>
      </c>
      <c r="L56" s="205" t="inlineStr">
        <is>
          <t>●</t>
        </is>
      </c>
      <c r="M56" s="205" t="inlineStr">
        <is>
          <t>●</t>
        </is>
      </c>
      <c r="N56" s="205" t="inlineStr">
        <is>
          <t>●</t>
        </is>
      </c>
      <c r="O56" s="206" t="n"/>
      <c r="P56" s="204" t="n"/>
      <c r="Q56" s="205" t="n"/>
      <c r="R56" s="205" t="n"/>
      <c r="S56" s="205" t="n"/>
      <c r="T56" s="205" t="n"/>
      <c r="U56" s="205" t="n"/>
      <c r="V56" s="205" t="n"/>
      <c r="W56" s="205" t="n"/>
      <c r="X56" s="205" t="n"/>
      <c r="Y56" s="205" t="n"/>
      <c r="Z56" s="205" t="n"/>
      <c r="AA56" s="205" t="n"/>
      <c r="AB56" s="205" t="n"/>
      <c r="AC56" s="205" t="n"/>
      <c r="AD56" s="205" t="n"/>
      <c r="AE56" s="205" t="n"/>
      <c r="AF56" s="205" t="n"/>
      <c r="AG56" s="206" t="n"/>
      <c r="AH56" s="204" t="n"/>
      <c r="AI56" s="205" t="n"/>
      <c r="AJ56" s="205" t="n"/>
      <c r="AK56" s="205" t="n"/>
      <c r="AL56" s="206" t="n"/>
      <c r="AM56" s="207" t="inlineStr">
        <is>
          <t>●</t>
        </is>
      </c>
      <c r="AN56" s="205" t="n"/>
      <c r="AO56" s="205" t="inlineStr">
        <is>
          <t>●</t>
        </is>
      </c>
      <c r="AP56" s="206" t="n"/>
      <c r="AQ56" s="160" t="n"/>
    </row>
    <row r="57">
      <c r="A57" s="160" t="n"/>
      <c r="B57" s="202" t="n"/>
      <c r="C57" s="203" t="inlineStr">
        <is>
          <t>75A</t>
        </is>
      </c>
      <c r="D57" s="204" t="n"/>
      <c r="E57" s="205" t="inlineStr">
        <is>
          <t>●</t>
        </is>
      </c>
      <c r="F57" s="205" t="inlineStr">
        <is>
          <t>●</t>
        </is>
      </c>
      <c r="G57" s="205" t="inlineStr">
        <is>
          <t>●</t>
        </is>
      </c>
      <c r="H57" s="205" t="inlineStr">
        <is>
          <t>●</t>
        </is>
      </c>
      <c r="I57" s="205" t="n"/>
      <c r="J57" s="205" t="inlineStr">
        <is>
          <t>●</t>
        </is>
      </c>
      <c r="K57" s="205" t="inlineStr">
        <is>
          <t>●</t>
        </is>
      </c>
      <c r="L57" s="205" t="inlineStr">
        <is>
          <t>●</t>
        </is>
      </c>
      <c r="M57" s="205" t="inlineStr">
        <is>
          <t>●</t>
        </is>
      </c>
      <c r="N57" s="205" t="inlineStr">
        <is>
          <t>●</t>
        </is>
      </c>
      <c r="O57" s="206" t="n"/>
      <c r="P57" s="204" t="n"/>
      <c r="Q57" s="205" t="n"/>
      <c r="R57" s="205" t="n"/>
      <c r="S57" s="205" t="n"/>
      <c r="T57" s="205" t="n"/>
      <c r="U57" s="205" t="n"/>
      <c r="V57" s="205" t="n"/>
      <c r="W57" s="205" t="n"/>
      <c r="X57" s="205" t="n"/>
      <c r="Y57" s="205" t="n"/>
      <c r="Z57" s="205" t="n"/>
      <c r="AA57" s="205" t="n"/>
      <c r="AB57" s="205" t="n"/>
      <c r="AC57" s="205" t="n"/>
      <c r="AD57" s="205" t="n"/>
      <c r="AE57" s="205" t="n"/>
      <c r="AF57" s="205" t="n"/>
      <c r="AG57" s="206" t="n"/>
      <c r="AH57" s="204" t="n"/>
      <c r="AI57" s="205" t="n"/>
      <c r="AJ57" s="205" t="n"/>
      <c r="AK57" s="205" t="n"/>
      <c r="AL57" s="206" t="n"/>
      <c r="AM57" s="207" t="inlineStr">
        <is>
          <t>●</t>
        </is>
      </c>
      <c r="AN57" s="205" t="n"/>
      <c r="AO57" s="205" t="inlineStr">
        <is>
          <t>●</t>
        </is>
      </c>
      <c r="AP57" s="206" t="n"/>
      <c r="AQ57" s="160" t="n"/>
    </row>
    <row r="58">
      <c r="A58" s="160" t="n"/>
      <c r="B58" s="202" t="n"/>
      <c r="C58" s="203" t="inlineStr">
        <is>
          <t>76A</t>
        </is>
      </c>
      <c r="D58" s="204" t="n"/>
      <c r="E58" s="205" t="inlineStr">
        <is>
          <t>●</t>
        </is>
      </c>
      <c r="F58" s="205" t="inlineStr">
        <is>
          <t>●</t>
        </is>
      </c>
      <c r="G58" s="205" t="inlineStr">
        <is>
          <t>●</t>
        </is>
      </c>
      <c r="H58" s="205" t="inlineStr">
        <is>
          <t>●</t>
        </is>
      </c>
      <c r="I58" s="205" t="n"/>
      <c r="J58" s="205" t="inlineStr">
        <is>
          <t>●</t>
        </is>
      </c>
      <c r="K58" s="205" t="inlineStr">
        <is>
          <t>●</t>
        </is>
      </c>
      <c r="L58" s="205" t="inlineStr">
        <is>
          <t>●</t>
        </is>
      </c>
      <c r="M58" s="205" t="inlineStr">
        <is>
          <t>●</t>
        </is>
      </c>
      <c r="N58" s="205" t="inlineStr">
        <is>
          <t>●</t>
        </is>
      </c>
      <c r="O58" s="206" t="inlineStr">
        <is>
          <t>●</t>
        </is>
      </c>
      <c r="P58" s="204" t="n"/>
      <c r="Q58" s="205" t="n"/>
      <c r="R58" s="205" t="n"/>
      <c r="S58" s="205" t="n"/>
      <c r="T58" s="205" t="n"/>
      <c r="U58" s="205" t="n"/>
      <c r="V58" s="205" t="n"/>
      <c r="W58" s="205" t="n"/>
      <c r="X58" s="205" t="n"/>
      <c r="Y58" s="205" t="n"/>
      <c r="Z58" s="205" t="n"/>
      <c r="AA58" s="205" t="n"/>
      <c r="AB58" s="205" t="n"/>
      <c r="AC58" s="205" t="n"/>
      <c r="AD58" s="205" t="n"/>
      <c r="AE58" s="205" t="n"/>
      <c r="AF58" s="205" t="n"/>
      <c r="AG58" s="206" t="n"/>
      <c r="AH58" s="204" t="n"/>
      <c r="AI58" s="205" t="n"/>
      <c r="AJ58" s="205" t="n"/>
      <c r="AK58" s="205" t="n"/>
      <c r="AL58" s="206" t="n"/>
      <c r="AM58" s="207" t="inlineStr">
        <is>
          <t>●</t>
        </is>
      </c>
      <c r="AN58" s="205" t="n"/>
      <c r="AO58" s="205" t="inlineStr">
        <is>
          <t>●</t>
        </is>
      </c>
      <c r="AP58" s="206" t="n"/>
      <c r="AQ58" s="160" t="n"/>
    </row>
    <row r="59">
      <c r="A59" s="160" t="n"/>
      <c r="B59" s="202" t="n"/>
      <c r="C59" s="203" t="inlineStr">
        <is>
          <t>77A</t>
        </is>
      </c>
      <c r="D59" s="204" t="n"/>
      <c r="E59" s="205" t="inlineStr">
        <is>
          <t>●</t>
        </is>
      </c>
      <c r="F59" s="205" t="inlineStr">
        <is>
          <t>●</t>
        </is>
      </c>
      <c r="G59" s="205" t="inlineStr">
        <is>
          <t>●</t>
        </is>
      </c>
      <c r="H59" s="205" t="inlineStr">
        <is>
          <t>●</t>
        </is>
      </c>
      <c r="I59" s="205" t="n"/>
      <c r="J59" s="205" t="inlineStr">
        <is>
          <t>●</t>
        </is>
      </c>
      <c r="K59" s="205" t="inlineStr">
        <is>
          <t>●</t>
        </is>
      </c>
      <c r="L59" s="205" t="inlineStr">
        <is>
          <t>●</t>
        </is>
      </c>
      <c r="M59" s="205" t="inlineStr">
        <is>
          <t>●</t>
        </is>
      </c>
      <c r="N59" s="205" t="inlineStr">
        <is>
          <t>●</t>
        </is>
      </c>
      <c r="O59" s="206" t="inlineStr">
        <is>
          <t>●</t>
        </is>
      </c>
      <c r="P59" s="204" t="n"/>
      <c r="Q59" s="205" t="n"/>
      <c r="R59" s="205" t="n"/>
      <c r="S59" s="205" t="n"/>
      <c r="T59" s="205" t="n"/>
      <c r="U59" s="205" t="n"/>
      <c r="V59" s="205" t="n"/>
      <c r="W59" s="205" t="n"/>
      <c r="X59" s="205" t="n"/>
      <c r="Y59" s="205" t="n"/>
      <c r="Z59" s="205" t="n"/>
      <c r="AA59" s="205" t="n"/>
      <c r="AB59" s="205" t="n"/>
      <c r="AC59" s="205" t="n"/>
      <c r="AD59" s="205" t="n"/>
      <c r="AE59" s="205" t="n"/>
      <c r="AF59" s="205" t="n"/>
      <c r="AG59" s="206" t="n"/>
      <c r="AH59" s="204" t="n"/>
      <c r="AI59" s="205" t="n"/>
      <c r="AJ59" s="205" t="n"/>
      <c r="AK59" s="205" t="n"/>
      <c r="AL59" s="206" t="n"/>
      <c r="AM59" s="207" t="inlineStr">
        <is>
          <t>●</t>
        </is>
      </c>
      <c r="AN59" s="205" t="n"/>
      <c r="AO59" s="205" t="inlineStr">
        <is>
          <t>●</t>
        </is>
      </c>
      <c r="AP59" s="206" t="n"/>
      <c r="AQ59" s="160" t="n"/>
    </row>
    <row r="60">
      <c r="A60" s="160" t="n"/>
      <c r="B60" s="202" t="n"/>
      <c r="C60" s="203" t="inlineStr">
        <is>
          <t>78A</t>
        </is>
      </c>
      <c r="D60" s="204" t="n"/>
      <c r="E60" s="205" t="n"/>
      <c r="F60" s="205" t="n"/>
      <c r="G60" s="205" t="n"/>
      <c r="H60" s="205" t="n"/>
      <c r="I60" s="205" t="n"/>
      <c r="J60" s="205" t="n"/>
      <c r="K60" s="205" t="n"/>
      <c r="L60" s="205" t="n"/>
      <c r="M60" s="205" t="n"/>
      <c r="N60" s="205" t="n"/>
      <c r="O60" s="206" t="inlineStr">
        <is>
          <t>●</t>
        </is>
      </c>
      <c r="P60" s="204" t="n"/>
      <c r="Q60" s="205" t="n"/>
      <c r="R60" s="205" t="n"/>
      <c r="S60" s="205" t="n"/>
      <c r="T60" s="205" t="n"/>
      <c r="U60" s="205" t="n"/>
      <c r="V60" s="205" t="n"/>
      <c r="W60" s="205" t="n"/>
      <c r="X60" s="205" t="n"/>
      <c r="Y60" s="205" t="n"/>
      <c r="Z60" s="205" t="n"/>
      <c r="AA60" s="205" t="n"/>
      <c r="AB60" s="205" t="n"/>
      <c r="AC60" s="205" t="n"/>
      <c r="AD60" s="205" t="n"/>
      <c r="AE60" s="205" t="n"/>
      <c r="AF60" s="205" t="n"/>
      <c r="AG60" s="206" t="n"/>
      <c r="AH60" s="204" t="n"/>
      <c r="AI60" s="205" t="n"/>
      <c r="AJ60" s="205" t="n"/>
      <c r="AK60" s="205" t="n"/>
      <c r="AL60" s="206" t="n"/>
      <c r="AM60" s="207" t="n"/>
      <c r="AN60" s="205" t="n"/>
      <c r="AO60" s="205" t="n"/>
      <c r="AP60" s="206" t="n"/>
      <c r="AQ60" s="160" t="n"/>
    </row>
    <row r="61">
      <c r="A61" s="160" t="n"/>
      <c r="B61" s="202" t="n"/>
      <c r="C61" s="203" t="inlineStr">
        <is>
          <t>79A</t>
        </is>
      </c>
      <c r="D61" s="204" t="n"/>
      <c r="E61" s="205" t="n"/>
      <c r="F61" s="205" t="n"/>
      <c r="G61" s="205" t="n"/>
      <c r="H61" s="205" t="n"/>
      <c r="I61" s="205" t="n"/>
      <c r="J61" s="205" t="n"/>
      <c r="K61" s="205" t="n"/>
      <c r="L61" s="205" t="n"/>
      <c r="M61" s="205" t="n"/>
      <c r="N61" s="205" t="n"/>
      <c r="O61" s="206" t="inlineStr">
        <is>
          <t>●</t>
        </is>
      </c>
      <c r="P61" s="204" t="n"/>
      <c r="Q61" s="205" t="n"/>
      <c r="R61" s="205" t="n"/>
      <c r="S61" s="205" t="n"/>
      <c r="T61" s="205" t="n"/>
      <c r="U61" s="205" t="n"/>
      <c r="V61" s="205" t="n"/>
      <c r="W61" s="205" t="n"/>
      <c r="X61" s="205" t="n"/>
      <c r="Y61" s="205" t="n"/>
      <c r="Z61" s="205" t="n"/>
      <c r="AA61" s="205" t="n"/>
      <c r="AB61" s="205" t="n"/>
      <c r="AC61" s="205" t="n"/>
      <c r="AD61" s="205" t="n"/>
      <c r="AE61" s="205" t="n"/>
      <c r="AF61" s="205" t="n"/>
      <c r="AG61" s="206" t="n"/>
      <c r="AH61" s="204" t="n"/>
      <c r="AI61" s="205" t="n"/>
      <c r="AJ61" s="205" t="n"/>
      <c r="AK61" s="205" t="n"/>
      <c r="AL61" s="206" t="n"/>
      <c r="AM61" s="207" t="inlineStr">
        <is>
          <t>●</t>
        </is>
      </c>
      <c r="AN61" s="205" t="n"/>
      <c r="AO61" s="205" t="inlineStr">
        <is>
          <t>●</t>
        </is>
      </c>
      <c r="AP61" s="206" t="n"/>
      <c r="AQ61" s="160" t="n"/>
    </row>
    <row r="62">
      <c r="A62" s="160" t="n"/>
      <c r="B62" s="202" t="n"/>
      <c r="C62" s="203" t="inlineStr">
        <is>
          <t>80A</t>
        </is>
      </c>
      <c r="D62" s="204" t="n"/>
      <c r="E62" s="205" t="n"/>
      <c r="F62" s="205" t="n"/>
      <c r="G62" s="205" t="n"/>
      <c r="H62" s="205" t="n"/>
      <c r="I62" s="205" t="n"/>
      <c r="J62" s="205" t="n"/>
      <c r="K62" s="205" t="n"/>
      <c r="L62" s="205" t="n"/>
      <c r="M62" s="205" t="n"/>
      <c r="N62" s="205" t="inlineStr">
        <is>
          <t>●</t>
        </is>
      </c>
      <c r="O62" s="206" t="n"/>
      <c r="P62" s="204" t="n"/>
      <c r="Q62" s="205" t="n"/>
      <c r="R62" s="205" t="n"/>
      <c r="S62" s="205" t="n"/>
      <c r="T62" s="205" t="n"/>
      <c r="U62" s="205" t="n"/>
      <c r="V62" s="205" t="n"/>
      <c r="W62" s="205" t="n"/>
      <c r="X62" s="205" t="n"/>
      <c r="Y62" s="205" t="n"/>
      <c r="Z62" s="205" t="n"/>
      <c r="AA62" s="205" t="n"/>
      <c r="AB62" s="205" t="n"/>
      <c r="AC62" s="205" t="n"/>
      <c r="AD62" s="205" t="n"/>
      <c r="AE62" s="205" t="n"/>
      <c r="AF62" s="205" t="n"/>
      <c r="AG62" s="206" t="n"/>
      <c r="AH62" s="204" t="n"/>
      <c r="AI62" s="205" t="n"/>
      <c r="AJ62" s="205" t="n"/>
      <c r="AK62" s="205" t="n"/>
      <c r="AL62" s="206" t="n"/>
      <c r="AM62" s="207" t="n"/>
      <c r="AN62" s="205" t="n"/>
      <c r="AO62" s="205" t="n"/>
      <c r="AP62" s="206" t="n"/>
      <c r="AQ62" s="160" t="n"/>
    </row>
    <row r="63">
      <c r="A63" s="160" t="n"/>
      <c r="B63" s="202" t="n"/>
      <c r="C63" s="203" t="inlineStr">
        <is>
          <t>81A</t>
        </is>
      </c>
      <c r="D63" s="204" t="n"/>
      <c r="E63" s="205" t="n"/>
      <c r="F63" s="205" t="n"/>
      <c r="G63" s="205" t="n"/>
      <c r="H63" s="205" t="n"/>
      <c r="I63" s="205" t="n"/>
      <c r="J63" s="205" t="n"/>
      <c r="K63" s="205" t="n"/>
      <c r="L63" s="205" t="n"/>
      <c r="M63" s="205" t="n"/>
      <c r="N63" s="205" t="inlineStr">
        <is>
          <t>●</t>
        </is>
      </c>
      <c r="O63" s="206" t="n"/>
      <c r="P63" s="204" t="n"/>
      <c r="Q63" s="205" t="n"/>
      <c r="R63" s="205" t="n"/>
      <c r="S63" s="205" t="n"/>
      <c r="T63" s="205" t="n"/>
      <c r="U63" s="205" t="n"/>
      <c r="V63" s="205" t="n"/>
      <c r="W63" s="205" t="n"/>
      <c r="X63" s="205" t="n"/>
      <c r="Y63" s="205" t="n"/>
      <c r="Z63" s="205" t="n"/>
      <c r="AA63" s="205" t="n"/>
      <c r="AB63" s="205" t="n"/>
      <c r="AC63" s="205" t="n"/>
      <c r="AD63" s="205" t="n"/>
      <c r="AE63" s="205" t="n"/>
      <c r="AF63" s="205" t="n"/>
      <c r="AG63" s="206" t="n"/>
      <c r="AH63" s="204" t="n"/>
      <c r="AI63" s="205" t="n"/>
      <c r="AJ63" s="205" t="n"/>
      <c r="AK63" s="205" t="n"/>
      <c r="AL63" s="206" t="n"/>
      <c r="AM63" s="207" t="inlineStr">
        <is>
          <t>●</t>
        </is>
      </c>
      <c r="AN63" s="205" t="n"/>
      <c r="AO63" s="205" t="inlineStr">
        <is>
          <t>●</t>
        </is>
      </c>
      <c r="AP63" s="206" t="n"/>
      <c r="AQ63" s="160" t="n"/>
    </row>
    <row r="64">
      <c r="A64" s="160" t="n"/>
      <c r="B64" s="202" t="n"/>
      <c r="C64" s="203" t="inlineStr">
        <is>
          <t>82A</t>
        </is>
      </c>
      <c r="D64" s="204" t="n"/>
      <c r="E64" s="205" t="n"/>
      <c r="F64" s="205" t="n"/>
      <c r="G64" s="205" t="n"/>
      <c r="H64" s="205" t="n"/>
      <c r="I64" s="205" t="inlineStr">
        <is>
          <t>●</t>
        </is>
      </c>
      <c r="J64" s="205" t="inlineStr">
        <is>
          <t>●</t>
        </is>
      </c>
      <c r="K64" s="205" t="inlineStr">
        <is>
          <t>●</t>
        </is>
      </c>
      <c r="L64" s="205" t="inlineStr">
        <is>
          <t>●</t>
        </is>
      </c>
      <c r="M64" s="205" t="inlineStr">
        <is>
          <t>●</t>
        </is>
      </c>
      <c r="N64" s="205" t="n"/>
      <c r="O64" s="206" t="n"/>
      <c r="P64" s="204" t="n"/>
      <c r="Q64" s="205" t="n"/>
      <c r="R64" s="205" t="n"/>
      <c r="S64" s="205" t="n"/>
      <c r="T64" s="205" t="n"/>
      <c r="U64" s="205" t="n"/>
      <c r="V64" s="205" t="n"/>
      <c r="W64" s="205" t="n"/>
      <c r="X64" s="205" t="n"/>
      <c r="Y64" s="205" t="n"/>
      <c r="Z64" s="205" t="n"/>
      <c r="AA64" s="205" t="n"/>
      <c r="AB64" s="205" t="n"/>
      <c r="AC64" s="205" t="n"/>
      <c r="AD64" s="205" t="n"/>
      <c r="AE64" s="205" t="n"/>
      <c r="AF64" s="205" t="n"/>
      <c r="AG64" s="206" t="n"/>
      <c r="AH64" s="204" t="n"/>
      <c r="AI64" s="205" t="n"/>
      <c r="AJ64" s="205" t="n"/>
      <c r="AK64" s="205" t="n"/>
      <c r="AL64" s="206" t="n"/>
      <c r="AM64" s="207" t="n"/>
      <c r="AN64" s="205" t="n"/>
      <c r="AO64" s="205" t="n"/>
      <c r="AP64" s="206" t="n"/>
      <c r="AQ64" s="160" t="n"/>
    </row>
    <row r="65">
      <c r="A65" s="160" t="n"/>
      <c r="B65" s="202" t="n"/>
      <c r="C65" s="203" t="inlineStr">
        <is>
          <t>83A</t>
        </is>
      </c>
      <c r="D65" s="204" t="n"/>
      <c r="E65" s="205" t="n"/>
      <c r="F65" s="205" t="n"/>
      <c r="G65" s="205" t="n"/>
      <c r="H65" s="205" t="n"/>
      <c r="I65" s="205" t="inlineStr">
        <is>
          <t>●</t>
        </is>
      </c>
      <c r="J65" s="205" t="inlineStr">
        <is>
          <t>●</t>
        </is>
      </c>
      <c r="K65" s="205" t="inlineStr">
        <is>
          <t>●</t>
        </is>
      </c>
      <c r="L65" s="205" t="inlineStr">
        <is>
          <t>●</t>
        </is>
      </c>
      <c r="M65" s="205" t="inlineStr">
        <is>
          <t>●</t>
        </is>
      </c>
      <c r="N65" s="205" t="n"/>
      <c r="O65" s="206" t="n"/>
      <c r="P65" s="204" t="n"/>
      <c r="Q65" s="205" t="n"/>
      <c r="R65" s="205" t="n"/>
      <c r="S65" s="205" t="n"/>
      <c r="T65" s="205" t="n"/>
      <c r="U65" s="205" t="n"/>
      <c r="V65" s="205" t="n"/>
      <c r="W65" s="205" t="n"/>
      <c r="X65" s="205" t="n"/>
      <c r="Y65" s="205" t="n"/>
      <c r="Z65" s="205" t="n"/>
      <c r="AA65" s="205" t="n"/>
      <c r="AB65" s="205" t="n"/>
      <c r="AC65" s="205" t="n"/>
      <c r="AD65" s="205" t="n"/>
      <c r="AE65" s="205" t="n"/>
      <c r="AF65" s="205" t="n"/>
      <c r="AG65" s="206" t="n"/>
      <c r="AH65" s="204" t="n"/>
      <c r="AI65" s="205" t="n"/>
      <c r="AJ65" s="205" t="n"/>
      <c r="AK65" s="205" t="n"/>
      <c r="AL65" s="206" t="n"/>
      <c r="AM65" s="207" t="inlineStr">
        <is>
          <t>●</t>
        </is>
      </c>
      <c r="AN65" s="205" t="n"/>
      <c r="AO65" s="205" t="n"/>
      <c r="AP65" s="206" t="n"/>
      <c r="AQ65" s="160" t="n"/>
    </row>
    <row r="66">
      <c r="A66" s="160" t="n"/>
      <c r="B66" s="202" t="n"/>
      <c r="C66" s="203" t="inlineStr">
        <is>
          <t>84A</t>
        </is>
      </c>
      <c r="D66" s="204" t="n"/>
      <c r="E66" s="205" t="n"/>
      <c r="F66" s="205" t="n"/>
      <c r="G66" s="205" t="n"/>
      <c r="H66" s="205" t="n"/>
      <c r="I66" s="205" t="inlineStr">
        <is>
          <t>●</t>
        </is>
      </c>
      <c r="J66" s="205" t="inlineStr">
        <is>
          <t>●</t>
        </is>
      </c>
      <c r="K66" s="205" t="inlineStr">
        <is>
          <t>●</t>
        </is>
      </c>
      <c r="L66" s="205" t="inlineStr">
        <is>
          <t>●</t>
        </is>
      </c>
      <c r="M66" s="205" t="inlineStr">
        <is>
          <t>●</t>
        </is>
      </c>
      <c r="N66" s="205" t="n"/>
      <c r="O66" s="206" t="inlineStr">
        <is>
          <t>●</t>
        </is>
      </c>
      <c r="P66" s="204" t="n"/>
      <c r="Q66" s="205" t="n"/>
      <c r="R66" s="205" t="n"/>
      <c r="S66" s="205" t="n"/>
      <c r="T66" s="205" t="n"/>
      <c r="U66" s="205" t="n"/>
      <c r="V66" s="205" t="n"/>
      <c r="W66" s="205" t="n"/>
      <c r="X66" s="205" t="n"/>
      <c r="Y66" s="205" t="n"/>
      <c r="Z66" s="205" t="n"/>
      <c r="AA66" s="205" t="n"/>
      <c r="AB66" s="205" t="n"/>
      <c r="AC66" s="205" t="n"/>
      <c r="AD66" s="205" t="n"/>
      <c r="AE66" s="205" t="n"/>
      <c r="AF66" s="205" t="n"/>
      <c r="AG66" s="206" t="n"/>
      <c r="AH66" s="204" t="n"/>
      <c r="AI66" s="205" t="n"/>
      <c r="AJ66" s="205" t="n"/>
      <c r="AK66" s="205" t="n"/>
      <c r="AL66" s="206" t="n"/>
      <c r="AM66" s="207" t="inlineStr">
        <is>
          <t>●</t>
        </is>
      </c>
      <c r="AN66" s="205" t="n"/>
      <c r="AO66" s="205" t="n"/>
      <c r="AP66" s="206" t="n"/>
      <c r="AQ66" s="160" t="n"/>
    </row>
    <row r="67">
      <c r="A67" s="160" t="n"/>
      <c r="B67" s="202" t="n"/>
      <c r="C67" s="203" t="inlineStr">
        <is>
          <t>85A</t>
        </is>
      </c>
      <c r="D67" s="204" t="n"/>
      <c r="E67" s="205" t="n"/>
      <c r="F67" s="205" t="n"/>
      <c r="G67" s="205" t="n"/>
      <c r="H67" s="205" t="n"/>
      <c r="I67" s="205" t="inlineStr">
        <is>
          <t>●</t>
        </is>
      </c>
      <c r="J67" s="205" t="inlineStr">
        <is>
          <t>●</t>
        </is>
      </c>
      <c r="K67" s="205" t="inlineStr">
        <is>
          <t>●</t>
        </is>
      </c>
      <c r="L67" s="205" t="inlineStr">
        <is>
          <t>●</t>
        </is>
      </c>
      <c r="M67" s="205" t="inlineStr">
        <is>
          <t>●</t>
        </is>
      </c>
      <c r="N67" s="205" t="n"/>
      <c r="O67" s="206" t="n"/>
      <c r="P67" s="204" t="n"/>
      <c r="Q67" s="205" t="n"/>
      <c r="R67" s="205" t="n"/>
      <c r="S67" s="205" t="n"/>
      <c r="T67" s="205" t="n"/>
      <c r="U67" s="205" t="n"/>
      <c r="V67" s="205" t="n"/>
      <c r="W67" s="205" t="n"/>
      <c r="X67" s="205" t="n"/>
      <c r="Y67" s="205" t="n"/>
      <c r="Z67" s="205" t="n"/>
      <c r="AA67" s="205" t="n"/>
      <c r="AB67" s="205" t="n"/>
      <c r="AC67" s="205" t="n"/>
      <c r="AD67" s="205" t="n"/>
      <c r="AE67" s="205" t="n"/>
      <c r="AF67" s="205" t="n"/>
      <c r="AG67" s="206" t="n"/>
      <c r="AH67" s="204" t="n"/>
      <c r="AI67" s="205" t="n"/>
      <c r="AJ67" s="205" t="n"/>
      <c r="AK67" s="205" t="n"/>
      <c r="AL67" s="206" t="n"/>
      <c r="AM67" s="207" t="inlineStr">
        <is>
          <t>●</t>
        </is>
      </c>
      <c r="AN67" s="205" t="n"/>
      <c r="AO67" s="205" t="inlineStr">
        <is>
          <t>●</t>
        </is>
      </c>
      <c r="AP67" s="206" t="n"/>
      <c r="AQ67" s="160" t="n"/>
    </row>
    <row r="68">
      <c r="A68" s="160" t="n"/>
      <c r="B68" s="202" t="n"/>
      <c r="C68" s="203" t="inlineStr">
        <is>
          <t>86A</t>
        </is>
      </c>
      <c r="D68" s="204" t="n"/>
      <c r="E68" s="205" t="n"/>
      <c r="F68" s="205" t="n"/>
      <c r="G68" s="205" t="n"/>
      <c r="H68" s="205" t="n"/>
      <c r="I68" s="205" t="inlineStr">
        <is>
          <t>●</t>
        </is>
      </c>
      <c r="J68" s="205" t="inlineStr">
        <is>
          <t>●</t>
        </is>
      </c>
      <c r="K68" s="205" t="inlineStr">
        <is>
          <t>●</t>
        </is>
      </c>
      <c r="L68" s="205" t="inlineStr">
        <is>
          <t>●</t>
        </is>
      </c>
      <c r="M68" s="205" t="inlineStr">
        <is>
          <t>●</t>
        </is>
      </c>
      <c r="N68" s="205" t="n"/>
      <c r="O68" s="206" t="n"/>
      <c r="P68" s="204" t="n"/>
      <c r="Q68" s="205" t="n"/>
      <c r="R68" s="205" t="n"/>
      <c r="S68" s="205" t="n"/>
      <c r="T68" s="205" t="n"/>
      <c r="U68" s="205" t="n"/>
      <c r="V68" s="205" t="n"/>
      <c r="W68" s="205" t="n"/>
      <c r="X68" s="205" t="n"/>
      <c r="Y68" s="205" t="n"/>
      <c r="Z68" s="205" t="n"/>
      <c r="AA68" s="205" t="n"/>
      <c r="AB68" s="205" t="n"/>
      <c r="AC68" s="205" t="n"/>
      <c r="AD68" s="205" t="n"/>
      <c r="AE68" s="205" t="n"/>
      <c r="AF68" s="205" t="n"/>
      <c r="AG68" s="206" t="n"/>
      <c r="AH68" s="204" t="n"/>
      <c r="AI68" s="205" t="n"/>
      <c r="AJ68" s="205" t="n"/>
      <c r="AK68" s="205" t="n"/>
      <c r="AL68" s="206" t="n"/>
      <c r="AM68" s="207" t="inlineStr">
        <is>
          <t>●</t>
        </is>
      </c>
      <c r="AN68" s="205" t="n"/>
      <c r="AO68" s="205" t="inlineStr">
        <is>
          <t>●</t>
        </is>
      </c>
      <c r="AP68" s="206" t="n"/>
      <c r="AQ68" s="160" t="n"/>
    </row>
    <row r="69">
      <c r="A69" s="160" t="n"/>
      <c r="B69" s="202" t="n"/>
      <c r="C69" s="203" t="inlineStr">
        <is>
          <t>87A</t>
        </is>
      </c>
      <c r="D69" s="204" t="n"/>
      <c r="E69" s="205" t="n"/>
      <c r="F69" s="205" t="n"/>
      <c r="G69" s="205" t="n"/>
      <c r="H69" s="205" t="n"/>
      <c r="I69" s="205" t="inlineStr">
        <is>
          <t>●</t>
        </is>
      </c>
      <c r="J69" s="205" t="inlineStr">
        <is>
          <t>●</t>
        </is>
      </c>
      <c r="K69" s="205" t="inlineStr">
        <is>
          <t>●</t>
        </is>
      </c>
      <c r="L69" s="205" t="inlineStr">
        <is>
          <t>●</t>
        </is>
      </c>
      <c r="M69" s="205" t="inlineStr">
        <is>
          <t>●</t>
        </is>
      </c>
      <c r="N69" s="205" t="n"/>
      <c r="O69" s="206" t="inlineStr">
        <is>
          <t>●</t>
        </is>
      </c>
      <c r="P69" s="204" t="n"/>
      <c r="Q69" s="205" t="n"/>
      <c r="R69" s="205" t="n"/>
      <c r="S69" s="205" t="n"/>
      <c r="T69" s="205" t="n"/>
      <c r="U69" s="205" t="n"/>
      <c r="V69" s="205" t="n"/>
      <c r="W69" s="205" t="n"/>
      <c r="X69" s="205" t="n"/>
      <c r="Y69" s="205" t="n"/>
      <c r="Z69" s="205" t="n"/>
      <c r="AA69" s="205" t="n"/>
      <c r="AB69" s="205" t="n"/>
      <c r="AC69" s="205" t="n"/>
      <c r="AD69" s="205" t="n"/>
      <c r="AE69" s="205" t="n"/>
      <c r="AF69" s="205" t="n"/>
      <c r="AG69" s="206" t="n"/>
      <c r="AH69" s="204" t="n"/>
      <c r="AI69" s="205" t="n"/>
      <c r="AJ69" s="205" t="n"/>
      <c r="AK69" s="205" t="n"/>
      <c r="AL69" s="206" t="n"/>
      <c r="AM69" s="207" t="inlineStr">
        <is>
          <t>●</t>
        </is>
      </c>
      <c r="AN69" s="205" t="n"/>
      <c r="AO69" s="205" t="inlineStr">
        <is>
          <t>●</t>
        </is>
      </c>
      <c r="AP69" s="206" t="n"/>
      <c r="AQ69" s="160" t="n"/>
    </row>
    <row r="70">
      <c r="A70" s="160" t="n"/>
      <c r="B70" s="202" t="n"/>
      <c r="C70" s="203" t="inlineStr">
        <is>
          <t>88A</t>
        </is>
      </c>
      <c r="D70" s="204" t="n"/>
      <c r="E70" s="205" t="n"/>
      <c r="F70" s="205" t="n"/>
      <c r="G70" s="205" t="n"/>
      <c r="H70" s="205" t="n"/>
      <c r="I70" s="205" t="inlineStr">
        <is>
          <t>●</t>
        </is>
      </c>
      <c r="J70" s="205" t="inlineStr">
        <is>
          <t>●</t>
        </is>
      </c>
      <c r="K70" s="205" t="inlineStr">
        <is>
          <t>●</t>
        </is>
      </c>
      <c r="L70" s="205" t="inlineStr">
        <is>
          <t>●</t>
        </is>
      </c>
      <c r="M70" s="205" t="inlineStr">
        <is>
          <t>●</t>
        </is>
      </c>
      <c r="N70" s="205" t="n"/>
      <c r="O70" s="206" t="inlineStr">
        <is>
          <t>●</t>
        </is>
      </c>
      <c r="P70" s="204" t="n"/>
      <c r="Q70" s="205" t="n"/>
      <c r="R70" s="205" t="n"/>
      <c r="S70" s="205" t="n"/>
      <c r="T70" s="205" t="n"/>
      <c r="U70" s="205" t="n"/>
      <c r="V70" s="205" t="n"/>
      <c r="W70" s="205" t="n"/>
      <c r="X70" s="205" t="n"/>
      <c r="Y70" s="205" t="n"/>
      <c r="Z70" s="205" t="n"/>
      <c r="AA70" s="205" t="n"/>
      <c r="AB70" s="205" t="n"/>
      <c r="AC70" s="205" t="n"/>
      <c r="AD70" s="205" t="n"/>
      <c r="AE70" s="205" t="n"/>
      <c r="AF70" s="205" t="n"/>
      <c r="AG70" s="206" t="n"/>
      <c r="AH70" s="204" t="n"/>
      <c r="AI70" s="205" t="n"/>
      <c r="AJ70" s="205" t="n"/>
      <c r="AK70" s="205" t="n"/>
      <c r="AL70" s="206" t="n"/>
      <c r="AM70" s="207" t="inlineStr">
        <is>
          <t>●</t>
        </is>
      </c>
      <c r="AN70" s="205" t="n"/>
      <c r="AO70" s="205" t="inlineStr">
        <is>
          <t>●</t>
        </is>
      </c>
      <c r="AP70" s="206" t="n"/>
      <c r="AQ70" s="160" t="n"/>
    </row>
    <row r="71">
      <c r="A71" s="160" t="n"/>
      <c r="B71" s="202" t="n"/>
      <c r="C71" s="203" t="inlineStr">
        <is>
          <t>89A</t>
        </is>
      </c>
      <c r="D71" s="204" t="n"/>
      <c r="E71" s="205" t="n"/>
      <c r="F71" s="205" t="n"/>
      <c r="G71" s="205" t="n"/>
      <c r="H71" s="205" t="n"/>
      <c r="I71" s="205" t="inlineStr">
        <is>
          <t>●</t>
        </is>
      </c>
      <c r="J71" s="205" t="inlineStr">
        <is>
          <t>●</t>
        </is>
      </c>
      <c r="K71" s="205" t="inlineStr">
        <is>
          <t>●</t>
        </is>
      </c>
      <c r="L71" s="205" t="inlineStr">
        <is>
          <t>●</t>
        </is>
      </c>
      <c r="M71" s="205" t="inlineStr">
        <is>
          <t>●</t>
        </is>
      </c>
      <c r="N71" s="205" t="inlineStr">
        <is>
          <t>●</t>
        </is>
      </c>
      <c r="O71" s="206" t="n"/>
      <c r="P71" s="204" t="n"/>
      <c r="Q71" s="205" t="n"/>
      <c r="R71" s="205" t="n"/>
      <c r="S71" s="205" t="n"/>
      <c r="T71" s="205" t="n"/>
      <c r="U71" s="205" t="n"/>
      <c r="V71" s="205" t="n"/>
      <c r="W71" s="205" t="n"/>
      <c r="X71" s="205" t="n"/>
      <c r="Y71" s="205" t="n"/>
      <c r="Z71" s="205" t="n"/>
      <c r="AA71" s="205" t="n"/>
      <c r="AB71" s="205" t="n"/>
      <c r="AC71" s="205" t="n"/>
      <c r="AD71" s="205" t="n"/>
      <c r="AE71" s="205" t="n"/>
      <c r="AF71" s="205" t="n"/>
      <c r="AG71" s="206" t="n"/>
      <c r="AH71" s="204" t="n"/>
      <c r="AI71" s="205" t="n"/>
      <c r="AJ71" s="205" t="n"/>
      <c r="AK71" s="205" t="n"/>
      <c r="AL71" s="206" t="n"/>
      <c r="AM71" s="207" t="n"/>
      <c r="AN71" s="205" t="n"/>
      <c r="AO71" s="205" t="n"/>
      <c r="AP71" s="206" t="n"/>
      <c r="AQ71" s="160" t="n"/>
    </row>
    <row r="72">
      <c r="A72" s="160" t="n"/>
      <c r="B72" s="202" t="n"/>
      <c r="C72" s="203" t="inlineStr">
        <is>
          <t>90A</t>
        </is>
      </c>
      <c r="D72" s="204" t="n"/>
      <c r="E72" s="205" t="n"/>
      <c r="F72" s="205" t="n"/>
      <c r="G72" s="205" t="n"/>
      <c r="H72" s="205" t="n"/>
      <c r="I72" s="205" t="inlineStr">
        <is>
          <t>●</t>
        </is>
      </c>
      <c r="J72" s="205" t="inlineStr">
        <is>
          <t>●</t>
        </is>
      </c>
      <c r="K72" s="205" t="inlineStr">
        <is>
          <t>●</t>
        </is>
      </c>
      <c r="L72" s="205" t="inlineStr">
        <is>
          <t>●</t>
        </is>
      </c>
      <c r="M72" s="205" t="inlineStr">
        <is>
          <t>●</t>
        </is>
      </c>
      <c r="N72" s="205" t="inlineStr">
        <is>
          <t>●</t>
        </is>
      </c>
      <c r="O72" s="206" t="inlineStr">
        <is>
          <t>●</t>
        </is>
      </c>
      <c r="P72" s="204" t="n"/>
      <c r="Q72" s="205" t="n"/>
      <c r="R72" s="205" t="n"/>
      <c r="S72" s="205" t="n"/>
      <c r="T72" s="205" t="n"/>
      <c r="U72" s="205" t="n"/>
      <c r="V72" s="205" t="n"/>
      <c r="W72" s="205" t="n"/>
      <c r="X72" s="205" t="n"/>
      <c r="Y72" s="205" t="n"/>
      <c r="Z72" s="205" t="n"/>
      <c r="AA72" s="205" t="n"/>
      <c r="AB72" s="205" t="n"/>
      <c r="AC72" s="205" t="n"/>
      <c r="AD72" s="205" t="n"/>
      <c r="AE72" s="205" t="n"/>
      <c r="AF72" s="205" t="n"/>
      <c r="AG72" s="206" t="n"/>
      <c r="AH72" s="204" t="n"/>
      <c r="AI72" s="205" t="n"/>
      <c r="AJ72" s="205" t="n"/>
      <c r="AK72" s="205" t="n"/>
      <c r="AL72" s="206" t="n"/>
      <c r="AM72" s="207" t="inlineStr">
        <is>
          <t>●</t>
        </is>
      </c>
      <c r="AN72" s="205" t="n"/>
      <c r="AO72" s="205" t="n"/>
      <c r="AP72" s="206" t="n"/>
      <c r="AQ72" s="160" t="n"/>
    </row>
    <row r="73">
      <c r="A73" s="160" t="n"/>
      <c r="B73" s="202" t="n"/>
      <c r="C73" s="203" t="inlineStr">
        <is>
          <t>91A</t>
        </is>
      </c>
      <c r="D73" s="204" t="n"/>
      <c r="E73" s="205" t="n"/>
      <c r="F73" s="205" t="n"/>
      <c r="G73" s="205" t="n"/>
      <c r="H73" s="205" t="n"/>
      <c r="I73" s="205" t="inlineStr">
        <is>
          <t>●</t>
        </is>
      </c>
      <c r="J73" s="205" t="inlineStr">
        <is>
          <t>●</t>
        </is>
      </c>
      <c r="K73" s="205" t="inlineStr">
        <is>
          <t>●</t>
        </is>
      </c>
      <c r="L73" s="205" t="inlineStr">
        <is>
          <t>●</t>
        </is>
      </c>
      <c r="M73" s="205" t="inlineStr">
        <is>
          <t>●</t>
        </is>
      </c>
      <c r="N73" s="205" t="inlineStr">
        <is>
          <t>●</t>
        </is>
      </c>
      <c r="O73" s="206" t="n"/>
      <c r="P73" s="204" t="n"/>
      <c r="Q73" s="205" t="n"/>
      <c r="R73" s="205" t="n"/>
      <c r="S73" s="205" t="n"/>
      <c r="T73" s="205" t="n"/>
      <c r="U73" s="205" t="n"/>
      <c r="V73" s="205" t="n"/>
      <c r="W73" s="205" t="n"/>
      <c r="X73" s="205" t="n"/>
      <c r="Y73" s="205" t="n"/>
      <c r="Z73" s="205" t="n"/>
      <c r="AA73" s="205" t="n"/>
      <c r="AB73" s="205" t="n"/>
      <c r="AC73" s="205" t="n"/>
      <c r="AD73" s="205" t="n"/>
      <c r="AE73" s="205" t="n"/>
      <c r="AF73" s="205" t="n"/>
      <c r="AG73" s="206" t="n"/>
      <c r="AH73" s="204" t="n"/>
      <c r="AI73" s="205" t="n"/>
      <c r="AJ73" s="205" t="n"/>
      <c r="AK73" s="205" t="n"/>
      <c r="AL73" s="206" t="n"/>
      <c r="AM73" s="207" t="inlineStr">
        <is>
          <t>●</t>
        </is>
      </c>
      <c r="AN73" s="205" t="n"/>
      <c r="AO73" s="205" t="inlineStr">
        <is>
          <t>●</t>
        </is>
      </c>
      <c r="AP73" s="206" t="n"/>
      <c r="AQ73" s="160" t="n"/>
    </row>
    <row r="74">
      <c r="A74" s="160" t="n"/>
      <c r="B74" s="202" t="n"/>
      <c r="C74" s="203" t="inlineStr">
        <is>
          <t>92A</t>
        </is>
      </c>
      <c r="D74" s="204" t="n"/>
      <c r="E74" s="205" t="n"/>
      <c r="F74" s="205" t="n"/>
      <c r="G74" s="205" t="n"/>
      <c r="H74" s="205" t="n"/>
      <c r="I74" s="205" t="inlineStr">
        <is>
          <t>●</t>
        </is>
      </c>
      <c r="J74" s="205" t="inlineStr">
        <is>
          <t>●</t>
        </is>
      </c>
      <c r="K74" s="205" t="inlineStr">
        <is>
          <t>●</t>
        </is>
      </c>
      <c r="L74" s="205" t="inlineStr">
        <is>
          <t>●</t>
        </is>
      </c>
      <c r="M74" s="205" t="inlineStr">
        <is>
          <t>●</t>
        </is>
      </c>
      <c r="N74" s="205" t="inlineStr">
        <is>
          <t>●</t>
        </is>
      </c>
      <c r="O74" s="206" t="inlineStr">
        <is>
          <t>●</t>
        </is>
      </c>
      <c r="P74" s="204" t="n"/>
      <c r="Q74" s="205" t="n"/>
      <c r="R74" s="205" t="n"/>
      <c r="S74" s="205" t="n"/>
      <c r="T74" s="205" t="n"/>
      <c r="U74" s="205" t="n"/>
      <c r="V74" s="205" t="n"/>
      <c r="W74" s="205" t="n"/>
      <c r="X74" s="205" t="n"/>
      <c r="Y74" s="205" t="n"/>
      <c r="Z74" s="205" t="n"/>
      <c r="AA74" s="205" t="n"/>
      <c r="AB74" s="205" t="n"/>
      <c r="AC74" s="205" t="n"/>
      <c r="AD74" s="205" t="n"/>
      <c r="AE74" s="205" t="n"/>
      <c r="AF74" s="205" t="n"/>
      <c r="AG74" s="206" t="n"/>
      <c r="AH74" s="204" t="n"/>
      <c r="AI74" s="205" t="n"/>
      <c r="AJ74" s="205" t="n"/>
      <c r="AK74" s="205" t="n"/>
      <c r="AL74" s="206" t="n"/>
      <c r="AM74" s="207" t="inlineStr">
        <is>
          <t>●</t>
        </is>
      </c>
      <c r="AN74" s="205" t="n"/>
      <c r="AO74" s="205" t="inlineStr">
        <is>
          <t>●</t>
        </is>
      </c>
      <c r="AP74" s="206" t="n"/>
      <c r="AQ74" s="160" t="n"/>
    </row>
    <row r="75">
      <c r="A75" s="160" t="n"/>
      <c r="B75" s="202" t="n"/>
      <c r="C75" s="203" t="inlineStr">
        <is>
          <t>93A</t>
        </is>
      </c>
      <c r="D75" s="204" t="inlineStr">
        <is>
          <t>●</t>
        </is>
      </c>
      <c r="E75" s="205" t="inlineStr">
        <is>
          <t>●</t>
        </is>
      </c>
      <c r="F75" s="205" t="inlineStr">
        <is>
          <t>●</t>
        </is>
      </c>
      <c r="G75" s="205" t="inlineStr">
        <is>
          <t>●</t>
        </is>
      </c>
      <c r="H75" s="205" t="inlineStr">
        <is>
          <t>●</t>
        </is>
      </c>
      <c r="I75" s="205" t="n"/>
      <c r="J75" s="205" t="n"/>
      <c r="K75" s="205" t="n"/>
      <c r="L75" s="205" t="n"/>
      <c r="M75" s="205" t="n"/>
      <c r="N75" s="205" t="n"/>
      <c r="O75" s="206" t="inlineStr">
        <is>
          <t>●</t>
        </is>
      </c>
      <c r="P75" s="204" t="n"/>
      <c r="Q75" s="205" t="n"/>
      <c r="R75" s="205" t="n"/>
      <c r="S75" s="205" t="n"/>
      <c r="T75" s="205" t="n"/>
      <c r="U75" s="205" t="n"/>
      <c r="V75" s="205" t="n"/>
      <c r="W75" s="205" t="n"/>
      <c r="X75" s="205" t="n"/>
      <c r="Y75" s="205" t="n"/>
      <c r="Z75" s="205" t="n"/>
      <c r="AA75" s="205" t="n"/>
      <c r="AB75" s="205" t="n"/>
      <c r="AC75" s="205" t="n"/>
      <c r="AD75" s="205" t="n"/>
      <c r="AE75" s="205" t="n"/>
      <c r="AF75" s="205" t="n"/>
      <c r="AG75" s="206" t="n"/>
      <c r="AH75" s="204" t="n"/>
      <c r="AI75" s="205" t="n"/>
      <c r="AJ75" s="205" t="n"/>
      <c r="AK75" s="205" t="n"/>
      <c r="AL75" s="206" t="n"/>
      <c r="AM75" s="207" t="inlineStr">
        <is>
          <t>●</t>
        </is>
      </c>
      <c r="AN75" s="205" t="n"/>
      <c r="AO75" s="205" t="inlineStr">
        <is>
          <t>●</t>
        </is>
      </c>
      <c r="AP75" s="206" t="n"/>
      <c r="AQ75" s="160" t="n"/>
    </row>
    <row r="76">
      <c r="A76" s="160" t="n"/>
      <c r="B76" s="202" t="n"/>
      <c r="C76" s="203" t="inlineStr">
        <is>
          <t>94A</t>
        </is>
      </c>
      <c r="D76" s="204" t="inlineStr">
        <is>
          <t>●</t>
        </is>
      </c>
      <c r="E76" s="205" t="inlineStr">
        <is>
          <t>●</t>
        </is>
      </c>
      <c r="F76" s="205" t="inlineStr">
        <is>
          <t>●</t>
        </is>
      </c>
      <c r="G76" s="205" t="inlineStr">
        <is>
          <t>●</t>
        </is>
      </c>
      <c r="H76" s="205" t="inlineStr">
        <is>
          <t>●</t>
        </is>
      </c>
      <c r="I76" s="205" t="inlineStr">
        <is>
          <t>●</t>
        </is>
      </c>
      <c r="J76" s="205" t="inlineStr">
        <is>
          <t>●</t>
        </is>
      </c>
      <c r="K76" s="205" t="inlineStr">
        <is>
          <t>●</t>
        </is>
      </c>
      <c r="L76" s="205" t="inlineStr">
        <is>
          <t>●</t>
        </is>
      </c>
      <c r="M76" s="205" t="inlineStr">
        <is>
          <t>●</t>
        </is>
      </c>
      <c r="N76" s="205" t="n"/>
      <c r="O76" s="206" t="inlineStr">
        <is>
          <t>●</t>
        </is>
      </c>
      <c r="P76" s="204" t="n"/>
      <c r="Q76" s="205" t="n"/>
      <c r="R76" s="205" t="n"/>
      <c r="S76" s="205" t="n"/>
      <c r="T76" s="205" t="n"/>
      <c r="U76" s="205" t="n"/>
      <c r="V76" s="205" t="n"/>
      <c r="W76" s="205" t="n"/>
      <c r="X76" s="205" t="n"/>
      <c r="Y76" s="205" t="n"/>
      <c r="Z76" s="205" t="n"/>
      <c r="AA76" s="205" t="n"/>
      <c r="AB76" s="205" t="n"/>
      <c r="AC76" s="205" t="n"/>
      <c r="AD76" s="205" t="n"/>
      <c r="AE76" s="205" t="n"/>
      <c r="AF76" s="205" t="n"/>
      <c r="AG76" s="206" t="n"/>
      <c r="AH76" s="204" t="n"/>
      <c r="AI76" s="205" t="n"/>
      <c r="AJ76" s="205" t="n"/>
      <c r="AK76" s="205" t="n"/>
      <c r="AL76" s="206" t="n"/>
      <c r="AM76" s="207" t="n"/>
      <c r="AN76" s="205" t="n"/>
      <c r="AO76" s="205" t="n"/>
      <c r="AP76" s="206" t="n"/>
      <c r="AQ76" s="160" t="n"/>
    </row>
    <row r="77">
      <c r="A77" s="160" t="n"/>
      <c r="B77" s="202" t="n"/>
      <c r="C77" s="203" t="inlineStr">
        <is>
          <t>95A</t>
        </is>
      </c>
      <c r="D77" s="204" t="inlineStr">
        <is>
          <t>●</t>
        </is>
      </c>
      <c r="E77" s="205" t="inlineStr">
        <is>
          <t>●</t>
        </is>
      </c>
      <c r="F77" s="205" t="inlineStr">
        <is>
          <t>●</t>
        </is>
      </c>
      <c r="G77" s="205" t="inlineStr">
        <is>
          <t>●</t>
        </is>
      </c>
      <c r="H77" s="205" t="inlineStr">
        <is>
          <t>●</t>
        </is>
      </c>
      <c r="I77" s="205" t="inlineStr">
        <is>
          <t>●</t>
        </is>
      </c>
      <c r="J77" s="205" t="inlineStr">
        <is>
          <t>●</t>
        </is>
      </c>
      <c r="K77" s="205" t="inlineStr">
        <is>
          <t>●</t>
        </is>
      </c>
      <c r="L77" s="205" t="inlineStr">
        <is>
          <t>●</t>
        </is>
      </c>
      <c r="M77" s="205" t="inlineStr">
        <is>
          <t>●</t>
        </is>
      </c>
      <c r="N77" s="205" t="n"/>
      <c r="O77" s="206" t="n"/>
      <c r="P77" s="204" t="n"/>
      <c r="Q77" s="205" t="n"/>
      <c r="R77" s="205" t="n"/>
      <c r="S77" s="205" t="n"/>
      <c r="T77" s="205" t="n"/>
      <c r="U77" s="205" t="n"/>
      <c r="V77" s="205" t="n"/>
      <c r="W77" s="205" t="n"/>
      <c r="X77" s="205" t="n"/>
      <c r="Y77" s="205" t="n"/>
      <c r="Z77" s="205" t="n"/>
      <c r="AA77" s="205" t="n"/>
      <c r="AB77" s="205" t="n"/>
      <c r="AC77" s="205" t="n"/>
      <c r="AD77" s="205" t="n"/>
      <c r="AE77" s="205" t="n"/>
      <c r="AF77" s="205" t="n"/>
      <c r="AG77" s="206" t="n"/>
      <c r="AH77" s="204" t="n"/>
      <c r="AI77" s="205" t="n"/>
      <c r="AJ77" s="205" t="n"/>
      <c r="AK77" s="205" t="n"/>
      <c r="AL77" s="206" t="n"/>
      <c r="AM77" s="207" t="inlineStr">
        <is>
          <t>●</t>
        </is>
      </c>
      <c r="AN77" s="205" t="n"/>
      <c r="AO77" s="205" t="inlineStr">
        <is>
          <t>●</t>
        </is>
      </c>
      <c r="AP77" s="206" t="n"/>
      <c r="AQ77" s="160" t="n"/>
    </row>
    <row r="78">
      <c r="A78" s="160" t="n"/>
      <c r="B78" s="202" t="n"/>
      <c r="C78" s="203" t="inlineStr">
        <is>
          <t>96A</t>
        </is>
      </c>
      <c r="D78" s="204" t="inlineStr">
        <is>
          <t>●</t>
        </is>
      </c>
      <c r="E78" s="205" t="inlineStr">
        <is>
          <t>●</t>
        </is>
      </c>
      <c r="F78" s="205" t="inlineStr">
        <is>
          <t>●</t>
        </is>
      </c>
      <c r="G78" s="205" t="inlineStr">
        <is>
          <t>●</t>
        </is>
      </c>
      <c r="H78" s="205" t="inlineStr">
        <is>
          <t>●</t>
        </is>
      </c>
      <c r="I78" s="205" t="inlineStr">
        <is>
          <t>●</t>
        </is>
      </c>
      <c r="J78" s="205" t="inlineStr">
        <is>
          <t>●</t>
        </is>
      </c>
      <c r="K78" s="205" t="inlineStr">
        <is>
          <t>●</t>
        </is>
      </c>
      <c r="L78" s="205" t="inlineStr">
        <is>
          <t>●</t>
        </is>
      </c>
      <c r="M78" s="205" t="inlineStr">
        <is>
          <t>●</t>
        </is>
      </c>
      <c r="N78" s="205" t="n"/>
      <c r="O78" s="206" t="inlineStr">
        <is>
          <t>●</t>
        </is>
      </c>
      <c r="P78" s="204" t="n"/>
      <c r="Q78" s="205" t="n"/>
      <c r="R78" s="205" t="n"/>
      <c r="S78" s="205" t="n"/>
      <c r="T78" s="205" t="n"/>
      <c r="U78" s="205" t="n"/>
      <c r="V78" s="205" t="n"/>
      <c r="W78" s="205" t="n"/>
      <c r="X78" s="205" t="n"/>
      <c r="Y78" s="205" t="n"/>
      <c r="Z78" s="205" t="n"/>
      <c r="AA78" s="205" t="n"/>
      <c r="AB78" s="205" t="n"/>
      <c r="AC78" s="205" t="n"/>
      <c r="AD78" s="205" t="n"/>
      <c r="AE78" s="205" t="n"/>
      <c r="AF78" s="205" t="n"/>
      <c r="AG78" s="206" t="n"/>
      <c r="AH78" s="204" t="n"/>
      <c r="AI78" s="205" t="n"/>
      <c r="AJ78" s="205" t="n"/>
      <c r="AK78" s="205" t="n"/>
      <c r="AL78" s="206" t="n"/>
      <c r="AM78" s="207" t="inlineStr">
        <is>
          <t>●</t>
        </is>
      </c>
      <c r="AN78" s="205" t="n"/>
      <c r="AO78" s="205" t="inlineStr">
        <is>
          <t>●</t>
        </is>
      </c>
      <c r="AP78" s="206" t="n"/>
      <c r="AQ78" s="160" t="n"/>
    </row>
    <row r="79" ht="13.8" customHeight="1" thickBot="1">
      <c r="A79" s="160" t="n"/>
      <c r="B79" s="202" t="n"/>
      <c r="C79" s="247" t="inlineStr">
        <is>
          <t>97A</t>
        </is>
      </c>
      <c r="D79" s="248" t="inlineStr">
        <is>
          <t>●</t>
        </is>
      </c>
      <c r="E79" s="249" t="inlineStr">
        <is>
          <t>●</t>
        </is>
      </c>
      <c r="F79" s="249" t="inlineStr">
        <is>
          <t>●</t>
        </is>
      </c>
      <c r="G79" s="249" t="inlineStr">
        <is>
          <t>●</t>
        </is>
      </c>
      <c r="H79" s="249" t="inlineStr">
        <is>
          <t>●</t>
        </is>
      </c>
      <c r="I79" s="249" t="inlineStr">
        <is>
          <t>●</t>
        </is>
      </c>
      <c r="J79" s="249" t="inlineStr">
        <is>
          <t>●</t>
        </is>
      </c>
      <c r="K79" s="249" t="inlineStr">
        <is>
          <t>●</t>
        </is>
      </c>
      <c r="L79" s="249" t="inlineStr">
        <is>
          <t>●</t>
        </is>
      </c>
      <c r="M79" s="249" t="inlineStr">
        <is>
          <t>●</t>
        </is>
      </c>
      <c r="N79" s="249" t="inlineStr">
        <is>
          <t>●</t>
        </is>
      </c>
      <c r="O79" s="250" t="inlineStr">
        <is>
          <t>●</t>
        </is>
      </c>
      <c r="P79" s="248" t="n"/>
      <c r="Q79" s="249" t="n"/>
      <c r="R79" s="249" t="n"/>
      <c r="S79" s="249" t="n"/>
      <c r="T79" s="249" t="n"/>
      <c r="U79" s="249" t="n"/>
      <c r="V79" s="249" t="n"/>
      <c r="W79" s="249" t="n"/>
      <c r="X79" s="249" t="n"/>
      <c r="Y79" s="249" t="n"/>
      <c r="Z79" s="249" t="n"/>
      <c r="AA79" s="249" t="n"/>
      <c r="AB79" s="249" t="n"/>
      <c r="AC79" s="249" t="n"/>
      <c r="AD79" s="249" t="n"/>
      <c r="AE79" s="249" t="n"/>
      <c r="AF79" s="249" t="n"/>
      <c r="AG79" s="250" t="n"/>
      <c r="AH79" s="248" t="n"/>
      <c r="AI79" s="249" t="n"/>
      <c r="AJ79" s="249" t="n"/>
      <c r="AK79" s="249" t="n"/>
      <c r="AL79" s="250" t="n"/>
      <c r="AM79" s="251" t="inlineStr">
        <is>
          <t>●</t>
        </is>
      </c>
      <c r="AN79" s="249" t="n"/>
      <c r="AO79" s="249" t="inlineStr">
        <is>
          <t>●</t>
        </is>
      </c>
      <c r="AP79" s="250" t="n"/>
      <c r="AQ79" s="160" t="n"/>
    </row>
    <row r="80">
      <c r="A80" s="160" t="n"/>
      <c r="B80" s="215" t="inlineStr">
        <is>
          <t>仕入用の税金グループ</t>
        </is>
      </c>
      <c r="C80" s="216" t="inlineStr">
        <is>
          <t>04B</t>
        </is>
      </c>
      <c r="D80" s="197" t="n"/>
      <c r="E80" s="198" t="n"/>
      <c r="F80" s="198" t="n"/>
      <c r="G80" s="198" t="n"/>
      <c r="H80" s="198" t="n"/>
      <c r="I80" s="198" t="n"/>
      <c r="J80" s="198" t="n"/>
      <c r="K80" s="198" t="n"/>
      <c r="L80" s="198" t="n"/>
      <c r="M80" s="198" t="n"/>
      <c r="N80" s="198" t="n"/>
      <c r="O80" s="199" t="n"/>
      <c r="P80" s="197" t="n"/>
      <c r="Q80" s="198" t="n"/>
      <c r="R80" s="198" t="n"/>
      <c r="S80" s="198" t="n"/>
      <c r="T80" s="198" t="n"/>
      <c r="U80" s="198" t="n"/>
      <c r="V80" s="198" t="n"/>
      <c r="W80" s="198" t="n"/>
      <c r="X80" s="198" t="n"/>
      <c r="Y80" s="198" t="n"/>
      <c r="Z80" s="198" t="n"/>
      <c r="AA80" s="198" t="n"/>
      <c r="AB80" s="198" t="n"/>
      <c r="AC80" s="198" t="n"/>
      <c r="AD80" s="198" t="n"/>
      <c r="AE80" s="198" t="n"/>
      <c r="AF80" s="198" t="n"/>
      <c r="AG80" s="199" t="n"/>
      <c r="AH80" s="197" t="n"/>
      <c r="AI80" s="198" t="n"/>
      <c r="AJ80" s="198" t="n"/>
      <c r="AK80" s="198" t="n"/>
      <c r="AL80" s="199" t="n"/>
      <c r="AM80" s="200" t="n"/>
      <c r="AN80" s="198" t="inlineStr">
        <is>
          <t>●</t>
        </is>
      </c>
      <c r="AO80" s="198" t="inlineStr">
        <is>
          <t>●</t>
        </is>
      </c>
      <c r="AP80" s="199" t="n"/>
      <c r="AQ80" s="160" t="n"/>
    </row>
    <row r="81">
      <c r="A81" s="160" t="n"/>
      <c r="B81" s="217" t="n"/>
      <c r="C81" s="176" t="inlineStr">
        <is>
          <t>05B</t>
        </is>
      </c>
      <c r="D81" s="204" t="n"/>
      <c r="E81" s="205" t="n"/>
      <c r="F81" s="205" t="n"/>
      <c r="G81" s="205" t="n"/>
      <c r="H81" s="205" t="n"/>
      <c r="I81" s="205" t="n"/>
      <c r="J81" s="205" t="n"/>
      <c r="K81" s="205" t="n"/>
      <c r="L81" s="205" t="n"/>
      <c r="M81" s="205" t="n"/>
      <c r="N81" s="205" t="n"/>
      <c r="O81" s="206" t="n"/>
      <c r="P81" s="204" t="n"/>
      <c r="Q81" s="205" t="n"/>
      <c r="R81" s="205" t="n"/>
      <c r="S81" s="205" t="n"/>
      <c r="T81" s="205" t="n"/>
      <c r="U81" s="205" t="n"/>
      <c r="V81" s="205" t="n"/>
      <c r="W81" s="205" t="n"/>
      <c r="X81" s="205" t="n"/>
      <c r="Y81" s="205" t="n"/>
      <c r="Z81" s="205" t="n"/>
      <c r="AA81" s="205" t="n"/>
      <c r="AB81" s="205" t="inlineStr">
        <is>
          <t>●</t>
        </is>
      </c>
      <c r="AC81" s="205" t="n"/>
      <c r="AD81" s="205" t="n"/>
      <c r="AE81" s="205" t="n"/>
      <c r="AF81" s="205" t="n"/>
      <c r="AG81" s="206" t="n"/>
      <c r="AH81" s="204" t="n"/>
      <c r="AI81" s="205" t="n"/>
      <c r="AJ81" s="205" t="n"/>
      <c r="AK81" s="205" t="n"/>
      <c r="AL81" s="206" t="n"/>
      <c r="AM81" s="207" t="n"/>
      <c r="AN81" s="205" t="inlineStr">
        <is>
          <t>●</t>
        </is>
      </c>
      <c r="AO81" s="205" t="inlineStr">
        <is>
          <t>●</t>
        </is>
      </c>
      <c r="AP81" s="206" t="n"/>
      <c r="AQ81" s="160" t="n"/>
    </row>
    <row r="82">
      <c r="A82" s="160" t="n"/>
      <c r="B82" s="217" t="n"/>
      <c r="C82" s="176" t="inlineStr">
        <is>
          <t>20B</t>
        </is>
      </c>
      <c r="D82" s="204" t="n"/>
      <c r="E82" s="205" t="n"/>
      <c r="F82" s="205" t="n"/>
      <c r="G82" s="205" t="n"/>
      <c r="H82" s="205" t="n"/>
      <c r="I82" s="205" t="n"/>
      <c r="J82" s="205" t="n"/>
      <c r="K82" s="205" t="n"/>
      <c r="L82" s="205" t="n"/>
      <c r="M82" s="205" t="n"/>
      <c r="N82" s="205" t="n"/>
      <c r="O82" s="206" t="n"/>
      <c r="P82" s="204" t="n"/>
      <c r="Q82" s="205" t="n"/>
      <c r="R82" s="205" t="n"/>
      <c r="S82" s="205" t="n"/>
      <c r="T82" s="205" t="n"/>
      <c r="U82" s="205" t="inlineStr">
        <is>
          <t>●</t>
        </is>
      </c>
      <c r="V82" s="205" t="inlineStr">
        <is>
          <t>●</t>
        </is>
      </c>
      <c r="W82" s="205" t="inlineStr">
        <is>
          <t>●</t>
        </is>
      </c>
      <c r="X82" s="205" t="inlineStr">
        <is>
          <t>●</t>
        </is>
      </c>
      <c r="Y82" s="205" t="n"/>
      <c r="Z82" s="205" t="n"/>
      <c r="AA82" s="205" t="n"/>
      <c r="AB82" s="205" t="n"/>
      <c r="AC82" s="205" t="n"/>
      <c r="AD82" s="205" t="n"/>
      <c r="AE82" s="205" t="n"/>
      <c r="AF82" s="205" t="n"/>
      <c r="AG82" s="206" t="n"/>
      <c r="AH82" s="204" t="n"/>
      <c r="AI82" s="205" t="n"/>
      <c r="AJ82" s="205" t="n"/>
      <c r="AK82" s="205" t="n"/>
      <c r="AL82" s="206" t="n"/>
      <c r="AM82" s="207" t="n"/>
      <c r="AN82" s="205" t="n"/>
      <c r="AO82" s="205" t="n"/>
      <c r="AP82" s="206" t="n"/>
      <c r="AQ82" s="160" t="n"/>
    </row>
    <row r="83">
      <c r="A83" s="160" t="n"/>
      <c r="B83" s="217" t="n"/>
      <c r="C83" s="176" t="inlineStr">
        <is>
          <t>22B</t>
        </is>
      </c>
      <c r="D83" s="204" t="n"/>
      <c r="E83" s="205" t="n"/>
      <c r="F83" s="205" t="n"/>
      <c r="G83" s="205" t="n"/>
      <c r="H83" s="205" t="n"/>
      <c r="I83" s="205" t="n"/>
      <c r="J83" s="205" t="n"/>
      <c r="K83" s="205" t="n"/>
      <c r="L83" s="205" t="n"/>
      <c r="M83" s="205" t="n"/>
      <c r="N83" s="205" t="n"/>
      <c r="O83" s="206" t="n"/>
      <c r="P83" s="204" t="n"/>
      <c r="Q83" s="205" t="n"/>
      <c r="R83" s="205" t="n"/>
      <c r="S83" s="205" t="n"/>
      <c r="T83" s="205" t="n"/>
      <c r="U83" s="205" t="inlineStr">
        <is>
          <t>●</t>
        </is>
      </c>
      <c r="V83" s="205" t="inlineStr">
        <is>
          <t>●</t>
        </is>
      </c>
      <c r="W83" s="205" t="inlineStr">
        <is>
          <t>●</t>
        </is>
      </c>
      <c r="X83" s="205" t="inlineStr">
        <is>
          <t>●</t>
        </is>
      </c>
      <c r="Y83" s="205" t="n"/>
      <c r="Z83" s="205" t="inlineStr">
        <is>
          <t>●</t>
        </is>
      </c>
      <c r="AA83" s="205" t="n"/>
      <c r="AB83" s="205" t="inlineStr">
        <is>
          <t>●</t>
        </is>
      </c>
      <c r="AC83" s="205" t="n"/>
      <c r="AD83" s="205" t="n"/>
      <c r="AE83" s="205" t="n"/>
      <c r="AF83" s="205" t="n"/>
      <c r="AG83" s="206" t="n"/>
      <c r="AH83" s="204" t="n"/>
      <c r="AI83" s="205" t="n"/>
      <c r="AJ83" s="205" t="n"/>
      <c r="AK83" s="205" t="n"/>
      <c r="AL83" s="206" t="n"/>
      <c r="AM83" s="207" t="n"/>
      <c r="AN83" s="205" t="n"/>
      <c r="AO83" s="205" t="n"/>
      <c r="AP83" s="206" t="n"/>
      <c r="AQ83" s="160" t="n"/>
    </row>
    <row r="84">
      <c r="A84" s="160" t="n"/>
      <c r="B84" s="217" t="n"/>
      <c r="C84" s="176" t="inlineStr">
        <is>
          <t>24B</t>
        </is>
      </c>
      <c r="D84" s="204" t="n"/>
      <c r="E84" s="205" t="n"/>
      <c r="F84" s="205" t="n"/>
      <c r="G84" s="205" t="n"/>
      <c r="H84" s="205" t="n"/>
      <c r="I84" s="205" t="n"/>
      <c r="J84" s="205" t="n"/>
      <c r="K84" s="205" t="n"/>
      <c r="L84" s="205" t="n"/>
      <c r="M84" s="205" t="n"/>
      <c r="N84" s="205" t="n"/>
      <c r="O84" s="206" t="n"/>
      <c r="P84" s="204" t="n"/>
      <c r="Q84" s="205" t="n"/>
      <c r="R84" s="205" t="n"/>
      <c r="S84" s="205" t="n"/>
      <c r="T84" s="205" t="n"/>
      <c r="U84" s="205" t="inlineStr">
        <is>
          <t>●</t>
        </is>
      </c>
      <c r="V84" s="205" t="inlineStr">
        <is>
          <t>●</t>
        </is>
      </c>
      <c r="W84" s="205" t="inlineStr">
        <is>
          <t>●</t>
        </is>
      </c>
      <c r="X84" s="205" t="inlineStr">
        <is>
          <t>●</t>
        </is>
      </c>
      <c r="Y84" s="205" t="n"/>
      <c r="Z84" s="205" t="n"/>
      <c r="AA84" s="205" t="n"/>
      <c r="AB84" s="205" t="n"/>
      <c r="AC84" s="205" t="n"/>
      <c r="AD84" s="205" t="n"/>
      <c r="AE84" s="205" t="n"/>
      <c r="AF84" s="205" t="n"/>
      <c r="AG84" s="206" t="n"/>
      <c r="AH84" s="204" t="n"/>
      <c r="AI84" s="205" t="n"/>
      <c r="AJ84" s="205" t="n"/>
      <c r="AK84" s="205" t="n"/>
      <c r="AL84" s="206" t="n"/>
      <c r="AM84" s="207" t="n"/>
      <c r="AN84" s="205" t="inlineStr">
        <is>
          <t>●</t>
        </is>
      </c>
      <c r="AO84" s="205" t="inlineStr">
        <is>
          <t>●</t>
        </is>
      </c>
      <c r="AP84" s="206" t="n"/>
      <c r="AQ84" s="160" t="n"/>
    </row>
    <row r="85">
      <c r="A85" s="160" t="n"/>
      <c r="B85" s="217" t="n"/>
      <c r="C85" s="176" t="inlineStr">
        <is>
          <t>26B</t>
        </is>
      </c>
      <c r="D85" s="204" t="n"/>
      <c r="E85" s="205" t="n"/>
      <c r="F85" s="205" t="n"/>
      <c r="G85" s="205" t="n"/>
      <c r="H85" s="205" t="n"/>
      <c r="I85" s="205" t="n"/>
      <c r="J85" s="205" t="n"/>
      <c r="K85" s="205" t="n"/>
      <c r="L85" s="205" t="n"/>
      <c r="M85" s="205" t="n"/>
      <c r="N85" s="205" t="n"/>
      <c r="O85" s="206" t="n"/>
      <c r="P85" s="204" t="n"/>
      <c r="Q85" s="205" t="n"/>
      <c r="R85" s="205" t="n"/>
      <c r="S85" s="205" t="n"/>
      <c r="T85" s="205" t="n"/>
      <c r="U85" s="205" t="inlineStr">
        <is>
          <t>●</t>
        </is>
      </c>
      <c r="V85" s="205" t="inlineStr">
        <is>
          <t>●</t>
        </is>
      </c>
      <c r="W85" s="205" t="inlineStr">
        <is>
          <t>●</t>
        </is>
      </c>
      <c r="X85" s="205" t="inlineStr">
        <is>
          <t>●</t>
        </is>
      </c>
      <c r="Y85" s="205" t="n"/>
      <c r="Z85" s="205" t="inlineStr">
        <is>
          <t>●</t>
        </is>
      </c>
      <c r="AA85" s="205" t="n"/>
      <c r="AB85" s="205" t="n"/>
      <c r="AC85" s="205" t="n"/>
      <c r="AD85" s="205" t="n"/>
      <c r="AE85" s="205" t="n"/>
      <c r="AF85" s="205" t="n"/>
      <c r="AG85" s="206" t="n"/>
      <c r="AH85" s="204" t="n"/>
      <c r="AI85" s="205" t="n"/>
      <c r="AJ85" s="205" t="n"/>
      <c r="AK85" s="205" t="n"/>
      <c r="AL85" s="206" t="n"/>
      <c r="AM85" s="207" t="n"/>
      <c r="AN85" s="205" t="inlineStr">
        <is>
          <t>●</t>
        </is>
      </c>
      <c r="AO85" s="205" t="inlineStr">
        <is>
          <t>●</t>
        </is>
      </c>
      <c r="AP85" s="206" t="n"/>
      <c r="AQ85" s="160" t="n"/>
    </row>
    <row r="86">
      <c r="A86" s="160" t="n"/>
      <c r="B86" s="217" t="n"/>
      <c r="C86" s="176" t="inlineStr">
        <is>
          <t>40B</t>
        </is>
      </c>
      <c r="D86" s="204" t="n"/>
      <c r="E86" s="205" t="n"/>
      <c r="F86" s="205" t="n"/>
      <c r="G86" s="205" t="n"/>
      <c r="H86" s="205" t="n"/>
      <c r="I86" s="205" t="n"/>
      <c r="J86" s="205" t="n"/>
      <c r="K86" s="205" t="n"/>
      <c r="L86" s="205" t="n"/>
      <c r="M86" s="205" t="n"/>
      <c r="N86" s="205" t="n"/>
      <c r="O86" s="206" t="n"/>
      <c r="P86" s="204" t="inlineStr">
        <is>
          <t>●</t>
        </is>
      </c>
      <c r="Q86" s="205" t="inlineStr">
        <is>
          <t>●</t>
        </is>
      </c>
      <c r="R86" s="205" t="inlineStr">
        <is>
          <t>●</t>
        </is>
      </c>
      <c r="S86" s="205" t="inlineStr">
        <is>
          <t>●</t>
        </is>
      </c>
      <c r="T86" s="205" t="n"/>
      <c r="U86" s="205" t="n"/>
      <c r="V86" s="205" t="n"/>
      <c r="W86" s="205" t="n"/>
      <c r="X86" s="205" t="n"/>
      <c r="Y86" s="205" t="n"/>
      <c r="Z86" s="205" t="n"/>
      <c r="AA86" s="205" t="n"/>
      <c r="AB86" s="205" t="n"/>
      <c r="AC86" s="205" t="n"/>
      <c r="AD86" s="205" t="inlineStr">
        <is>
          <t>●</t>
        </is>
      </c>
      <c r="AE86" s="205" t="n"/>
      <c r="AF86" s="205" t="inlineStr">
        <is>
          <t>●</t>
        </is>
      </c>
      <c r="AG86" s="206" t="n"/>
      <c r="AH86" s="204" t="n"/>
      <c r="AI86" s="205" t="n"/>
      <c r="AJ86" s="205" t="n"/>
      <c r="AK86" s="205" t="n"/>
      <c r="AL86" s="206" t="n"/>
      <c r="AM86" s="207" t="n"/>
      <c r="AN86" s="205" t="n"/>
      <c r="AO86" s="205" t="n"/>
      <c r="AP86" s="206" t="n"/>
      <c r="AQ86" s="160" t="n"/>
    </row>
    <row r="87">
      <c r="A87" s="160" t="n"/>
      <c r="B87" s="217" t="n"/>
      <c r="C87" s="176" t="inlineStr">
        <is>
          <t>42B</t>
        </is>
      </c>
      <c r="D87" s="204" t="n"/>
      <c r="E87" s="205" t="n"/>
      <c r="F87" s="205" t="n"/>
      <c r="G87" s="205" t="n"/>
      <c r="H87" s="205" t="n"/>
      <c r="I87" s="205" t="n"/>
      <c r="J87" s="205" t="n"/>
      <c r="K87" s="205" t="n"/>
      <c r="L87" s="205" t="n"/>
      <c r="M87" s="205" t="n"/>
      <c r="N87" s="205" t="n"/>
      <c r="O87" s="206" t="n"/>
      <c r="P87" s="204" t="inlineStr">
        <is>
          <t>●</t>
        </is>
      </c>
      <c r="Q87" s="205" t="inlineStr">
        <is>
          <t>●</t>
        </is>
      </c>
      <c r="R87" s="205" t="inlineStr">
        <is>
          <t>●</t>
        </is>
      </c>
      <c r="S87" s="205" t="inlineStr">
        <is>
          <t>●</t>
        </is>
      </c>
      <c r="T87" s="205" t="n"/>
      <c r="U87" s="205" t="n"/>
      <c r="V87" s="205" t="n"/>
      <c r="W87" s="205" t="n"/>
      <c r="X87" s="205" t="n"/>
      <c r="Y87" s="205" t="n"/>
      <c r="Z87" s="205" t="inlineStr">
        <is>
          <t>●</t>
        </is>
      </c>
      <c r="AA87" s="205" t="n"/>
      <c r="AB87" s="205" t="n"/>
      <c r="AC87" s="205" t="n"/>
      <c r="AD87" s="205" t="inlineStr">
        <is>
          <t>●</t>
        </is>
      </c>
      <c r="AE87" s="205" t="n"/>
      <c r="AF87" s="205" t="inlineStr">
        <is>
          <t>●</t>
        </is>
      </c>
      <c r="AG87" s="206" t="n"/>
      <c r="AH87" s="204" t="n"/>
      <c r="AI87" s="205" t="n"/>
      <c r="AJ87" s="205" t="n"/>
      <c r="AK87" s="205" t="n"/>
      <c r="AL87" s="206" t="n"/>
      <c r="AM87" s="207" t="n"/>
      <c r="AN87" s="205" t="n"/>
      <c r="AO87" s="205" t="n"/>
      <c r="AP87" s="206" t="n"/>
      <c r="AQ87" s="160" t="n"/>
    </row>
    <row r="88">
      <c r="A88" s="160" t="n"/>
      <c r="B88" s="217" t="n"/>
      <c r="C88" s="176" t="inlineStr">
        <is>
          <t>44B</t>
        </is>
      </c>
      <c r="D88" s="204" t="n"/>
      <c r="E88" s="205" t="n"/>
      <c r="F88" s="205" t="n"/>
      <c r="G88" s="205" t="n"/>
      <c r="H88" s="205" t="n"/>
      <c r="I88" s="205" t="n"/>
      <c r="J88" s="205" t="n"/>
      <c r="K88" s="205" t="n"/>
      <c r="L88" s="205" t="n"/>
      <c r="M88" s="205" t="n"/>
      <c r="N88" s="205" t="n"/>
      <c r="O88" s="206" t="n"/>
      <c r="P88" s="204" t="inlineStr">
        <is>
          <t>●</t>
        </is>
      </c>
      <c r="Q88" s="205" t="inlineStr">
        <is>
          <t>●</t>
        </is>
      </c>
      <c r="R88" s="205" t="inlineStr">
        <is>
          <t>●</t>
        </is>
      </c>
      <c r="S88" s="205" t="inlineStr">
        <is>
          <t>●</t>
        </is>
      </c>
      <c r="T88" s="205" t="n"/>
      <c r="U88" s="205" t="n"/>
      <c r="V88" s="205" t="n"/>
      <c r="W88" s="205" t="n"/>
      <c r="X88" s="205" t="n"/>
      <c r="Y88" s="205" t="n"/>
      <c r="Z88" s="205" t="n"/>
      <c r="AA88" s="205" t="n"/>
      <c r="AB88" s="205" t="n"/>
      <c r="AC88" s="205" t="n"/>
      <c r="AD88" s="205" t="inlineStr">
        <is>
          <t>●</t>
        </is>
      </c>
      <c r="AE88" s="205" t="n"/>
      <c r="AF88" s="205" t="inlineStr">
        <is>
          <t>●</t>
        </is>
      </c>
      <c r="AG88" s="206" t="n"/>
      <c r="AH88" s="204" t="n"/>
      <c r="AI88" s="205" t="n"/>
      <c r="AJ88" s="205" t="n"/>
      <c r="AK88" s="205" t="n"/>
      <c r="AL88" s="206" t="n"/>
      <c r="AM88" s="207" t="n"/>
      <c r="AN88" s="205" t="inlineStr">
        <is>
          <t>●</t>
        </is>
      </c>
      <c r="AO88" s="205" t="inlineStr">
        <is>
          <t>●</t>
        </is>
      </c>
      <c r="AP88" s="206" t="n"/>
      <c r="AQ88" s="160" t="n"/>
    </row>
    <row r="89">
      <c r="A89" s="160" t="n"/>
      <c r="B89" s="217" t="n"/>
      <c r="C89" s="176" t="inlineStr">
        <is>
          <t>46B</t>
        </is>
      </c>
      <c r="D89" s="204" t="n"/>
      <c r="E89" s="205" t="n"/>
      <c r="F89" s="205" t="n"/>
      <c r="G89" s="205" t="n"/>
      <c r="H89" s="205" t="n"/>
      <c r="I89" s="205" t="n"/>
      <c r="J89" s="205" t="n"/>
      <c r="K89" s="205" t="n"/>
      <c r="L89" s="205" t="n"/>
      <c r="M89" s="205" t="n"/>
      <c r="N89" s="205" t="n"/>
      <c r="O89" s="206" t="n"/>
      <c r="P89" s="204" t="inlineStr">
        <is>
          <t>●</t>
        </is>
      </c>
      <c r="Q89" s="205" t="inlineStr">
        <is>
          <t>●</t>
        </is>
      </c>
      <c r="R89" s="205" t="inlineStr">
        <is>
          <t>●</t>
        </is>
      </c>
      <c r="S89" s="205" t="inlineStr">
        <is>
          <t>●</t>
        </is>
      </c>
      <c r="T89" s="205" t="n"/>
      <c r="U89" s="205" t="n"/>
      <c r="V89" s="205" t="n"/>
      <c r="W89" s="205" t="n"/>
      <c r="X89" s="205" t="n"/>
      <c r="Y89" s="205" t="n"/>
      <c r="Z89" s="205" t="inlineStr">
        <is>
          <t>●</t>
        </is>
      </c>
      <c r="AA89" s="205" t="n"/>
      <c r="AB89" s="205" t="n"/>
      <c r="AC89" s="205" t="n"/>
      <c r="AD89" s="205" t="inlineStr">
        <is>
          <t>●</t>
        </is>
      </c>
      <c r="AE89" s="205" t="n"/>
      <c r="AF89" s="205" t="inlineStr">
        <is>
          <t>●</t>
        </is>
      </c>
      <c r="AG89" s="206" t="n"/>
      <c r="AH89" s="204" t="n"/>
      <c r="AI89" s="205" t="n"/>
      <c r="AJ89" s="205" t="n"/>
      <c r="AK89" s="205" t="n"/>
      <c r="AL89" s="206" t="n"/>
      <c r="AM89" s="207" t="n"/>
      <c r="AN89" s="205" t="inlineStr">
        <is>
          <t>●</t>
        </is>
      </c>
      <c r="AO89" s="205" t="inlineStr">
        <is>
          <t>●</t>
        </is>
      </c>
      <c r="AP89" s="206" t="n"/>
      <c r="AQ89" s="160" t="n"/>
    </row>
    <row r="90">
      <c r="A90" s="160" t="n"/>
      <c r="B90" s="217" t="n"/>
      <c r="C90" s="176" t="inlineStr">
        <is>
          <t>60B</t>
        </is>
      </c>
      <c r="D90" s="204" t="n"/>
      <c r="E90" s="205" t="n"/>
      <c r="F90" s="205" t="n"/>
      <c r="G90" s="205" t="n"/>
      <c r="H90" s="205" t="n"/>
      <c r="I90" s="205" t="n"/>
      <c r="J90" s="205" t="n"/>
      <c r="K90" s="205" t="n"/>
      <c r="L90" s="205" t="n"/>
      <c r="M90" s="205" t="n"/>
      <c r="N90" s="205" t="n"/>
      <c r="O90" s="206" t="n"/>
      <c r="P90" s="204" t="inlineStr">
        <is>
          <t>●</t>
        </is>
      </c>
      <c r="Q90" s="205" t="inlineStr">
        <is>
          <t>●</t>
        </is>
      </c>
      <c r="R90" s="205" t="inlineStr">
        <is>
          <t>●</t>
        </is>
      </c>
      <c r="S90" s="205" t="inlineStr">
        <is>
          <t>●</t>
        </is>
      </c>
      <c r="T90" s="205" t="n"/>
      <c r="U90" s="205" t="inlineStr">
        <is>
          <t>●</t>
        </is>
      </c>
      <c r="V90" s="205" t="inlineStr">
        <is>
          <t>●</t>
        </is>
      </c>
      <c r="W90" s="205" t="inlineStr">
        <is>
          <t>●</t>
        </is>
      </c>
      <c r="X90" s="205" t="inlineStr">
        <is>
          <t>●</t>
        </is>
      </c>
      <c r="Y90" s="205" t="n"/>
      <c r="Z90" s="205" t="n"/>
      <c r="AA90" s="205" t="n"/>
      <c r="AB90" s="205" t="n"/>
      <c r="AC90" s="205" t="n"/>
      <c r="AD90" s="205" t="inlineStr">
        <is>
          <t>●</t>
        </is>
      </c>
      <c r="AE90" s="205" t="n"/>
      <c r="AF90" s="205" t="inlineStr">
        <is>
          <t>●</t>
        </is>
      </c>
      <c r="AG90" s="206" t="n"/>
      <c r="AH90" s="204" t="n"/>
      <c r="AI90" s="205" t="n"/>
      <c r="AJ90" s="205" t="n"/>
      <c r="AK90" s="205" t="n"/>
      <c r="AL90" s="206" t="n"/>
      <c r="AM90" s="207" t="n"/>
      <c r="AN90" s="205" t="inlineStr">
        <is>
          <t>●</t>
        </is>
      </c>
      <c r="AO90" s="205" t="n"/>
      <c r="AP90" s="206" t="n"/>
      <c r="AQ90" s="160" t="n"/>
    </row>
    <row r="91">
      <c r="A91" s="160" t="n"/>
      <c r="B91" s="217" t="n"/>
      <c r="C91" s="176" t="inlineStr">
        <is>
          <t>62B</t>
        </is>
      </c>
      <c r="D91" s="204" t="n"/>
      <c r="E91" s="205" t="n"/>
      <c r="F91" s="205" t="n"/>
      <c r="G91" s="205" t="n"/>
      <c r="H91" s="205" t="n"/>
      <c r="I91" s="205" t="n"/>
      <c r="J91" s="205" t="n"/>
      <c r="K91" s="205" t="n"/>
      <c r="L91" s="205" t="n"/>
      <c r="M91" s="205" t="n"/>
      <c r="N91" s="205" t="n"/>
      <c r="O91" s="206" t="n"/>
      <c r="P91" s="204" t="inlineStr">
        <is>
          <t>●</t>
        </is>
      </c>
      <c r="Q91" s="205" t="inlineStr">
        <is>
          <t>●</t>
        </is>
      </c>
      <c r="R91" s="205" t="inlineStr">
        <is>
          <t>●</t>
        </is>
      </c>
      <c r="S91" s="205" t="inlineStr">
        <is>
          <t>●</t>
        </is>
      </c>
      <c r="T91" s="205" t="n"/>
      <c r="U91" s="205" t="inlineStr">
        <is>
          <t>●</t>
        </is>
      </c>
      <c r="V91" s="205" t="inlineStr">
        <is>
          <t>●</t>
        </is>
      </c>
      <c r="W91" s="205" t="inlineStr">
        <is>
          <t>●</t>
        </is>
      </c>
      <c r="X91" s="205" t="inlineStr">
        <is>
          <t>●</t>
        </is>
      </c>
      <c r="Y91" s="205" t="n"/>
      <c r="Z91" s="205" t="inlineStr">
        <is>
          <t>●</t>
        </is>
      </c>
      <c r="AA91" s="205" t="n"/>
      <c r="AB91" s="205" t="inlineStr">
        <is>
          <t>●</t>
        </is>
      </c>
      <c r="AC91" s="205" t="n"/>
      <c r="AD91" s="205" t="inlineStr">
        <is>
          <t>●</t>
        </is>
      </c>
      <c r="AE91" s="205" t="n"/>
      <c r="AF91" s="205" t="inlineStr">
        <is>
          <t>●</t>
        </is>
      </c>
      <c r="AG91" s="206" t="n"/>
      <c r="AH91" s="204" t="n"/>
      <c r="AI91" s="205" t="n"/>
      <c r="AJ91" s="205" t="n"/>
      <c r="AK91" s="205" t="n"/>
      <c r="AL91" s="206" t="n"/>
      <c r="AM91" s="207" t="n"/>
      <c r="AN91" s="205" t="inlineStr">
        <is>
          <t>●</t>
        </is>
      </c>
      <c r="AO91" s="205" t="n"/>
      <c r="AP91" s="206" t="n"/>
      <c r="AQ91" s="160" t="n"/>
    </row>
    <row r="92">
      <c r="A92" s="160" t="n"/>
      <c r="B92" s="217" t="n"/>
      <c r="C92" s="176" t="inlineStr">
        <is>
          <t>64B</t>
        </is>
      </c>
      <c r="D92" s="204" t="n"/>
      <c r="E92" s="205" t="n"/>
      <c r="F92" s="205" t="n"/>
      <c r="G92" s="205" t="n"/>
      <c r="H92" s="205" t="n"/>
      <c r="I92" s="205" t="n"/>
      <c r="J92" s="205" t="n"/>
      <c r="K92" s="205" t="n"/>
      <c r="L92" s="205" t="n"/>
      <c r="M92" s="205" t="n"/>
      <c r="N92" s="205" t="n"/>
      <c r="O92" s="206" t="n"/>
      <c r="P92" s="204" t="inlineStr">
        <is>
          <t>●</t>
        </is>
      </c>
      <c r="Q92" s="205" t="inlineStr">
        <is>
          <t>●</t>
        </is>
      </c>
      <c r="R92" s="205" t="inlineStr">
        <is>
          <t>●</t>
        </is>
      </c>
      <c r="S92" s="205" t="inlineStr">
        <is>
          <t>●</t>
        </is>
      </c>
      <c r="T92" s="205" t="n"/>
      <c r="U92" s="205" t="inlineStr">
        <is>
          <t>●</t>
        </is>
      </c>
      <c r="V92" s="205" t="inlineStr">
        <is>
          <t>●</t>
        </is>
      </c>
      <c r="W92" s="205" t="inlineStr">
        <is>
          <t>●</t>
        </is>
      </c>
      <c r="X92" s="205" t="inlineStr">
        <is>
          <t>●</t>
        </is>
      </c>
      <c r="Y92" s="205" t="n"/>
      <c r="Z92" s="205" t="n"/>
      <c r="AA92" s="205" t="n"/>
      <c r="AB92" s="205" t="n"/>
      <c r="AC92" s="205" t="n"/>
      <c r="AD92" s="205" t="inlineStr">
        <is>
          <t>●</t>
        </is>
      </c>
      <c r="AE92" s="205" t="n"/>
      <c r="AF92" s="205" t="inlineStr">
        <is>
          <t>●</t>
        </is>
      </c>
      <c r="AG92" s="206" t="n"/>
      <c r="AH92" s="204" t="n"/>
      <c r="AI92" s="205" t="n"/>
      <c r="AJ92" s="205" t="n"/>
      <c r="AK92" s="205" t="n"/>
      <c r="AL92" s="206" t="n"/>
      <c r="AM92" s="207" t="n"/>
      <c r="AN92" s="205" t="inlineStr">
        <is>
          <t>●</t>
        </is>
      </c>
      <c r="AO92" s="205" t="inlineStr">
        <is>
          <t>●</t>
        </is>
      </c>
      <c r="AP92" s="206" t="n"/>
      <c r="AQ92" s="160" t="n"/>
    </row>
    <row r="93">
      <c r="A93" s="160" t="n"/>
      <c r="B93" s="217" t="n"/>
      <c r="C93" s="176" t="inlineStr">
        <is>
          <t>66B</t>
        </is>
      </c>
      <c r="D93" s="204" t="n"/>
      <c r="E93" s="205" t="n"/>
      <c r="F93" s="205" t="n"/>
      <c r="G93" s="205" t="n"/>
      <c r="H93" s="205" t="n"/>
      <c r="I93" s="205" t="n"/>
      <c r="J93" s="205" t="n"/>
      <c r="K93" s="205" t="n"/>
      <c r="L93" s="205" t="n"/>
      <c r="M93" s="205" t="n"/>
      <c r="N93" s="205" t="n"/>
      <c r="O93" s="206" t="n"/>
      <c r="P93" s="204" t="inlineStr">
        <is>
          <t>●</t>
        </is>
      </c>
      <c r="Q93" s="205" t="inlineStr">
        <is>
          <t>●</t>
        </is>
      </c>
      <c r="R93" s="205" t="inlineStr">
        <is>
          <t>●</t>
        </is>
      </c>
      <c r="S93" s="205" t="inlineStr">
        <is>
          <t>●</t>
        </is>
      </c>
      <c r="T93" s="205" t="n"/>
      <c r="U93" s="205" t="inlineStr">
        <is>
          <t>●</t>
        </is>
      </c>
      <c r="V93" s="205" t="inlineStr">
        <is>
          <t>●</t>
        </is>
      </c>
      <c r="W93" s="205" t="inlineStr">
        <is>
          <t>●</t>
        </is>
      </c>
      <c r="X93" s="205" t="inlineStr">
        <is>
          <t>●</t>
        </is>
      </c>
      <c r="Y93" s="205" t="n"/>
      <c r="Z93" s="205" t="inlineStr">
        <is>
          <t>●</t>
        </is>
      </c>
      <c r="AA93" s="205" t="n"/>
      <c r="AB93" s="205" t="n"/>
      <c r="AC93" s="205" t="n"/>
      <c r="AD93" s="205" t="inlineStr">
        <is>
          <t>●</t>
        </is>
      </c>
      <c r="AE93" s="205" t="n"/>
      <c r="AF93" s="205" t="inlineStr">
        <is>
          <t>●</t>
        </is>
      </c>
      <c r="AG93" s="206" t="n"/>
      <c r="AH93" s="204" t="n"/>
      <c r="AI93" s="205" t="n"/>
      <c r="AJ93" s="205" t="n"/>
      <c r="AK93" s="205" t="n"/>
      <c r="AL93" s="206" t="n"/>
      <c r="AM93" s="207" t="n"/>
      <c r="AN93" s="205" t="inlineStr">
        <is>
          <t>●</t>
        </is>
      </c>
      <c r="AO93" s="205" t="inlineStr">
        <is>
          <t>●</t>
        </is>
      </c>
      <c r="AP93" s="206" t="n"/>
      <c r="AQ93" s="160" t="n"/>
    </row>
    <row r="94">
      <c r="A94" s="160" t="n"/>
      <c r="B94" s="217" t="n"/>
      <c r="C94" s="219" t="inlineStr">
        <is>
          <t>K0B</t>
        </is>
      </c>
      <c r="D94" s="204" t="n"/>
      <c r="E94" s="205" t="n"/>
      <c r="F94" s="205" t="n"/>
      <c r="G94" s="205" t="n"/>
      <c r="H94" s="205" t="n"/>
      <c r="I94" s="205" t="n"/>
      <c r="J94" s="205" t="n"/>
      <c r="K94" s="205" t="n"/>
      <c r="L94" s="205" t="n"/>
      <c r="M94" s="205" t="n"/>
      <c r="N94" s="205" t="n"/>
      <c r="O94" s="206" t="n"/>
      <c r="P94" s="204" t="inlineStr">
        <is>
          <t>●</t>
        </is>
      </c>
      <c r="Q94" s="205" t="inlineStr">
        <is>
          <t>●</t>
        </is>
      </c>
      <c r="R94" s="205" t="inlineStr">
        <is>
          <t>●</t>
        </is>
      </c>
      <c r="S94" s="205" t="inlineStr">
        <is>
          <t>●</t>
        </is>
      </c>
      <c r="T94" s="205" t="inlineStr">
        <is>
          <t>●</t>
        </is>
      </c>
      <c r="U94" s="205" t="inlineStr">
        <is>
          <t>●</t>
        </is>
      </c>
      <c r="V94" s="205" t="inlineStr">
        <is>
          <t>●</t>
        </is>
      </c>
      <c r="W94" s="205" t="inlineStr">
        <is>
          <t>●</t>
        </is>
      </c>
      <c r="X94" s="205" t="inlineStr">
        <is>
          <t>●</t>
        </is>
      </c>
      <c r="Y94" s="205" t="inlineStr">
        <is>
          <t>●</t>
        </is>
      </c>
      <c r="Z94" s="205" t="n"/>
      <c r="AA94" s="205" t="n"/>
      <c r="AB94" s="205" t="n"/>
      <c r="AC94" s="205" t="n"/>
      <c r="AD94" s="205" t="inlineStr">
        <is>
          <t>●</t>
        </is>
      </c>
      <c r="AE94" s="205" t="inlineStr">
        <is>
          <t>●</t>
        </is>
      </c>
      <c r="AF94" s="205" t="inlineStr">
        <is>
          <t>●</t>
        </is>
      </c>
      <c r="AG94" s="206" t="inlineStr">
        <is>
          <t>●</t>
        </is>
      </c>
      <c r="AH94" s="204" t="n"/>
      <c r="AI94" s="205" t="n"/>
      <c r="AJ94" s="205" t="n"/>
      <c r="AK94" s="205" t="n"/>
      <c r="AL94" s="206" t="n"/>
      <c r="AM94" s="207" t="n"/>
      <c r="AN94" s="205" t="inlineStr">
        <is>
          <t>●</t>
        </is>
      </c>
      <c r="AO94" s="205" t="n"/>
      <c r="AP94" s="206" t="n"/>
      <c r="AQ94" s="160" t="n"/>
    </row>
    <row r="95">
      <c r="A95" s="160" t="n"/>
      <c r="B95" s="217" t="n"/>
      <c r="C95" s="219" t="inlineStr">
        <is>
          <t>K2B</t>
        </is>
      </c>
      <c r="D95" s="204" t="n"/>
      <c r="E95" s="205" t="n"/>
      <c r="F95" s="205" t="n"/>
      <c r="G95" s="205" t="n"/>
      <c r="H95" s="205" t="n"/>
      <c r="I95" s="205" t="n"/>
      <c r="J95" s="205" t="n"/>
      <c r="K95" s="205" t="n"/>
      <c r="L95" s="205" t="n"/>
      <c r="M95" s="205" t="n"/>
      <c r="N95" s="205" t="n"/>
      <c r="O95" s="206" t="n"/>
      <c r="P95" s="204" t="inlineStr">
        <is>
          <t>●</t>
        </is>
      </c>
      <c r="Q95" s="205" t="inlineStr">
        <is>
          <t>●</t>
        </is>
      </c>
      <c r="R95" s="205" t="inlineStr">
        <is>
          <t>●</t>
        </is>
      </c>
      <c r="S95" s="205" t="inlineStr">
        <is>
          <t>●</t>
        </is>
      </c>
      <c r="T95" s="205" t="inlineStr">
        <is>
          <t>●</t>
        </is>
      </c>
      <c r="U95" s="205" t="inlineStr">
        <is>
          <t>●</t>
        </is>
      </c>
      <c r="V95" s="205" t="inlineStr">
        <is>
          <t>●</t>
        </is>
      </c>
      <c r="W95" s="205" t="inlineStr">
        <is>
          <t>●</t>
        </is>
      </c>
      <c r="X95" s="205" t="inlineStr">
        <is>
          <t>●</t>
        </is>
      </c>
      <c r="Y95" s="205" t="inlineStr">
        <is>
          <t>●</t>
        </is>
      </c>
      <c r="Z95" s="205" t="inlineStr">
        <is>
          <t>●</t>
        </is>
      </c>
      <c r="AA95" s="205" t="inlineStr">
        <is>
          <t>●</t>
        </is>
      </c>
      <c r="AB95" s="205" t="inlineStr">
        <is>
          <t>●</t>
        </is>
      </c>
      <c r="AC95" s="205" t="inlineStr">
        <is>
          <t>●</t>
        </is>
      </c>
      <c r="AD95" s="205" t="inlineStr">
        <is>
          <t>●</t>
        </is>
      </c>
      <c r="AE95" s="205" t="inlineStr">
        <is>
          <t>●</t>
        </is>
      </c>
      <c r="AF95" s="205" t="inlineStr">
        <is>
          <t>●</t>
        </is>
      </c>
      <c r="AG95" s="206" t="inlineStr">
        <is>
          <t>●</t>
        </is>
      </c>
      <c r="AH95" s="204" t="n"/>
      <c r="AI95" s="205" t="n"/>
      <c r="AJ95" s="205" t="n"/>
      <c r="AK95" s="205" t="n"/>
      <c r="AL95" s="206" t="n"/>
      <c r="AM95" s="207" t="n"/>
      <c r="AN95" s="205" t="inlineStr">
        <is>
          <t>●</t>
        </is>
      </c>
      <c r="AO95" s="205" t="n"/>
      <c r="AP95" s="206" t="n"/>
      <c r="AQ95" s="160" t="n"/>
    </row>
    <row r="96">
      <c r="A96" s="160" t="n"/>
      <c r="B96" s="217" t="n"/>
      <c r="C96" s="219" t="inlineStr">
        <is>
          <t>K4B</t>
        </is>
      </c>
      <c r="D96" s="204" t="n"/>
      <c r="E96" s="205" t="n"/>
      <c r="F96" s="205" t="n"/>
      <c r="G96" s="205" t="n"/>
      <c r="H96" s="205" t="n"/>
      <c r="I96" s="205" t="n"/>
      <c r="J96" s="205" t="n"/>
      <c r="K96" s="205" t="n"/>
      <c r="L96" s="205" t="n"/>
      <c r="M96" s="205" t="n"/>
      <c r="N96" s="205" t="n"/>
      <c r="O96" s="206" t="n"/>
      <c r="P96" s="204" t="inlineStr">
        <is>
          <t>●</t>
        </is>
      </c>
      <c r="Q96" s="205" t="inlineStr">
        <is>
          <t>●</t>
        </is>
      </c>
      <c r="R96" s="205" t="inlineStr">
        <is>
          <t>●</t>
        </is>
      </c>
      <c r="S96" s="205" t="inlineStr">
        <is>
          <t>●</t>
        </is>
      </c>
      <c r="T96" s="205" t="inlineStr">
        <is>
          <t>●</t>
        </is>
      </c>
      <c r="U96" s="205" t="inlineStr">
        <is>
          <t>●</t>
        </is>
      </c>
      <c r="V96" s="205" t="inlineStr">
        <is>
          <t>●</t>
        </is>
      </c>
      <c r="W96" s="205" t="inlineStr">
        <is>
          <t>●</t>
        </is>
      </c>
      <c r="X96" s="205" t="inlineStr">
        <is>
          <t>●</t>
        </is>
      </c>
      <c r="Y96" s="205" t="inlineStr">
        <is>
          <t>●</t>
        </is>
      </c>
      <c r="Z96" s="205" t="n"/>
      <c r="AA96" s="205" t="n"/>
      <c r="AB96" s="205" t="n"/>
      <c r="AC96" s="205" t="n"/>
      <c r="AD96" s="205" t="inlineStr">
        <is>
          <t>●</t>
        </is>
      </c>
      <c r="AE96" s="205" t="inlineStr">
        <is>
          <t>●</t>
        </is>
      </c>
      <c r="AF96" s="205" t="inlineStr">
        <is>
          <t>●</t>
        </is>
      </c>
      <c r="AG96" s="206" t="inlineStr">
        <is>
          <t>●</t>
        </is>
      </c>
      <c r="AH96" s="204" t="n"/>
      <c r="AI96" s="205" t="n"/>
      <c r="AJ96" s="205" t="n"/>
      <c r="AK96" s="205" t="n"/>
      <c r="AL96" s="206" t="n"/>
      <c r="AM96" s="207" t="n"/>
      <c r="AN96" s="205" t="inlineStr">
        <is>
          <t>●</t>
        </is>
      </c>
      <c r="AO96" s="205" t="inlineStr">
        <is>
          <t>●</t>
        </is>
      </c>
      <c r="AP96" s="206" t="n"/>
      <c r="AQ96" s="160" t="n"/>
    </row>
    <row r="97" ht="13.8" customHeight="1" thickBot="1">
      <c r="A97" s="160" t="n"/>
      <c r="B97" s="252" t="n"/>
      <c r="C97" s="221" t="inlineStr">
        <is>
          <t>K6B</t>
        </is>
      </c>
      <c r="D97" s="210" t="n"/>
      <c r="E97" s="211" t="n"/>
      <c r="F97" s="211" t="n"/>
      <c r="G97" s="211" t="n"/>
      <c r="H97" s="211" t="n"/>
      <c r="I97" s="211" t="n"/>
      <c r="J97" s="211" t="n"/>
      <c r="K97" s="211" t="n"/>
      <c r="L97" s="211" t="n"/>
      <c r="M97" s="211" t="n"/>
      <c r="N97" s="211" t="n"/>
      <c r="O97" s="212" t="n"/>
      <c r="P97" s="210" t="inlineStr">
        <is>
          <t>●</t>
        </is>
      </c>
      <c r="Q97" s="211" t="inlineStr">
        <is>
          <t>●</t>
        </is>
      </c>
      <c r="R97" s="211" t="inlineStr">
        <is>
          <t>●</t>
        </is>
      </c>
      <c r="S97" s="211" t="inlineStr">
        <is>
          <t>●</t>
        </is>
      </c>
      <c r="T97" s="211" t="inlineStr">
        <is>
          <t>●</t>
        </is>
      </c>
      <c r="U97" s="211" t="inlineStr">
        <is>
          <t>●</t>
        </is>
      </c>
      <c r="V97" s="211" t="inlineStr">
        <is>
          <t>●</t>
        </is>
      </c>
      <c r="W97" s="211" t="inlineStr">
        <is>
          <t>●</t>
        </is>
      </c>
      <c r="X97" s="211" t="inlineStr">
        <is>
          <t>●</t>
        </is>
      </c>
      <c r="Y97" s="211" t="inlineStr">
        <is>
          <t>●</t>
        </is>
      </c>
      <c r="Z97" s="211" t="inlineStr">
        <is>
          <t>●</t>
        </is>
      </c>
      <c r="AA97" s="211" t="inlineStr">
        <is>
          <t>●</t>
        </is>
      </c>
      <c r="AB97" s="211" t="n"/>
      <c r="AC97" s="211" t="n"/>
      <c r="AD97" s="211" t="inlineStr">
        <is>
          <t>●</t>
        </is>
      </c>
      <c r="AE97" s="211" t="inlineStr">
        <is>
          <t>●</t>
        </is>
      </c>
      <c r="AF97" s="211" t="inlineStr">
        <is>
          <t>●</t>
        </is>
      </c>
      <c r="AG97" s="212" t="inlineStr">
        <is>
          <t>●</t>
        </is>
      </c>
      <c r="AH97" s="210" t="n"/>
      <c r="AI97" s="211" t="n"/>
      <c r="AJ97" s="211" t="n"/>
      <c r="AK97" s="211" t="n"/>
      <c r="AL97" s="212" t="n"/>
      <c r="AM97" s="213" t="n"/>
      <c r="AN97" s="211" t="inlineStr">
        <is>
          <t>●</t>
        </is>
      </c>
      <c r="AO97" s="211" t="inlineStr">
        <is>
          <t>●</t>
        </is>
      </c>
      <c r="AP97" s="212" t="n"/>
      <c r="AQ97" s="160" t="n"/>
    </row>
    <row r="98" ht="13.8" customHeight="1" thickBot="1">
      <c r="A98" s="160" t="n"/>
      <c r="B98" s="222" t="inlineStr">
        <is>
          <t>消費税が発生しない勘定科目用</t>
        </is>
      </c>
      <c r="C98" s="253" t="inlineStr">
        <is>
          <t>04C</t>
        </is>
      </c>
      <c r="D98" s="254" t="n"/>
      <c r="E98" s="255" t="n"/>
      <c r="F98" s="255" t="n"/>
      <c r="G98" s="255" t="n"/>
      <c r="H98" s="255" t="n"/>
      <c r="I98" s="255" t="n"/>
      <c r="J98" s="255" t="n"/>
      <c r="K98" s="255" t="n"/>
      <c r="L98" s="255" t="n"/>
      <c r="M98" s="255" t="n"/>
      <c r="N98" s="255" t="n"/>
      <c r="O98" s="256" t="n"/>
      <c r="P98" s="254" t="n"/>
      <c r="Q98" s="255" t="n"/>
      <c r="R98" s="255" t="n"/>
      <c r="S98" s="255" t="n"/>
      <c r="T98" s="255" t="n"/>
      <c r="U98" s="255" t="n"/>
      <c r="V98" s="255" t="n"/>
      <c r="W98" s="255" t="n"/>
      <c r="X98" s="255" t="n"/>
      <c r="Y98" s="255" t="n"/>
      <c r="Z98" s="255" t="n"/>
      <c r="AA98" s="255" t="n"/>
      <c r="AB98" s="255" t="n"/>
      <c r="AC98" s="255" t="n"/>
      <c r="AD98" s="255" t="n"/>
      <c r="AE98" s="255" t="n"/>
      <c r="AF98" s="255" t="n"/>
      <c r="AG98" s="256" t="n"/>
      <c r="AH98" s="254" t="n"/>
      <c r="AI98" s="255" t="n"/>
      <c r="AJ98" s="255" t="n"/>
      <c r="AK98" s="255" t="n"/>
      <c r="AL98" s="256" t="n"/>
      <c r="AM98" s="257" t="n"/>
      <c r="AN98" s="255" t="n"/>
      <c r="AO98" s="255" t="inlineStr">
        <is>
          <t>●</t>
        </is>
      </c>
      <c r="AP98" s="256" t="n"/>
      <c r="AQ98" s="160" t="n"/>
    </row>
    <row r="99">
      <c r="A99" s="160" t="n"/>
      <c r="B99" s="228" t="inlineStr">
        <is>
          <t>貸倒用の税金グループ</t>
        </is>
      </c>
      <c r="C99" s="229" t="inlineStr">
        <is>
          <t>04D</t>
        </is>
      </c>
      <c r="D99" s="197" t="n"/>
      <c r="E99" s="198" t="n"/>
      <c r="F99" s="198" t="n"/>
      <c r="G99" s="198" t="n"/>
      <c r="H99" s="198" t="n"/>
      <c r="I99" s="198" t="n"/>
      <c r="J99" s="198" t="n"/>
      <c r="K99" s="198" t="n"/>
      <c r="L99" s="198" t="n"/>
      <c r="M99" s="198" t="n"/>
      <c r="N99" s="198" t="n"/>
      <c r="O99" s="199" t="n"/>
      <c r="P99" s="197" t="n"/>
      <c r="Q99" s="198" t="n"/>
      <c r="R99" s="198" t="n"/>
      <c r="S99" s="198" t="n"/>
      <c r="T99" s="198" t="n"/>
      <c r="U99" s="198" t="n"/>
      <c r="V99" s="198" t="n"/>
      <c r="W99" s="198" t="n"/>
      <c r="X99" s="198" t="n"/>
      <c r="Y99" s="198" t="n"/>
      <c r="Z99" s="198" t="n"/>
      <c r="AA99" s="198" t="n"/>
      <c r="AB99" s="198" t="n"/>
      <c r="AC99" s="198" t="n"/>
      <c r="AD99" s="198" t="n"/>
      <c r="AE99" s="198" t="n"/>
      <c r="AF99" s="198" t="n"/>
      <c r="AG99" s="199" t="n"/>
      <c r="AH99" s="197" t="n"/>
      <c r="AI99" s="198" t="n"/>
      <c r="AJ99" s="198" t="n"/>
      <c r="AK99" s="198" t="n"/>
      <c r="AL99" s="199" t="n"/>
      <c r="AM99" s="200" t="n"/>
      <c r="AN99" s="198" t="n"/>
      <c r="AO99" s="198" t="inlineStr">
        <is>
          <t>●</t>
        </is>
      </c>
      <c r="AP99" s="199" t="inlineStr">
        <is>
          <t>●</t>
        </is>
      </c>
      <c r="AQ99" s="160" t="n"/>
    </row>
    <row r="100">
      <c r="A100" s="160" t="n"/>
      <c r="B100" s="230" t="inlineStr">
        <is>
          <t>貸倒損失の勘定科目⇒</t>
        </is>
      </c>
      <c r="C100" s="231" t="inlineStr">
        <is>
          <t>44D</t>
        </is>
      </c>
      <c r="D100" s="204" t="n"/>
      <c r="E100" s="205" t="n"/>
      <c r="F100" s="205" t="n"/>
      <c r="G100" s="205" t="n"/>
      <c r="H100" s="205" t="n"/>
      <c r="I100" s="205" t="n"/>
      <c r="J100" s="205" t="n"/>
      <c r="K100" s="205" t="n"/>
      <c r="L100" s="205" t="n"/>
      <c r="M100" s="205" t="n"/>
      <c r="N100" s="205" t="n"/>
      <c r="O100" s="206" t="n"/>
      <c r="P100" s="204" t="n"/>
      <c r="Q100" s="205" t="n"/>
      <c r="R100" s="205" t="n"/>
      <c r="S100" s="205" t="n"/>
      <c r="T100" s="205" t="n"/>
      <c r="U100" s="205" t="n"/>
      <c r="V100" s="205" t="n"/>
      <c r="W100" s="205" t="n"/>
      <c r="X100" s="205" t="n"/>
      <c r="Y100" s="205" t="n"/>
      <c r="Z100" s="205" t="n"/>
      <c r="AA100" s="205" t="n"/>
      <c r="AB100" s="205" t="n"/>
      <c r="AC100" s="205" t="n"/>
      <c r="AD100" s="205" t="n"/>
      <c r="AE100" s="205" t="n"/>
      <c r="AF100" s="205" t="n"/>
      <c r="AG100" s="206" t="n"/>
      <c r="AH100" s="204" t="inlineStr">
        <is>
          <t>●</t>
        </is>
      </c>
      <c r="AI100" s="205" t="inlineStr">
        <is>
          <t>●</t>
        </is>
      </c>
      <c r="AJ100" s="205" t="inlineStr">
        <is>
          <t>●</t>
        </is>
      </c>
      <c r="AK100" s="205" t="inlineStr">
        <is>
          <t>●</t>
        </is>
      </c>
      <c r="AL100" s="206" t="inlineStr">
        <is>
          <t>●</t>
        </is>
      </c>
      <c r="AM100" s="207" t="n"/>
      <c r="AN100" s="205" t="n"/>
      <c r="AO100" s="205" t="inlineStr">
        <is>
          <t>●</t>
        </is>
      </c>
      <c r="AP100" s="206" t="inlineStr">
        <is>
          <t>●</t>
        </is>
      </c>
      <c r="AQ100" s="160" t="n"/>
    </row>
    <row r="101" ht="13.8" customHeight="1" thickBot="1">
      <c r="A101" s="160" t="n"/>
      <c r="B101" s="232" t="n"/>
      <c r="C101" s="233" t="inlineStr">
        <is>
          <t>64D</t>
        </is>
      </c>
      <c r="D101" s="210" t="n"/>
      <c r="E101" s="211" t="n"/>
      <c r="F101" s="211" t="n"/>
      <c r="G101" s="211" t="n"/>
      <c r="H101" s="211" t="n"/>
      <c r="I101" s="211" t="n"/>
      <c r="J101" s="211" t="n"/>
      <c r="K101" s="211" t="n"/>
      <c r="L101" s="211" t="n"/>
      <c r="M101" s="211" t="n"/>
      <c r="N101" s="211" t="n"/>
      <c r="O101" s="212" t="n"/>
      <c r="P101" s="210" t="n"/>
      <c r="Q101" s="211" t="n"/>
      <c r="R101" s="211" t="n"/>
      <c r="S101" s="211" t="n"/>
      <c r="T101" s="211" t="n"/>
      <c r="U101" s="211" t="n"/>
      <c r="V101" s="211" t="n"/>
      <c r="W101" s="211" t="n"/>
      <c r="X101" s="211" t="n"/>
      <c r="Y101" s="211" t="n"/>
      <c r="Z101" s="211" t="n"/>
      <c r="AA101" s="211" t="n"/>
      <c r="AB101" s="211" t="n"/>
      <c r="AC101" s="211" t="n"/>
      <c r="AD101" s="211" t="n"/>
      <c r="AE101" s="211" t="n"/>
      <c r="AF101" s="211" t="n"/>
      <c r="AG101" s="212" t="n"/>
      <c r="AH101" s="210" t="inlineStr">
        <is>
          <t>●</t>
        </is>
      </c>
      <c r="AI101" s="211" t="inlineStr">
        <is>
          <t>●</t>
        </is>
      </c>
      <c r="AJ101" s="211" t="inlineStr">
        <is>
          <t>●</t>
        </is>
      </c>
      <c r="AK101" s="211" t="inlineStr">
        <is>
          <t>●</t>
        </is>
      </c>
      <c r="AL101" s="212" t="inlineStr">
        <is>
          <t>●</t>
        </is>
      </c>
      <c r="AM101" s="213" t="n"/>
      <c r="AN101" s="211" t="n"/>
      <c r="AO101" s="211" t="inlineStr">
        <is>
          <t>●</t>
        </is>
      </c>
      <c r="AP101" s="212" t="inlineStr">
        <is>
          <t>●</t>
        </is>
      </c>
      <c r="AQ101" s="160" t="n"/>
    </row>
    <row r="102" ht="40.2" customHeight="1" thickBot="1">
      <c r="A102" s="160" t="n"/>
      <c r="B102" s="234" t="inlineStr">
        <is>
          <t>※サービスでは選択不可
エラー勘定用(各社で選択不可)</t>
        </is>
      </c>
      <c r="C102" s="258" t="inlineStr">
        <is>
          <t>ALL</t>
        </is>
      </c>
      <c r="D102" s="259" t="inlineStr">
        <is>
          <t>●</t>
        </is>
      </c>
      <c r="E102" s="260" t="inlineStr">
        <is>
          <t>●</t>
        </is>
      </c>
      <c r="F102" s="260" t="inlineStr">
        <is>
          <t>●</t>
        </is>
      </c>
      <c r="G102" s="260" t="inlineStr">
        <is>
          <t>●</t>
        </is>
      </c>
      <c r="H102" s="260" t="inlineStr">
        <is>
          <t>●</t>
        </is>
      </c>
      <c r="I102" s="260" t="inlineStr">
        <is>
          <t>●</t>
        </is>
      </c>
      <c r="J102" s="260" t="inlineStr">
        <is>
          <t>●</t>
        </is>
      </c>
      <c r="K102" s="260" t="inlineStr">
        <is>
          <t>●</t>
        </is>
      </c>
      <c r="L102" s="260" t="inlineStr">
        <is>
          <t>●</t>
        </is>
      </c>
      <c r="M102" s="260" t="inlineStr">
        <is>
          <t>●</t>
        </is>
      </c>
      <c r="N102" s="260" t="inlineStr">
        <is>
          <t>●</t>
        </is>
      </c>
      <c r="O102" s="261" t="inlineStr">
        <is>
          <t>●</t>
        </is>
      </c>
      <c r="P102" s="259" t="inlineStr">
        <is>
          <t>●</t>
        </is>
      </c>
      <c r="Q102" s="260" t="inlineStr">
        <is>
          <t>●</t>
        </is>
      </c>
      <c r="R102" s="260" t="inlineStr">
        <is>
          <t>●</t>
        </is>
      </c>
      <c r="S102" s="260" t="inlineStr">
        <is>
          <t>●</t>
        </is>
      </c>
      <c r="T102" s="260" t="inlineStr">
        <is>
          <t>●</t>
        </is>
      </c>
      <c r="U102" s="260" t="inlineStr">
        <is>
          <t>●</t>
        </is>
      </c>
      <c r="V102" s="260" t="inlineStr">
        <is>
          <t>●</t>
        </is>
      </c>
      <c r="W102" s="260" t="inlineStr">
        <is>
          <t>●</t>
        </is>
      </c>
      <c r="X102" s="260" t="inlineStr">
        <is>
          <t>●</t>
        </is>
      </c>
      <c r="Y102" s="260" t="inlineStr">
        <is>
          <t>●</t>
        </is>
      </c>
      <c r="Z102" s="260" t="inlineStr">
        <is>
          <t>●</t>
        </is>
      </c>
      <c r="AA102" s="260" t="inlineStr">
        <is>
          <t>●</t>
        </is>
      </c>
      <c r="AB102" s="260" t="inlineStr">
        <is>
          <t>●</t>
        </is>
      </c>
      <c r="AC102" s="260" t="inlineStr">
        <is>
          <t>●</t>
        </is>
      </c>
      <c r="AD102" s="260" t="inlineStr">
        <is>
          <t>●</t>
        </is>
      </c>
      <c r="AE102" s="260" t="inlineStr">
        <is>
          <t>●</t>
        </is>
      </c>
      <c r="AF102" s="260" t="inlineStr">
        <is>
          <t>●</t>
        </is>
      </c>
      <c r="AG102" s="261" t="inlineStr">
        <is>
          <t>●</t>
        </is>
      </c>
      <c r="AH102" s="259" t="inlineStr">
        <is>
          <t>●</t>
        </is>
      </c>
      <c r="AI102" s="260" t="inlineStr">
        <is>
          <t>●</t>
        </is>
      </c>
      <c r="AJ102" s="260" t="inlineStr">
        <is>
          <t>●</t>
        </is>
      </c>
      <c r="AK102" s="260" t="inlineStr">
        <is>
          <t>●</t>
        </is>
      </c>
      <c r="AL102" s="261" t="inlineStr">
        <is>
          <t>●</t>
        </is>
      </c>
      <c r="AM102" s="262" t="inlineStr">
        <is>
          <t>●</t>
        </is>
      </c>
      <c r="AN102" s="260" t="inlineStr">
        <is>
          <t>●</t>
        </is>
      </c>
      <c r="AO102" s="260" t="inlineStr">
        <is>
          <t>●</t>
        </is>
      </c>
      <c r="AP102" s="261" t="inlineStr">
        <is>
          <t>●</t>
        </is>
      </c>
      <c r="AQ102" s="160" t="n"/>
    </row>
    <row r="103">
      <c r="A103" s="160" t="n"/>
      <c r="B103" s="160" t="n"/>
      <c r="C103" s="160" t="n"/>
      <c r="D103" s="160" t="n"/>
      <c r="E103" s="160" t="n"/>
      <c r="F103" s="160" t="n"/>
      <c r="G103" s="160" t="n"/>
      <c r="H103" s="160" t="n"/>
      <c r="I103" s="160" t="n"/>
      <c r="J103" s="160" t="n"/>
      <c r="K103" s="160" t="n"/>
      <c r="L103" s="160" t="n"/>
      <c r="M103" s="160" t="n"/>
      <c r="N103" s="160" t="n"/>
      <c r="O103" s="160" t="n"/>
      <c r="P103" s="160" t="n"/>
      <c r="Q103" s="160" t="n"/>
      <c r="R103" s="160" t="n"/>
      <c r="S103" s="160" t="n"/>
      <c r="T103" s="160" t="n"/>
      <c r="U103" s="160" t="n"/>
      <c r="V103" s="160" t="n"/>
      <c r="W103" s="160" t="n"/>
      <c r="X103" s="160" t="n"/>
      <c r="Y103" s="160" t="n"/>
      <c r="Z103" s="160" t="n"/>
      <c r="AA103" s="160" t="n"/>
      <c r="AB103" s="160" t="n"/>
      <c r="AC103" s="160" t="n"/>
      <c r="AD103" s="160" t="n"/>
      <c r="AE103" s="160" t="n"/>
      <c r="AF103" s="160" t="n"/>
      <c r="AG103" s="160" t="n"/>
      <c r="AH103" s="160" t="n"/>
      <c r="AI103" s="160" t="n"/>
      <c r="AJ103" s="160" t="n"/>
      <c r="AK103" s="160" t="n"/>
      <c r="AL103" s="160" t="n"/>
      <c r="AM103" s="160" t="n"/>
      <c r="AN103" s="160" t="n"/>
      <c r="AO103" s="160" t="n"/>
      <c r="AP103" s="160" t="n"/>
      <c r="AQ103" s="160" t="n"/>
    </row>
  </sheetData>
  <sheetProtection selectLockedCells="0" selectUnlockedCells="0" algorithmName="SHA-512" sheet="1" objects="1" insertRows="1" insertHyperlinks="1" autoFilter="1" scenarios="1" formatColumns="1" deleteColumns="1" insertColumns="1" pivotTables="1" deleteRows="1" formatCells="1" saltValue="9AlJ/mq5pxCEd1KOjJ9maQ==" formatRows="1" sort="1" spinCount="100000" hashValue="5QJoRQkNI8/r7Qw/gaYWfPObOyCT387GHqN/sq15c/Z82MSz1ENB3Xq322PbUDTJyNtQeSIfa0XiZTdnVL+DWw=="/>
  <mergeCells count="14">
    <mergeCell ref="AF4:AG4"/>
    <mergeCell ref="B6:C6"/>
    <mergeCell ref="I4:M4"/>
    <mergeCell ref="Z4:AA4"/>
    <mergeCell ref="P4:T4"/>
    <mergeCell ref="B7:C7"/>
    <mergeCell ref="AH4:AL4"/>
    <mergeCell ref="AM4:AP4"/>
    <mergeCell ref="U4:Y4"/>
    <mergeCell ref="B5:C5"/>
    <mergeCell ref="D4:H4"/>
    <mergeCell ref="AB4:AC4"/>
    <mergeCell ref="AD4:AE4"/>
    <mergeCell ref="B4:C4"/>
  </mergeCells>
  <pageMargins left="0.7" right="0.7" top="0.75" bottom="0.75" header="0.3" footer="0.3"/>
</worksheet>
</file>

<file path=xl/worksheets/sheet7.xml><?xml version="1.0" encoding="utf-8"?>
<worksheet xmlns="http://schemas.openxmlformats.org/spreadsheetml/2006/main">
  <sheetPr codeName="Sheet4">
    <tabColor theme="5" tint="0.5999938962981048"/>
    <outlinePr summaryBelow="1" summaryRight="1"/>
    <pageSetUpPr/>
  </sheetPr>
  <dimension ref="A1:A121"/>
  <sheetViews>
    <sheetView workbookViewId="0">
      <selection activeCell="A1" sqref="A1"/>
    </sheetView>
  </sheetViews>
  <sheetFormatPr baseColWidth="8" defaultRowHeight="13.2"/>
  <sheetData>
    <row r="1">
      <c r="A1" t="inlineStr">
        <is>
          <t>税金グループ</t>
        </is>
      </c>
    </row>
    <row r="2">
      <c r="A2" s="160" t="inlineStr">
        <is>
          <t>03A</t>
        </is>
      </c>
    </row>
    <row r="3">
      <c r="A3" s="160" t="inlineStr">
        <is>
          <t>04A</t>
        </is>
      </c>
    </row>
    <row r="4">
      <c r="A4" s="160" t="inlineStr">
        <is>
          <t>06A</t>
        </is>
      </c>
    </row>
    <row r="5">
      <c r="A5" s="160" t="inlineStr">
        <is>
          <t>10A</t>
        </is>
      </c>
    </row>
    <row r="6">
      <c r="A6" s="160" t="inlineStr">
        <is>
          <t>11A</t>
        </is>
      </c>
    </row>
    <row r="7">
      <c r="A7" s="160" t="inlineStr">
        <is>
          <t>12A</t>
        </is>
      </c>
    </row>
    <row r="8">
      <c r="A8" s="160" t="inlineStr">
        <is>
          <t>13A</t>
        </is>
      </c>
    </row>
    <row r="9">
      <c r="A9" s="160" t="inlineStr">
        <is>
          <t>14A</t>
        </is>
      </c>
    </row>
    <row r="10">
      <c r="A10" s="160" t="inlineStr">
        <is>
          <t>15A</t>
        </is>
      </c>
    </row>
    <row r="11">
      <c r="A11" s="160" t="inlineStr">
        <is>
          <t>16A</t>
        </is>
      </c>
    </row>
    <row r="12">
      <c r="A12" s="160" t="inlineStr">
        <is>
          <t>17A</t>
        </is>
      </c>
    </row>
    <row r="13">
      <c r="A13" s="160" t="inlineStr">
        <is>
          <t>20A</t>
        </is>
      </c>
    </row>
    <row r="14">
      <c r="A14" s="160" t="inlineStr">
        <is>
          <t>21A</t>
        </is>
      </c>
    </row>
    <row r="15">
      <c r="A15" s="160" t="inlineStr">
        <is>
          <t>22A</t>
        </is>
      </c>
    </row>
    <row r="16">
      <c r="A16" s="160" t="inlineStr">
        <is>
          <t>23A</t>
        </is>
      </c>
    </row>
    <row r="17">
      <c r="A17" s="160" t="inlineStr">
        <is>
          <t>24A</t>
        </is>
      </c>
    </row>
    <row r="18">
      <c r="A18" s="160" t="inlineStr">
        <is>
          <t>25A</t>
        </is>
      </c>
    </row>
    <row r="19">
      <c r="A19" s="160" t="inlineStr">
        <is>
          <t>26A</t>
        </is>
      </c>
    </row>
    <row r="20">
      <c r="A20" s="160" t="inlineStr">
        <is>
          <t>27A</t>
        </is>
      </c>
    </row>
    <row r="21">
      <c r="A21" s="160" t="inlineStr">
        <is>
          <t>28A</t>
        </is>
      </c>
    </row>
    <row r="22">
      <c r="A22" s="160" t="inlineStr">
        <is>
          <t>30A</t>
        </is>
      </c>
    </row>
    <row r="23">
      <c r="A23" s="160" t="inlineStr">
        <is>
          <t>31A</t>
        </is>
      </c>
    </row>
    <row r="24">
      <c r="A24" s="160" t="inlineStr">
        <is>
          <t>32A</t>
        </is>
      </c>
    </row>
    <row r="25">
      <c r="A25" s="160" t="inlineStr">
        <is>
          <t>33A</t>
        </is>
      </c>
    </row>
    <row r="26">
      <c r="A26" s="160" t="inlineStr">
        <is>
          <t>34A</t>
        </is>
      </c>
    </row>
    <row r="27">
      <c r="A27" s="160" t="inlineStr">
        <is>
          <t>35A</t>
        </is>
      </c>
    </row>
    <row r="28">
      <c r="A28" s="160" t="inlineStr">
        <is>
          <t>36A</t>
        </is>
      </c>
    </row>
    <row r="29">
      <c r="A29" s="160" t="inlineStr">
        <is>
          <t>37A</t>
        </is>
      </c>
    </row>
    <row r="30">
      <c r="A30" s="160" t="inlineStr">
        <is>
          <t>40A</t>
        </is>
      </c>
    </row>
    <row r="31">
      <c r="A31" s="160" t="inlineStr">
        <is>
          <t>41A</t>
        </is>
      </c>
    </row>
    <row r="32">
      <c r="A32" s="160" t="inlineStr">
        <is>
          <t>42A</t>
        </is>
      </c>
    </row>
    <row r="33">
      <c r="A33" s="160" t="inlineStr">
        <is>
          <t>43A</t>
        </is>
      </c>
    </row>
    <row r="34">
      <c r="A34" s="160" t="inlineStr">
        <is>
          <t>44A</t>
        </is>
      </c>
    </row>
    <row r="35">
      <c r="A35" s="160" t="inlineStr">
        <is>
          <t>45A</t>
        </is>
      </c>
    </row>
    <row r="36">
      <c r="A36" s="160" t="inlineStr">
        <is>
          <t>46A</t>
        </is>
      </c>
    </row>
    <row r="37">
      <c r="A37" s="160" t="inlineStr">
        <is>
          <t>47A</t>
        </is>
      </c>
    </row>
    <row r="38">
      <c r="A38" s="160" t="inlineStr">
        <is>
          <t>60A</t>
        </is>
      </c>
    </row>
    <row r="39">
      <c r="A39" s="160" t="inlineStr">
        <is>
          <t>61A</t>
        </is>
      </c>
    </row>
    <row r="40">
      <c r="A40" s="160" t="inlineStr">
        <is>
          <t>62A</t>
        </is>
      </c>
    </row>
    <row r="41">
      <c r="A41" s="160" t="inlineStr">
        <is>
          <t>63A</t>
        </is>
      </c>
    </row>
    <row r="42">
      <c r="A42" s="160" t="inlineStr">
        <is>
          <t>64A</t>
        </is>
      </c>
    </row>
    <row r="43">
      <c r="A43" s="160" t="inlineStr">
        <is>
          <t>65A</t>
        </is>
      </c>
    </row>
    <row r="44">
      <c r="A44" s="160" t="inlineStr">
        <is>
          <t>66A</t>
        </is>
      </c>
    </row>
    <row r="45">
      <c r="A45" s="160" t="inlineStr">
        <is>
          <t>67A</t>
        </is>
      </c>
    </row>
    <row r="46">
      <c r="A46" s="160" t="inlineStr">
        <is>
          <t>70A</t>
        </is>
      </c>
    </row>
    <row r="47">
      <c r="A47" s="160" t="inlineStr">
        <is>
          <t>71A</t>
        </is>
      </c>
    </row>
    <row r="48">
      <c r="A48" s="160" t="inlineStr">
        <is>
          <t>72A</t>
        </is>
      </c>
    </row>
    <row r="49">
      <c r="A49" s="160" t="inlineStr">
        <is>
          <t>73A</t>
        </is>
      </c>
    </row>
    <row r="50">
      <c r="A50" s="160" t="inlineStr">
        <is>
          <t>74A</t>
        </is>
      </c>
    </row>
    <row r="51">
      <c r="A51" s="160" t="inlineStr">
        <is>
          <t>75A</t>
        </is>
      </c>
    </row>
    <row r="52">
      <c r="A52" s="160" t="inlineStr">
        <is>
          <t>76A</t>
        </is>
      </c>
    </row>
    <row r="53">
      <c r="A53" s="160" t="inlineStr">
        <is>
          <t>77A</t>
        </is>
      </c>
    </row>
    <row r="54">
      <c r="A54" s="160" t="inlineStr">
        <is>
          <t>78A</t>
        </is>
      </c>
    </row>
    <row r="55">
      <c r="A55" s="160" t="inlineStr">
        <is>
          <t>79A</t>
        </is>
      </c>
    </row>
    <row r="56">
      <c r="A56" s="160" t="inlineStr">
        <is>
          <t>80A</t>
        </is>
      </c>
    </row>
    <row r="57">
      <c r="A57" s="160" t="inlineStr">
        <is>
          <t>81A</t>
        </is>
      </c>
    </row>
    <row r="58">
      <c r="A58" s="160" t="inlineStr">
        <is>
          <t>82A</t>
        </is>
      </c>
    </row>
    <row r="59">
      <c r="A59" s="160" t="inlineStr">
        <is>
          <t>83A</t>
        </is>
      </c>
    </row>
    <row r="60">
      <c r="A60" s="160" t="inlineStr">
        <is>
          <t>84A</t>
        </is>
      </c>
    </row>
    <row r="61">
      <c r="A61" s="160" t="inlineStr">
        <is>
          <t>85A</t>
        </is>
      </c>
    </row>
    <row r="62">
      <c r="A62" s="160" t="inlineStr">
        <is>
          <t>86A</t>
        </is>
      </c>
    </row>
    <row r="63">
      <c r="A63" s="160" t="inlineStr">
        <is>
          <t>87A</t>
        </is>
      </c>
    </row>
    <row r="64">
      <c r="A64" s="160" t="inlineStr">
        <is>
          <t>88A</t>
        </is>
      </c>
    </row>
    <row r="65">
      <c r="A65" s="160" t="inlineStr">
        <is>
          <t>89A</t>
        </is>
      </c>
    </row>
    <row r="66">
      <c r="A66" s="160" t="inlineStr">
        <is>
          <t>90A</t>
        </is>
      </c>
    </row>
    <row r="67">
      <c r="A67" s="160" t="inlineStr">
        <is>
          <t>91A</t>
        </is>
      </c>
    </row>
    <row r="68">
      <c r="A68" s="160" t="inlineStr">
        <is>
          <t>92A</t>
        </is>
      </c>
    </row>
    <row r="69">
      <c r="A69" s="160" t="inlineStr">
        <is>
          <t>93A</t>
        </is>
      </c>
    </row>
    <row r="70">
      <c r="A70" s="160" t="inlineStr">
        <is>
          <t>94A</t>
        </is>
      </c>
    </row>
    <row r="71">
      <c r="A71" s="160" t="inlineStr">
        <is>
          <t>95A</t>
        </is>
      </c>
    </row>
    <row r="72">
      <c r="A72" s="160" t="inlineStr">
        <is>
          <t>96A</t>
        </is>
      </c>
    </row>
    <row r="73">
      <c r="A73" s="160" t="inlineStr">
        <is>
          <t>97A</t>
        </is>
      </c>
    </row>
    <row r="74">
      <c r="A74" s="160" t="inlineStr">
        <is>
          <t>04B</t>
        </is>
      </c>
    </row>
    <row r="75">
      <c r="A75" s="160" t="inlineStr">
        <is>
          <t>05B</t>
        </is>
      </c>
    </row>
    <row r="76">
      <c r="A76" s="160" t="inlineStr">
        <is>
          <t>20B</t>
        </is>
      </c>
    </row>
    <row r="77">
      <c r="A77" s="160" t="inlineStr">
        <is>
          <t>22B</t>
        </is>
      </c>
    </row>
    <row r="78">
      <c r="A78" s="160" t="inlineStr">
        <is>
          <t>24B</t>
        </is>
      </c>
    </row>
    <row r="79">
      <c r="A79" s="160" t="inlineStr">
        <is>
          <t>26B</t>
        </is>
      </c>
    </row>
    <row r="80">
      <c r="A80" s="160" t="inlineStr">
        <is>
          <t>40B</t>
        </is>
      </c>
    </row>
    <row r="81">
      <c r="A81" s="160" t="inlineStr">
        <is>
          <t>42B</t>
        </is>
      </c>
    </row>
    <row r="82">
      <c r="A82" s="160" t="inlineStr">
        <is>
          <t>44B</t>
        </is>
      </c>
    </row>
    <row r="83">
      <c r="A83" s="160" t="inlineStr">
        <is>
          <t>46B</t>
        </is>
      </c>
    </row>
    <row r="84">
      <c r="A84" s="160" t="inlineStr">
        <is>
          <t>60B</t>
        </is>
      </c>
    </row>
    <row r="85">
      <c r="A85" s="160" t="inlineStr">
        <is>
          <t>62B</t>
        </is>
      </c>
    </row>
    <row r="86">
      <c r="A86" s="160" t="inlineStr">
        <is>
          <t>64B</t>
        </is>
      </c>
    </row>
    <row r="87">
      <c r="A87" s="160" t="inlineStr">
        <is>
          <t>66B</t>
        </is>
      </c>
    </row>
    <row r="88">
      <c r="A88" s="160" t="inlineStr">
        <is>
          <t>K0B</t>
        </is>
      </c>
    </row>
    <row r="89">
      <c r="A89" s="160" t="inlineStr">
        <is>
          <t>K2B</t>
        </is>
      </c>
    </row>
    <row r="90">
      <c r="A90" s="160" t="inlineStr">
        <is>
          <t>K4B</t>
        </is>
      </c>
    </row>
    <row r="91">
      <c r="A91" s="160" t="inlineStr">
        <is>
          <t>K6B</t>
        </is>
      </c>
    </row>
    <row r="92">
      <c r="A92" s="160" t="inlineStr">
        <is>
          <t>04C</t>
        </is>
      </c>
    </row>
    <row r="93">
      <c r="A93" s="160" t="inlineStr">
        <is>
          <t>04D</t>
        </is>
      </c>
    </row>
    <row r="94">
      <c r="A94" s="160" t="inlineStr">
        <is>
          <t>44D</t>
        </is>
      </c>
    </row>
    <row r="95">
      <c r="A95" s="160" t="inlineStr">
        <is>
          <t>64D</t>
        </is>
      </c>
    </row>
    <row r="96">
      <c r="A96" s="160" t="n"/>
    </row>
    <row r="97">
      <c r="A97" s="71" t="n"/>
    </row>
    <row r="98">
      <c r="A98" s="71" t="n"/>
    </row>
    <row r="99">
      <c r="A99" s="71" t="n"/>
    </row>
    <row r="100">
      <c r="A100" s="71" t="n"/>
    </row>
    <row r="101">
      <c r="A101" s="71" t="n"/>
    </row>
    <row r="102">
      <c r="A102" s="71" t="n"/>
    </row>
    <row r="103">
      <c r="A103" s="71" t="n"/>
    </row>
    <row r="104">
      <c r="A104" s="71" t="n"/>
    </row>
    <row r="105">
      <c r="A105" s="71" t="n"/>
    </row>
    <row r="106">
      <c r="A106" s="71" t="n"/>
    </row>
    <row r="107">
      <c r="A107" s="71" t="n"/>
    </row>
    <row r="108">
      <c r="A108" s="71" t="n"/>
    </row>
    <row r="109">
      <c r="A109" s="71" t="n"/>
    </row>
    <row r="110">
      <c r="A110" s="71" t="n"/>
    </row>
    <row r="111">
      <c r="A111" s="71" t="n"/>
    </row>
    <row r="112">
      <c r="A112" s="71" t="n"/>
    </row>
    <row r="113">
      <c r="A113" s="71" t="n"/>
    </row>
    <row r="114">
      <c r="A114" s="71" t="n"/>
    </row>
    <row r="115">
      <c r="A115" s="71" t="n"/>
    </row>
    <row r="116">
      <c r="A116" s="71" t="n"/>
    </row>
    <row r="117">
      <c r="A117" s="71" t="n"/>
    </row>
    <row r="118">
      <c r="A118" s="71" t="n"/>
    </row>
    <row r="119">
      <c r="A119" s="71" t="n"/>
    </row>
    <row r="120">
      <c r="A120" s="71" t="n"/>
    </row>
    <row r="121">
      <c r="A121" s="71" t="n"/>
    </row>
  </sheetData>
  <pageMargins left="0.7" right="0.7" top="0.75" bottom="0.75" header="0.3" footer="0.3"/>
  <pageSetup orientation="portrait" paperSize="9"/>
</worksheet>
</file>

<file path=xl/worksheets/sheet8.xml><?xml version="1.0" encoding="utf-8"?>
<worksheet xmlns="http://schemas.openxmlformats.org/spreadsheetml/2006/main">
  <sheetPr codeName="NgCharSheet">
    <outlinePr summaryBelow="1" summaryRight="1"/>
    <pageSetUpPr/>
  </sheetPr>
  <dimension ref="A1:C17"/>
  <sheetViews>
    <sheetView workbookViewId="0">
      <selection activeCell="A1" sqref="A1"/>
    </sheetView>
  </sheetViews>
  <sheetFormatPr baseColWidth="8" defaultColWidth="9" defaultRowHeight="13.2"/>
  <cols>
    <col width="10.33203125" customWidth="1" style="4" min="1" max="1"/>
    <col width="61" customWidth="1" style="4" min="2" max="2"/>
    <col width="21.21875" bestFit="1" customWidth="1" style="4" min="3" max="3"/>
    <col width="9" customWidth="1" style="4" min="4" max="16384"/>
  </cols>
  <sheetData>
    <row r="1" ht="16.2" customHeight="1">
      <c r="A1" s="3" t="inlineStr">
        <is>
          <t>禁則文字一覧</t>
        </is>
      </c>
    </row>
    <row r="3">
      <c r="A3" s="5" t="inlineStr">
        <is>
          <t>パターンNo</t>
        </is>
      </c>
      <c r="B3" s="5" t="inlineStr">
        <is>
          <t>チェック内容(詳細)</t>
        </is>
      </c>
      <c r="C3" s="5" t="inlineStr">
        <is>
          <t>チェック内容</t>
        </is>
      </c>
    </row>
    <row r="4">
      <c r="A4" s="6" t="inlineStr">
        <is>
          <t>共通-1</t>
        </is>
      </c>
      <c r="B4" s="6" t="inlineStr">
        <is>
          <t>文字末尾空白スペース(半角)</t>
        </is>
      </c>
      <c r="C4" s="6" t="inlineStr">
        <is>
          <t>末尾空白(半角)</t>
        </is>
      </c>
    </row>
    <row r="5">
      <c r="A5" s="6" t="inlineStr">
        <is>
          <t>共通-2</t>
        </is>
      </c>
      <c r="B5" s="6" t="inlineStr">
        <is>
          <t>文字末尾空白スペース(全角)</t>
        </is>
      </c>
      <c r="C5" s="6" t="inlineStr">
        <is>
          <t>末尾空白(全角)</t>
        </is>
      </c>
    </row>
    <row r="6">
      <c r="A6" s="6" t="inlineStr">
        <is>
          <t>共通-3</t>
        </is>
      </c>
      <c r="B6" s="6" t="inlineStr">
        <is>
          <t>行中に空白行</t>
        </is>
      </c>
      <c r="C6" s="6" t="inlineStr">
        <is>
          <t>行中空白行</t>
        </is>
      </c>
    </row>
    <row r="7">
      <c r="A7" s="6" t="inlineStr">
        <is>
          <t>共通-4</t>
        </is>
      </c>
      <c r="B7" s="6" t="inlineStr">
        <is>
          <t>◆</t>
        </is>
      </c>
      <c r="C7" s="6" t="inlineStr">
        <is>
          <t>全角：ダイヤ</t>
        </is>
      </c>
    </row>
    <row r="8">
      <c r="A8" s="6" t="inlineStr">
        <is>
          <t>共通-5</t>
        </is>
      </c>
      <c r="B8" s="6" t="inlineStr">
        <is>
          <t>～</t>
        </is>
      </c>
      <c r="C8" s="6" t="inlineStr">
        <is>
          <t>全角：波</t>
        </is>
      </c>
    </row>
    <row r="9">
      <c r="A9" s="6" t="inlineStr">
        <is>
          <t>共通-6</t>
        </is>
      </c>
      <c r="B9" s="6" t="inlineStr">
        <is>
          <t>|</t>
        </is>
      </c>
      <c r="C9" s="6" t="inlineStr">
        <is>
          <t>半角：パイプ</t>
        </is>
      </c>
    </row>
    <row r="10">
      <c r="A10" s="6" t="inlineStr">
        <is>
          <t>共通-7</t>
        </is>
      </c>
      <c r="B10" s="6" t="inlineStr">
        <is>
          <t>,</t>
        </is>
      </c>
      <c r="C10" s="6" t="inlineStr">
        <is>
          <t>半角：カンマ</t>
        </is>
      </c>
    </row>
    <row r="11">
      <c r="A11" s="6" t="inlineStr">
        <is>
          <t>共通-8</t>
        </is>
      </c>
      <c r="B11" s="7" t="inlineStr">
        <is>
          <t>'</t>
        </is>
      </c>
      <c r="C11" s="6" t="inlineStr">
        <is>
          <t>半角： ｼﾝｸﾞﾙｸｫｰﾃｰｼｮﾝ</t>
        </is>
      </c>
    </row>
    <row r="12">
      <c r="A12" s="6" t="inlineStr">
        <is>
          <t>共通-9</t>
        </is>
      </c>
      <c r="B12" s="6" t="inlineStr">
        <is>
          <t>"</t>
        </is>
      </c>
      <c r="C12" s="6" t="inlineStr">
        <is>
          <t>半角：ﾀﾞﾌﾞﾙｸｫｰﾃｰｼｮﾝ</t>
        </is>
      </c>
    </row>
    <row r="13">
      <c r="A13" s="6" t="inlineStr">
        <is>
          <t>共通-10</t>
        </is>
      </c>
      <c r="B13" s="6" t="inlineStr">
        <is>
          <t>&amp;</t>
        </is>
      </c>
      <c r="C13" s="6" t="inlineStr">
        <is>
          <t>半角：アンパーサンド</t>
        </is>
      </c>
    </row>
    <row r="14" ht="39.6" customHeight="1">
      <c r="A14" s="6" t="inlineStr">
        <is>
          <t>共通-11</t>
        </is>
      </c>
      <c r="B14" s="8" t="inlineStr">
        <is>
          <t>①②③④⑤⑥⑦⑧⑨⑩⑪⑫⑬⑭⑮⑯⑰⑱⑲⑳ⅠⅡⅢⅣⅤⅥⅦⅧⅨⅩ㍉㌔㌢㍍㌘㌧㌃㌶㍑㍗㌍㌦㌣㌫㍊㌻㎜㎝㎞㎎㎏㏄㎡㍻〝〟№㏍℡㊤㊥㊦㊧㊨㈱㈲㈹㍾㍽㍼≒≡∫∮∑√⊥∠∟⊿∵∩∪｡｢｣､･</t>
        </is>
      </c>
      <c r="C14" s="6" t="inlineStr">
        <is>
          <t>特殊記号</t>
        </is>
      </c>
    </row>
    <row r="15" ht="171.6" customHeight="1">
      <c r="A15" s="6" t="inlineStr">
        <is>
          <t>共通-12</t>
        </is>
      </c>
      <c r="B15" s="8" t="inlineStr">
        <is>
          <t>ⅰⅱⅲⅳⅴⅵⅶⅷⅸⅹⅠⅡⅢⅣⅤⅥⅦⅧⅨⅩ￢￤＇＂㈱№℡∵纊褜鍈銈蓜俉炻昱棈鋹曻彅丨仡仼伀伃伹佖侒侊侚侔俍偀倢俿倞偆偰偂傔僴僘兊兤冝冾凬刕劜劦勀勛匀匇匤卲厓厲叝﨎咜咊咩哿喆坙坥垬埈埇﨏塚增墲夋奓奛奝奣妤妺孖寀甯寘寬尞岦岺峵崧嵓﨑嵂嵭嶸嶹巐弡弴彧德忞恝悅悊惞惕愠惲愑愷愰憘戓抦揵摠撝擎敎昀昕昻昉昮昞昤晥晗晙晴晳暙暠暲暿曺朎朗杦枻桒柀栁桄棏﨓楨﨔榘槢樰橫橆橳橾櫢櫤毖氿汜沆汯泚洄涇浯涖涬淏淸淲淼渹湜渧渼溿澈澵濵瀅瀇瀨炅炫焏焄煜煆煇凞燁燾犱犾猤猪獷玽珉珖珣珒琇珵琦琪琩琮瑢璉璟甁畯皂皜皞皛皦益睆劯砡硎硤硺礰礼神祥禔福禛竑竧靖竫箞精絈絜綷綠緖繒罇羡羽茁荢荿菇菶葈蒴蕓蕙蕫﨟薰蘒﨡蠇裵訒訷詹誧誾諟諸諶譓譿賰賴贒赶﨣軏﨤逸遧郞都鄕鄧釚釗釞釭釮釤釥鈆鈐鈊鈺鉀鈼鉎鉙鉑鈹鉧銧鉷鉸鋧鋗鋙鋐﨧鋕鋠鋓錥錡鋻﨨錞鋿錝錂鍰鍗鎤鏆鏞鏸鐱鑅鑈閒隆﨩隝隯霳霻靃靍靏靑靕顗顥飯飼餧館馞驎髙髜魵魲鮏鮱鮻鰀鵰鵫鶴鸙黑</t>
        </is>
      </c>
      <c r="C15" s="6" t="inlineStr">
        <is>
          <t>NEC特殊文字</t>
        </is>
      </c>
    </row>
    <row r="16" ht="171.6" customHeight="1">
      <c r="A16" s="6" t="inlineStr">
        <is>
          <t>共通-13</t>
        </is>
      </c>
      <c r="B16" s="8" t="inlineStr">
        <is>
          <t>纊褜鍈銈蓜俉炻昱棈鋹曻彅丨仡仼伀伃伹佖侒侊侚侔俍偀倢俿倞偆偰偂傔僴僘兊兤冝冾凬刕劜劦勀勛匀匇匤卲厓厲叝﨎咜咊咩哿喆坙坥垬埈埇﨏塚增墲夋奓奛奝奣妤妺孖寀甯寘寬尞岦岺峵崧嵓﨑嵂嵭嶸嶹巐弡弴彧德忞恝悅悊惞惕愠惲愑愷愰憘戓抦揵摠撝擎敎昀昕昻昉昮昞昤晥晗晙晴晳暙暠暲暿曺朎朗杦枻桒柀栁桄棏﨓楨﨔榘槢樰橫橆橳橾櫢櫤毖氿汜沆汯泚洄涇浯涖涬淏淸淲淼渹湜渧渼溿澈澵濵瀅瀇瀨炅炫焏焄煜煆煇凞燁燾犱犾猤猪獷玽珉珖珣珒琇珵琦琪琩琮瑢璉璟甁畯皂皜皞皛皦益睆劯砡硎硤硺礰礼神祥禔福禛竑竧靖竫箞精絈絜綷綠緖繒罇羡羽茁荢荿菇菶葈蒴蕓蕙蕫﨟薰蘒﨡蠇裵訒訷詹誧誾諟諸諶譓譿賰賴贒赶﨣軏﨤逸遧郞都鄕鄧釚釗釞釭釮釤釥鈆鈐鈊鈺鉀鈼鉎鉙鉑鈹鉧銧鉷鉸鋧鋗鋙鋐﨧鋕鋠鋓錥錡鋻﨨錞鋿錝錂鍰鍗鎤鏆鏞鏸鐱鑅鑈閒隆﨩隝隯霳霻靃靍靏靑靕顗顥飯飼餧館馞驎髙髜魵魲鮏鮱鮻鰀鵰鵫鶴鸙黑ⅰⅱⅲⅳⅴⅵⅶⅷⅸⅹ￢￤＇＂</t>
        </is>
      </c>
      <c r="C16" s="6" t="inlineStr">
        <is>
          <t>IBM拡張文字</t>
        </is>
      </c>
    </row>
    <row r="17">
      <c r="A17" s="6" t="inlineStr">
        <is>
          <t>共通-14</t>
        </is>
      </c>
      <c r="B17" s="8" t="inlineStr">
        <is>
          <t>改行コード</t>
        </is>
      </c>
      <c r="C17" s="8" t="inlineStr">
        <is>
          <t>改行コード</t>
        </is>
      </c>
    </row>
  </sheetData>
  <sheetProtection selectLockedCells="0" selectUnlockedCells="0" sheet="1" objects="1" insertRows="1" insertHyperlinks="1" autoFilter="1" scenarios="1" formatColumns="1" deleteColumns="1" insertColumns="1" pivotTables="1" deleteRows="1" formatCells="1" formatRows="1" sort="1" password="CB27"/>
  <pageMargins left="0.75" right="0.75" top="1" bottom="1" header="0.512" footer="0.512"/>
  <pageSetup orientation="portrait" paperSize="9" horizontalDpi="300" verticalDpi="300"/>
  <legacyDrawing xmlns:r="http://schemas.openxmlformats.org/officeDocument/2006/relationships" r:id="anysvml"/>
</worksheet>
</file>

<file path=xl/worksheets/sheet9.xml><?xml version="1.0" encoding="utf-8"?>
<worksheet xmlns="http://schemas.openxmlformats.org/spreadsheetml/2006/main">
  <sheetPr codeName="Sheet7">
    <outlinePr summaryBelow="1" summaryRight="1"/>
    <pageSetUpPr/>
  </sheetPr>
  <dimension ref="B2:AD37"/>
  <sheetViews>
    <sheetView showGridLines="0" workbookViewId="0">
      <selection activeCell="A1" sqref="A1"/>
    </sheetView>
  </sheetViews>
  <sheetFormatPr baseColWidth="8" defaultColWidth="8" defaultRowHeight="12"/>
  <cols>
    <col width="3.33203125" customWidth="1" style="9" min="1" max="1"/>
    <col width="24.109375" customWidth="1" style="11" min="2" max="2"/>
    <col width="79.44140625" customWidth="1" style="9" min="3" max="3"/>
    <col width="3.109375" customWidth="1" style="9" min="4" max="4"/>
    <col width="8" customWidth="1" style="9" min="5" max="16384"/>
  </cols>
  <sheetData>
    <row r="2" ht="21" customHeight="1">
      <c r="B2" s="10" t="inlineStr">
        <is>
          <t>口座名義人（カナ）に使用可能な文字（全銀協許容文字）一覧</t>
        </is>
      </c>
    </row>
    <row r="3" ht="12.6" customHeight="1" thickBot="1"/>
    <row r="4" ht="21.75" customHeight="1">
      <c r="B4" s="12" t="inlineStr">
        <is>
          <t>分類</t>
        </is>
      </c>
      <c r="C4" s="13" t="inlineStr">
        <is>
          <t>文字一覧</t>
        </is>
      </c>
    </row>
    <row r="5" ht="16.2" customHeight="1">
      <c r="B5" s="14" t="n"/>
      <c r="C5" s="15" t="n"/>
    </row>
    <row r="6" ht="15" customHeight="1">
      <c r="B6" s="16" t="inlineStr">
        <is>
          <t>半角数字</t>
        </is>
      </c>
      <c r="C6" s="17" t="n">
        <v>1234567890</v>
      </c>
      <c r="E6" s="18" t="n"/>
    </row>
    <row r="7" ht="15" customHeight="1">
      <c r="B7" s="19" t="n"/>
      <c r="C7" s="20" t="n"/>
    </row>
    <row r="8" ht="15" customHeight="1">
      <c r="B8" s="16" t="n"/>
      <c r="C8" s="21" t="n"/>
    </row>
    <row r="9" ht="15" customHeight="1">
      <c r="B9" s="16" t="inlineStr">
        <is>
          <t>半角英字</t>
        </is>
      </c>
      <c r="C9" s="17" t="inlineStr">
        <is>
          <t>ABCDEFGHIJKLMNOPQRSTUVWXYZ</t>
        </is>
      </c>
    </row>
    <row r="10" ht="15" customHeight="1">
      <c r="B10" s="19" t="n"/>
      <c r="C10" s="20" t="n"/>
    </row>
    <row r="11" ht="15" customHeight="1">
      <c r="B11" s="22" t="n"/>
      <c r="C11" s="23" t="n"/>
    </row>
    <row r="12" ht="15" customHeight="1">
      <c r="B12" s="16" t="inlineStr">
        <is>
          <t>半角カタカナ</t>
        </is>
      </c>
      <c r="C12" s="17" t="inlineStr">
        <is>
          <t>ｱｲｳｴｵｶｷｸｹｺｻｼｽｾｿﾀﾁﾂﾃﾄﾅﾆﾇﾈﾉﾊﾋﾌﾍﾎﾏﾐﾑﾒﾓﾔﾕﾖﾗﾘﾙﾚﾛﾜﾝﾞﾟ</t>
        </is>
      </c>
    </row>
    <row r="13" ht="15" customHeight="1">
      <c r="B13" s="24" t="n"/>
      <c r="C13" s="25" t="n"/>
    </row>
    <row r="14">
      <c r="B14" s="26" t="n"/>
      <c r="C14" s="27" t="n"/>
    </row>
    <row r="15" ht="19.2" customHeight="1">
      <c r="B15" s="16" t="inlineStr">
        <is>
          <t>記号</t>
        </is>
      </c>
      <c r="C15" s="28" t="inlineStr">
        <is>
          <t>(),-./</t>
        </is>
      </c>
      <c r="E15" s="29" t="n"/>
      <c r="F15" s="29" t="n"/>
      <c r="G15" s="29" t="n"/>
      <c r="H15" s="29" t="n"/>
      <c r="I15" s="30" t="n"/>
      <c r="J15" s="30" t="inlineStr">
        <is>
          <t>ｱｲｳｴｵｶｷｸｹｺｻｼｽｾｿﾀﾁﾂﾃﾄﾅﾆﾇﾈﾉﾊﾋﾌﾍﾎﾏﾐﾑﾒﾓﾔﾕﾖﾗﾘﾙﾚﾛﾜﾝﾞﾟ</t>
        </is>
      </c>
      <c r="K15" s="30" t="n"/>
      <c r="L15" s="30" t="n"/>
      <c r="M15" s="30" t="n"/>
      <c r="N15" s="29" t="n"/>
      <c r="O15" s="30" t="n"/>
      <c r="P15" s="345" t="n"/>
      <c r="Q15" s="345" t="n"/>
      <c r="R15" s="345" t="n"/>
      <c r="S15" s="346" t="n"/>
      <c r="T15" s="346" t="n"/>
      <c r="U15" s="29" t="n"/>
      <c r="V15" s="29" t="n"/>
      <c r="W15" s="29" t="n"/>
      <c r="X15" s="29" t="n"/>
      <c r="Y15" s="29" t="n"/>
      <c r="Z15" s="346" t="n"/>
      <c r="AA15" s="346" t="n">
        <v>47</v>
      </c>
      <c r="AB15" s="346" t="n"/>
      <c r="AC15" s="346" t="n"/>
      <c r="AD15" s="29" t="n"/>
    </row>
    <row r="16">
      <c r="B16" s="24" t="n"/>
      <c r="C16" s="25" t="n"/>
      <c r="E16" s="29" t="n"/>
      <c r="F16" s="29" t="n"/>
      <c r="G16" s="29" t="n"/>
      <c r="H16" s="29" t="n"/>
      <c r="I16" s="30" t="n"/>
      <c r="J16" s="30" t="inlineStr">
        <is>
          <t>(),-./</t>
        </is>
      </c>
      <c r="K16" s="30" t="n"/>
      <c r="L16" s="30" t="n"/>
      <c r="M16" s="30" t="n"/>
      <c r="N16" s="29" t="n"/>
      <c r="O16" s="30" t="n"/>
      <c r="P16" s="345" t="n"/>
      <c r="Q16" s="345" t="n"/>
      <c r="R16" s="345" t="n"/>
      <c r="S16" s="346" t="n"/>
      <c r="T16" s="346" t="n"/>
      <c r="U16" s="29" t="n"/>
      <c r="V16" s="29" t="n"/>
      <c r="W16" s="29" t="n"/>
      <c r="X16" s="29" t="n"/>
      <c r="Y16" s="29" t="n"/>
      <c r="Z16" s="346" t="n"/>
      <c r="AA16" s="346" t="n">
        <v>6</v>
      </c>
      <c r="AB16" s="346" t="n"/>
      <c r="AC16" s="346" t="n"/>
      <c r="AD16" s="29" t="n"/>
    </row>
    <row r="17">
      <c r="B17" s="26" t="n"/>
      <c r="C17" s="27" t="n"/>
      <c r="E17" s="29" t="n"/>
      <c r="F17" s="29" t="n"/>
      <c r="G17" s="29" t="n"/>
      <c r="H17" s="29" t="n"/>
      <c r="I17" s="30" t="n"/>
      <c r="J17" s="30" t="n"/>
      <c r="K17" s="30" t="n"/>
      <c r="L17" s="30" t="n"/>
      <c r="M17" s="30" t="n"/>
      <c r="N17" s="29" t="n"/>
      <c r="O17" s="30" t="n"/>
      <c r="P17" s="345" t="n"/>
      <c r="Q17" s="345" t="n"/>
      <c r="R17" s="345" t="n"/>
      <c r="S17" s="346" t="n"/>
      <c r="T17" s="346" t="n"/>
      <c r="U17" s="29" t="n"/>
      <c r="V17" s="29" t="n"/>
      <c r="W17" s="29" t="n"/>
      <c r="X17" s="29" t="n"/>
      <c r="Y17" s="29" t="n"/>
      <c r="Z17" s="29" t="n"/>
      <c r="AA17" s="346" t="n"/>
      <c r="AB17" s="29" t="n"/>
      <c r="AC17" s="29" t="n"/>
      <c r="AD17" s="29" t="n"/>
    </row>
    <row r="18" ht="16.2" customHeight="1">
      <c r="B18" s="16" t="inlineStr">
        <is>
          <t>半角スペース</t>
        </is>
      </c>
      <c r="C18" s="27" t="inlineStr">
        <is>
          <t xml:space="preserve"> </t>
        </is>
      </c>
      <c r="E18" s="29" t="n"/>
      <c r="F18" s="29" t="n"/>
      <c r="G18" s="29" t="n"/>
      <c r="H18" s="29" t="n"/>
      <c r="I18" s="30" t="n"/>
      <c r="J18" s="30" t="n"/>
      <c r="K18" s="30" t="n"/>
      <c r="L18" s="30" t="n"/>
      <c r="M18" s="30" t="n"/>
      <c r="N18" s="29" t="n"/>
      <c r="O18" s="30" t="n"/>
      <c r="P18" s="345" t="n"/>
      <c r="Q18" s="345" t="n"/>
      <c r="R18" s="345" t="n"/>
      <c r="S18" s="346" t="n"/>
      <c r="T18" s="346" t="n"/>
      <c r="U18" s="29" t="n"/>
      <c r="V18" s="29" t="n"/>
      <c r="W18" s="29" t="n"/>
      <c r="X18" s="29" t="n"/>
      <c r="Y18" s="29" t="n"/>
      <c r="Z18" s="29" t="n"/>
      <c r="AA18" s="346" t="n"/>
      <c r="AB18" s="29" t="n"/>
      <c r="AC18" s="29" t="n"/>
      <c r="AD18" s="29" t="n"/>
    </row>
    <row r="19" ht="12.6" customHeight="1" thickBot="1">
      <c r="B19" s="33" t="n"/>
      <c r="C19" s="34" t="n"/>
      <c r="P19" s="347" t="n"/>
      <c r="Q19" s="347" t="n"/>
      <c r="R19" s="347" t="n"/>
      <c r="S19" s="347" t="n"/>
      <c r="T19" s="347" t="n"/>
    </row>
    <row r="20">
      <c r="P20" s="347" t="n"/>
      <c r="Q20" s="347" t="n"/>
      <c r="R20" s="347" t="n"/>
      <c r="S20" s="347" t="n"/>
      <c r="T20" s="347" t="n"/>
    </row>
    <row r="21" ht="14.4" customHeight="1">
      <c r="B21" s="36" t="n"/>
      <c r="P21" s="347" t="n"/>
      <c r="Q21" s="347" t="n"/>
      <c r="R21" s="347" t="n"/>
      <c r="S21" s="347" t="n"/>
      <c r="T21" s="347" t="n"/>
    </row>
    <row r="22">
      <c r="P22" s="347" t="n"/>
      <c r="Q22" s="347" t="n"/>
      <c r="R22" s="347" t="n"/>
      <c r="S22" s="347" t="n"/>
      <c r="T22" s="347" t="n"/>
    </row>
    <row r="23">
      <c r="P23" s="347" t="n"/>
      <c r="Q23" s="347" t="n"/>
      <c r="R23" s="347" t="n"/>
      <c r="S23" s="347" t="n"/>
      <c r="T23" s="347" t="n"/>
    </row>
    <row r="24">
      <c r="P24" s="347" t="n"/>
      <c r="Q24" s="347" t="n"/>
      <c r="R24" s="347" t="n"/>
      <c r="S24" s="347" t="n"/>
      <c r="T24" s="347" t="n"/>
    </row>
    <row r="25">
      <c r="P25" s="347" t="n"/>
      <c r="Q25" s="347" t="n"/>
      <c r="R25" s="347" t="n"/>
      <c r="S25" s="347" t="n"/>
      <c r="T25" s="347" t="n"/>
    </row>
    <row r="26">
      <c r="P26" s="347" t="n"/>
      <c r="Q26" s="347" t="n"/>
      <c r="R26" s="347" t="n"/>
      <c r="S26" s="347" t="n"/>
      <c r="T26" s="347" t="n"/>
    </row>
    <row r="27">
      <c r="P27" s="347" t="n"/>
      <c r="Q27" s="347" t="n"/>
      <c r="R27" s="347" t="n"/>
      <c r="S27" s="347" t="n"/>
      <c r="T27" s="347" t="n"/>
    </row>
    <row r="28">
      <c r="P28" s="347" t="n"/>
      <c r="Q28" s="347" t="n"/>
      <c r="R28" s="347" t="n"/>
      <c r="S28" s="347" t="n"/>
      <c r="T28" s="347" t="n"/>
    </row>
    <row r="29">
      <c r="P29" s="347" t="n"/>
      <c r="Q29" s="347" t="n"/>
      <c r="R29" s="347" t="n"/>
      <c r="S29" s="347" t="n"/>
      <c r="T29" s="347" t="n"/>
    </row>
    <row r="30">
      <c r="P30" s="347" t="n"/>
      <c r="Q30" s="347" t="n"/>
      <c r="R30" s="347" t="n"/>
      <c r="S30" s="347" t="n"/>
      <c r="T30" s="347" t="n"/>
    </row>
    <row r="31">
      <c r="P31" s="347" t="n"/>
      <c r="Q31" s="347" t="n"/>
      <c r="R31" s="347" t="n"/>
      <c r="S31" s="347" t="n"/>
      <c r="T31" s="347" t="n"/>
    </row>
    <row r="32">
      <c r="P32" s="347" t="n"/>
      <c r="Q32" s="347" t="n"/>
      <c r="R32" s="347" t="n"/>
      <c r="S32" s="347" t="n"/>
      <c r="T32" s="347" t="n"/>
    </row>
    <row r="33">
      <c r="P33" s="347" t="n"/>
      <c r="Q33" s="347" t="n"/>
      <c r="R33" s="347" t="n"/>
      <c r="S33" s="347" t="n"/>
      <c r="T33" s="347" t="n"/>
    </row>
    <row r="34">
      <c r="P34" s="347" t="n"/>
      <c r="Q34" s="347" t="n"/>
      <c r="R34" s="347" t="n"/>
      <c r="S34" s="347" t="n"/>
      <c r="T34" s="347" t="n"/>
    </row>
    <row r="35">
      <c r="P35" s="347" t="n"/>
      <c r="Q35" s="347" t="n"/>
      <c r="R35" s="347" t="n"/>
      <c r="S35" s="347" t="n"/>
      <c r="T35" s="347" t="n"/>
    </row>
    <row r="36">
      <c r="P36" s="347" t="n"/>
      <c r="Q36" s="347" t="n"/>
      <c r="R36" s="347" t="n"/>
      <c r="S36" s="347" t="n"/>
      <c r="T36" s="347" t="n"/>
    </row>
    <row r="37">
      <c r="P37" s="347" t="n"/>
      <c r="Q37" s="347" t="n"/>
      <c r="R37" s="347" t="n"/>
      <c r="S37" s="347" t="n"/>
      <c r="T37" s="347" t="n"/>
    </row>
  </sheetData>
  <sheetProtection selectLockedCells="0" selectUnlockedCells="0" sheet="1" objects="1" insertRows="1" insertHyperlinks="1" autoFilter="1" scenarios="1" formatColumns="1" deleteColumns="1" insertColumns="1" pivotTables="1" deleteRows="1" formatCells="1" formatRows="1" sort="1" password="CB27"/>
  <pageMargins left="0.75" right="0.75" top="1" bottom="1" header="0.512" footer="0.512"/>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2007-05-10T09:24:11Z</dcterms:created>
  <dcterms:modified xmlns:dcterms="http://purl.org/dc/terms/" xmlns:xsi="http://www.w3.org/2001/XMLSchema-instance" xsi:type="dcterms:W3CDTF">2026-04-08T06:18:48Z</dcterms:modified>
  <cp:lastModifiedBy>Plum PlumX</cp:lastModifiedBy>
  <cp:lastPrinted>2007-12-18T07:40:36Z</cp:lastPrinted>
</cp:coreProperties>
</file>

<file path=docProps/custom.xml><?xml version="1.0" encoding="utf-8"?>
<Properties xmlns="http://schemas.openxmlformats.org/officeDocument/2006/custom-properties">
  <property name="MSIP_Label_dbb4fa5d-3ac5-4415-967c-34900a0e1c6f_Enabled" fmtid="{D5CDD505-2E9C-101B-9397-08002B2CF9AE}" pid="2">
    <vt:lpwstr xmlns:vt="http://schemas.openxmlformats.org/officeDocument/2006/docPropsVTypes">True</vt:lpwstr>
  </property>
  <property name="MSIP_Label_dbb4fa5d-3ac5-4415-967c-34900a0e1c6f_SiteId" fmtid="{D5CDD505-2E9C-101B-9397-08002B2CF9AE}" pid="3">
    <vt:lpwstr xmlns:vt="http://schemas.openxmlformats.org/officeDocument/2006/docPropsVTypes">a629ef32-67ba-47a6-8eb3-ec43935644fc</vt:lpwstr>
  </property>
  <property name="MSIP_Label_dbb4fa5d-3ac5-4415-967c-34900a0e1c6f_Owner" fmtid="{D5CDD505-2E9C-101B-9397-08002B2CF9AE}" pid="4">
    <vt:lpwstr xmlns:vt="http://schemas.openxmlformats.org/officeDocument/2006/docPropsVTypes">0803133@coe.ntt.com</vt:lpwstr>
  </property>
  <property name="MSIP_Label_dbb4fa5d-3ac5-4415-967c-34900a0e1c6f_SetDate" fmtid="{D5CDD505-2E9C-101B-9397-08002B2CF9AE}" pid="5">
    <vt:lpwstr xmlns:vt="http://schemas.openxmlformats.org/officeDocument/2006/docPropsVTypes">2021-10-26T04:38:33.0036457Z</vt:lpwstr>
  </property>
  <property name="MSIP_Label_dbb4fa5d-3ac5-4415-967c-34900a0e1c6f_Name" fmtid="{D5CDD505-2E9C-101B-9397-08002B2CF9AE}" pid="6">
    <vt:lpwstr xmlns:vt="http://schemas.openxmlformats.org/officeDocument/2006/docPropsVTypes">機密性0</vt:lpwstr>
  </property>
  <property name="MSIP_Label_dbb4fa5d-3ac5-4415-967c-34900a0e1c6f_Application" fmtid="{D5CDD505-2E9C-101B-9397-08002B2CF9AE}" pid="7">
    <vt:lpwstr xmlns:vt="http://schemas.openxmlformats.org/officeDocument/2006/docPropsVTypes">Microsoft Azure Information Protection</vt:lpwstr>
  </property>
  <property name="MSIP_Label_dbb4fa5d-3ac5-4415-967c-34900a0e1c6f_ActionId" fmtid="{D5CDD505-2E9C-101B-9397-08002B2CF9AE}" pid="8">
    <vt:lpwstr xmlns:vt="http://schemas.openxmlformats.org/officeDocument/2006/docPropsVTypes">b2c52ffa-b5c0-4363-8d5a-8db8f26d631f</vt:lpwstr>
  </property>
  <property name="MSIP_Label_dbb4fa5d-3ac5-4415-967c-34900a0e1c6f_Extended_MSFT_Method" fmtid="{D5CDD505-2E9C-101B-9397-08002B2CF9AE}" pid="9">
    <vt:lpwstr xmlns:vt="http://schemas.openxmlformats.org/officeDocument/2006/docPropsVTypes">Manual</vt:lpwstr>
  </property>
</Properties>
</file>