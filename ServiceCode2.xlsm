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C:\Users\plumx\git_rep\ai_check_bot\"/>
    </mc:Choice>
  </mc:AlternateContent>
  <xr:revisionPtr revIDLastSave="0" documentId="13_ncr:1_{1BCD2696-03D5-4DF8-A524-ED844DAEFE98}" xr6:coauthVersionLast="47" xr6:coauthVersionMax="47" xr10:uidLastSave="{00000000-0000-0000-0000-000000000000}"/>
  <bookViews>
    <workbookView xWindow="-108" yWindow="-108" windowWidth="23256" windowHeight="12456" tabRatio="869" xr2:uid="{00000000-000D-0000-FFFF-FFFF00000000}"/>
  </bookViews>
  <sheets>
    <sheet name="サービスコードマスタ（入力シート）" sheetId="20" r:id="rId1"/>
    <sheet name="サービスコードマスタ（入力シート説明）" sheetId="18" r:id="rId2"/>
    <sheet name="（サービスコードマスタ）入力チェックシート" sheetId="19" state="hidden" r:id="rId3"/>
    <sheet name="補足_変換表" sheetId="33" state="hidden" r:id="rId4"/>
    <sheet name="【参考】税金グループ（個別入力）" sheetId="34" r:id="rId5"/>
    <sheet name="【参考】税金グループ（個別入力以外）" sheetId="35" r:id="rId6"/>
    <sheet name="リスト" sheetId="37" state="hidden" r:id="rId7"/>
    <sheet name="禁則文字一覧" sheetId="15" r:id="rId8"/>
    <sheet name="全銀協許容文字" sheetId="16" r:id="rId9"/>
  </sheets>
  <functionGroups builtInGroupCount="19"/>
  <externalReferences>
    <externalReference r:id="rId10"/>
    <externalReference r:id="rId11"/>
  </externalReferences>
  <definedNames>
    <definedName name="_xlnm._FilterDatabase" localSheetId="0" hidden="1">'サービスコードマスタ（入力シート）'!$A$6:$W$1550</definedName>
    <definedName name="_xlnm._FilterDatabase" localSheetId="1" hidden="1">'サービスコードマスタ（入力シート説明）'!$A$5:$Y$28</definedName>
    <definedName name="_xlnm._FilterDatabase" hidden="1">'[1]１．InfoCube (YKCH0010)案１:１．InfoCube (YKCH0010) 案２'!$W$5:$W$5</definedName>
    <definedName name="_Key1" localSheetId="4" hidden="1">'[2]5-1-2西支援　数値実績'!#REF!</definedName>
    <definedName name="_Key1" localSheetId="5" hidden="1">'[2]5-1-2西支援　数値実績'!#REF!</definedName>
    <definedName name="_Key1" localSheetId="6" hidden="1">'[2]5-1-2西支援　数値実績'!#REF!</definedName>
    <definedName name="_Key1" hidden="1">'[2]5-1-2西支援　数値実績'!#REF!</definedName>
    <definedName name="_key2" localSheetId="4" hidden="1">'[2]5-1-2西支援　数値実績'!#REF!</definedName>
    <definedName name="_key2" localSheetId="5" hidden="1">'[2]5-1-2西支援　数値実績'!#REF!</definedName>
    <definedName name="_key2" localSheetId="6" hidden="1">'[2]5-1-2西支援　数値実績'!#REF!</definedName>
    <definedName name="_key2" hidden="1">'[2]5-1-2西支援　数値実績'!#REF!</definedName>
    <definedName name="_Order1" hidden="1">1</definedName>
    <definedName name="_Regression_X" localSheetId="4" hidden="1">#REF!</definedName>
    <definedName name="_Regression_X" localSheetId="5" hidden="1">#REF!</definedName>
    <definedName name="_Regression_X" localSheetId="6" hidden="1">#REF!</definedName>
    <definedName name="_Regression_X" hidden="1">#REF!</definedName>
    <definedName name="aaaa" localSheetId="4" hidden="1">#REF!</definedName>
    <definedName name="aaaa" localSheetId="5" hidden="1">#REF!</definedName>
    <definedName name="aaaa" localSheetId="6" hidden="1">#REF!</definedName>
    <definedName name="aaaa" hidden="1">#REF!</definedName>
    <definedName name="aaaaaaa" localSheetId="4" hidden="1">#REF!</definedName>
    <definedName name="aaaaaaa" localSheetId="5" hidden="1">#REF!</definedName>
    <definedName name="aaaaaaa" localSheetId="6" hidden="1">#REF!</definedName>
    <definedName name="aaaaaaa" hidden="1">#REF!</definedName>
    <definedName name="AS2DocOpenMode" hidden="1">"AS2DocumentEdit"</definedName>
    <definedName name="HTML1_1" hidden="1">"[Book2]Sheet1!$A$1:$H$484"</definedName>
    <definedName name="HTML1_10" hidden="1">"obminfo@us.oracle.com"</definedName>
    <definedName name="HTML1_11" hidden="1">1</definedName>
    <definedName name="HTML1_12" hidden="1">"C:\Obm1\obm_html_doc\em_pl.htm"</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Count" hidden="1">1</definedName>
    <definedName name="ｋｋ" localSheetId="4" hidden="1">#REF!</definedName>
    <definedName name="ｋｋ" localSheetId="5" hidden="1">#REF!</definedName>
    <definedName name="ｋｋ" localSheetId="6" hidden="1">#REF!</definedName>
    <definedName name="ｋｋ" hidden="1">#REF!</definedName>
    <definedName name="kkkk" localSheetId="4" hidden="1">'[2]5-1-2西支援　数値実績'!#REF!</definedName>
    <definedName name="kkkk" localSheetId="5" hidden="1">'[2]5-1-2西支援　数値実績'!#REF!</definedName>
    <definedName name="kkkk" localSheetId="6" hidden="1">'[2]5-1-2西支援　数値実績'!#REF!</definedName>
    <definedName name="kkkk" hidden="1">'[2]5-1-2西支援　数値実績'!#REF!</definedName>
    <definedName name="SAPBEXhrIndnt" hidden="1">1</definedName>
    <definedName name="SAPBEXrevision" hidden="1">0</definedName>
    <definedName name="SAPBEXsysID" hidden="1">"JRP"</definedName>
    <definedName name="SAPBEXwbID" hidden="1">"3YZSOC36XHQDT0MW37G2NB63E"</definedName>
    <definedName name="ｓｓ" localSheetId="4" hidden="1">'[2]5-1-2西支援　数値実績'!#REF!</definedName>
    <definedName name="ｓｓ" localSheetId="5" hidden="1">'[2]5-1-2西支援　数値実績'!#REF!</definedName>
    <definedName name="ｓｓ" localSheetId="6" hidden="1">'[2]5-1-2西支援　数値実績'!#REF!</definedName>
    <definedName name="ｓｓ" hidden="1">'[2]5-1-2西支援　数値実績'!#REF!</definedName>
    <definedName name="Z_F869EAA7_A1E2_4ED0_9AEB_257209E2FCA6_.wvu.FilterData" localSheetId="4" hidden="1">#REF!</definedName>
    <definedName name="Z_F869EAA7_A1E2_4ED0_9AEB_257209E2FCA6_.wvu.FilterData" localSheetId="5" hidden="1">#REF!</definedName>
    <definedName name="Z_F869EAA7_A1E2_4ED0_9AEB_257209E2FCA6_.wvu.FilterData" localSheetId="6" hidden="1">#REF!</definedName>
    <definedName name="Z_F869EAA7_A1E2_4ED0_9AEB_257209E2FCA6_.wvu.FilterData" hidden="1">#REF!</definedName>
    <definedName name="あああ" localSheetId="4" hidden="1">'[2]5-1-2西支援　数値実績'!#REF!</definedName>
    <definedName name="あああ" localSheetId="5" hidden="1">'[2]5-1-2西支援　数値実績'!#REF!</definedName>
    <definedName name="あああ" localSheetId="6" hidden="1">'[2]5-1-2西支援　数値実績'!#REF!</definedName>
    <definedName name="あああ" hidden="1">'[2]5-1-2西支援　数値実績'!#REF!</definedName>
    <definedName name="ああああ" localSheetId="4" hidden="1">#REF!</definedName>
    <definedName name="ああああ" localSheetId="5" hidden="1">#REF!</definedName>
    <definedName name="ああああ" localSheetId="6" hidden="1">#REF!</definedName>
    <definedName name="ああああ" hidden="1">#REF!</definedName>
    <definedName name="あああああ" localSheetId="4" hidden="1">#REF!</definedName>
    <definedName name="あああああ" localSheetId="5" hidden="1">#REF!</definedName>
    <definedName name="あああああ" localSheetId="6" hidden="1">#REF!</definedName>
    <definedName name="あああああ" hidden="1">#REF!</definedName>
    <definedName name="いいい" localSheetId="4" hidden="1">#REF!</definedName>
    <definedName name="いいい" localSheetId="5" hidden="1">#REF!</definedName>
    <definedName name="いいい" localSheetId="6" hidden="1">#REF!</definedName>
    <definedName name="いいい" hidden="1">#REF!</definedName>
    <definedName name="ううう" localSheetId="4" hidden="1">#REF!</definedName>
    <definedName name="ううう" localSheetId="5" hidden="1">#REF!</definedName>
    <definedName name="ううう" localSheetId="6" hidden="1">#REF!</definedName>
    <definedName name="ううう" hidden="1">#REF!</definedName>
    <definedName name="おおお" localSheetId="4" hidden="1">#REF!</definedName>
    <definedName name="おおお" localSheetId="5" hidden="1">#REF!</definedName>
    <definedName name="おおお" localSheetId="6" hidden="1">#REF!</definedName>
    <definedName name="おおお" hidden="1">#REF!</definedName>
    <definedName name="サンプル" localSheetId="4" hidden="1">#REF!</definedName>
    <definedName name="サンプル" localSheetId="5" hidden="1">#REF!</definedName>
    <definedName name="サンプル" localSheetId="6" hidden="1">#REF!</definedName>
    <definedName name="サンプル" hidden="1">#REF!</definedName>
    <definedName name="タスクドキュメント１" localSheetId="4" hidden="1">#REF!</definedName>
    <definedName name="タスクドキュメント１" localSheetId="5" hidden="1">#REF!</definedName>
    <definedName name="タスクドキュメント１" localSheetId="6" hidden="1">#REF!</definedName>
    <definedName name="タスクドキュメント１" hidden="1">#REF!</definedName>
    <definedName name="関連表" localSheetId="4" hidden="1">#REF!</definedName>
    <definedName name="関連表" localSheetId="5" hidden="1">#REF!</definedName>
    <definedName name="関連表" localSheetId="6" hidden="1">#REF!</definedName>
    <definedName name="関連表" hidden="1">#REF!</definedName>
    <definedName name="税金グループ">リスト!$A$2:$A$96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0" l="1"/>
  <c r="C2" i="20"/>
  <c r="D2" i="20"/>
  <c r="E2" i="20"/>
  <c r="F2" i="20"/>
  <c r="G2" i="20"/>
  <c r="H2" i="20"/>
  <c r="I2" i="20"/>
  <c r="J2" i="20"/>
  <c r="K2" i="20"/>
  <c r="L2" i="20"/>
  <c r="M2" i="20"/>
  <c r="N2" i="20"/>
  <c r="O2" i="20"/>
  <c r="P2" i="20"/>
  <c r="Q2" i="20"/>
  <c r="R2" i="20"/>
  <c r="S2" i="20"/>
  <c r="T2" i="20"/>
  <c r="U2" i="20"/>
  <c r="V2" i="20"/>
  <c r="W2" i="20"/>
  <c r="B3" i="20"/>
  <c r="C3" i="20"/>
  <c r="D3" i="20"/>
  <c r="E3" i="20"/>
  <c r="F3" i="20"/>
  <c r="G3" i="20"/>
  <c r="H3" i="20"/>
  <c r="I3" i="20"/>
  <c r="J3" i="20"/>
  <c r="K3" i="20"/>
  <c r="L3" i="20"/>
  <c r="M3" i="20"/>
  <c r="N3" i="20"/>
  <c r="O3" i="20"/>
  <c r="P3" i="20"/>
  <c r="Q3" i="20"/>
  <c r="R3" i="20"/>
  <c r="S3" i="20"/>
  <c r="T3" i="20"/>
  <c r="U3" i="20"/>
  <c r="V3" i="20"/>
  <c r="W3" i="20"/>
  <c r="B4" i="20"/>
  <c r="C4" i="20"/>
  <c r="D4" i="20"/>
  <c r="E4" i="20"/>
  <c r="F4" i="20"/>
  <c r="G4" i="20"/>
  <c r="H4" i="20"/>
  <c r="I4" i="20"/>
  <c r="J4" i="20"/>
  <c r="K4" i="20"/>
  <c r="L4" i="20"/>
  <c r="M4" i="20"/>
  <c r="N4" i="20"/>
  <c r="O4" i="20"/>
  <c r="P4" i="20"/>
  <c r="Q4" i="20"/>
  <c r="R4" i="20"/>
  <c r="S4" i="20"/>
  <c r="T4" i="20"/>
  <c r="U4" i="20"/>
  <c r="V4" i="20"/>
  <c r="W4" i="20"/>
  <c r="B5" i="20"/>
  <c r="C5" i="20"/>
  <c r="D5" i="20"/>
  <c r="E5" i="20"/>
  <c r="F5" i="20"/>
  <c r="G5" i="20"/>
  <c r="H5" i="20"/>
  <c r="I5" i="20"/>
  <c r="J5" i="20"/>
  <c r="K5" i="20"/>
  <c r="L5" i="20"/>
  <c r="M5" i="20"/>
  <c r="N5" i="20"/>
  <c r="O5" i="20"/>
  <c r="P5" i="20"/>
  <c r="Q5" i="20"/>
  <c r="R5" i="20"/>
  <c r="S5" i="20"/>
  <c r="T5" i="20"/>
  <c r="U5" i="20"/>
  <c r="V5" i="20"/>
  <c r="W5" i="20"/>
  <c r="B6" i="20"/>
  <c r="C6" i="20"/>
  <c r="D6" i="20"/>
  <c r="E6" i="20"/>
  <c r="F6" i="20"/>
  <c r="G6" i="20"/>
  <c r="H6" i="20"/>
  <c r="I6" i="20"/>
  <c r="J6" i="20"/>
  <c r="K6" i="20"/>
  <c r="L6" i="20"/>
  <c r="M6" i="20"/>
  <c r="N6" i="20"/>
  <c r="O6" i="20"/>
  <c r="P6" i="20"/>
  <c r="Q6" i="20"/>
  <c r="R6" i="20"/>
  <c r="S6" i="20"/>
  <c r="T6" i="20"/>
  <c r="U6" i="20"/>
  <c r="V6" i="20"/>
  <c r="W6" i="20"/>
  <c r="AQ15" i="19"/>
  <c r="C64" i="33" l="1"/>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C6" i="33"/>
  <c r="C5" i="33"/>
  <c r="C4" i="33"/>
  <c r="C3" i="33"/>
  <c r="AJ24" i="19" l="1"/>
  <c r="AJ23" i="19"/>
  <c r="AJ22" i="19"/>
  <c r="AJ21" i="19"/>
  <c r="AJ20" i="19"/>
  <c r="AJ19" i="19"/>
  <c r="AJ18" i="19"/>
  <c r="AJ17" i="19"/>
  <c r="AJ16" i="19"/>
  <c r="AJ15" i="19"/>
  <c r="AJ14" i="19"/>
  <c r="AJ13" i="19"/>
  <c r="AJ12" i="19"/>
  <c r="AJ11" i="19"/>
  <c r="AJ10" i="19"/>
  <c r="AJ9" i="19"/>
  <c r="AJ8" i="19"/>
  <c r="AJ7" i="19"/>
  <c r="AJ6" i="19"/>
  <c r="AJ4" i="19"/>
  <c r="AJ3" i="19"/>
  <c r="BL24" i="19"/>
  <c r="BJ24" i="19"/>
  <c r="BI24" i="19"/>
  <c r="BH24" i="19"/>
  <c r="BL23" i="19"/>
  <c r="BK23" i="19" s="1"/>
  <c r="BJ23" i="19"/>
  <c r="BI23" i="19"/>
  <c r="BH23" i="19"/>
  <c r="BL22" i="19"/>
  <c r="BK22" i="19" s="1"/>
  <c r="BJ22" i="19"/>
  <c r="BI22" i="19"/>
  <c r="BH22" i="19"/>
  <c r="BL21" i="19"/>
  <c r="BK21" i="19" s="1"/>
  <c r="BJ21" i="19"/>
  <c r="BI21" i="19"/>
  <c r="BH21" i="19"/>
  <c r="BL20" i="19"/>
  <c r="BK20" i="19" s="1"/>
  <c r="BJ20" i="19"/>
  <c r="BI20" i="19"/>
  <c r="BH20" i="19"/>
  <c r="BL19" i="19"/>
  <c r="BK19" i="19" s="1"/>
  <c r="P19" i="19" s="1"/>
  <c r="BJ19" i="19"/>
  <c r="BI19" i="19"/>
  <c r="BH19" i="19"/>
  <c r="BL18" i="19"/>
  <c r="BK18" i="19" s="1"/>
  <c r="BJ18" i="19"/>
  <c r="BI18" i="19"/>
  <c r="BH18" i="19"/>
  <c r="BL17" i="19"/>
  <c r="BK17" i="19" s="1"/>
  <c r="BJ17" i="19"/>
  <c r="BI17" i="19"/>
  <c r="BH17" i="19"/>
  <c r="BL16" i="19"/>
  <c r="BK16" i="19" s="1"/>
  <c r="BJ16" i="19"/>
  <c r="BI16" i="19"/>
  <c r="BH16" i="19"/>
  <c r="BL15" i="19"/>
  <c r="BK15" i="19" s="1"/>
  <c r="BJ15" i="19"/>
  <c r="BI15" i="19"/>
  <c r="BH15" i="19"/>
  <c r="BL14" i="19"/>
  <c r="BK14" i="19" s="1"/>
  <c r="BJ14" i="19"/>
  <c r="BI14" i="19"/>
  <c r="BH14" i="19"/>
  <c r="BL13" i="19"/>
  <c r="BK13" i="19" s="1"/>
  <c r="BJ13" i="19"/>
  <c r="BI13" i="19"/>
  <c r="BH13" i="19"/>
  <c r="BL12" i="19"/>
  <c r="BK12" i="19" s="1"/>
  <c r="BJ12" i="19"/>
  <c r="BI12" i="19"/>
  <c r="BH12" i="19"/>
  <c r="BL11" i="19"/>
  <c r="BK11" i="19" s="1"/>
  <c r="P11" i="19" s="1"/>
  <c r="BJ11" i="19"/>
  <c r="BI11" i="19"/>
  <c r="BH11" i="19"/>
  <c r="BL10" i="19"/>
  <c r="BK10" i="19" s="1"/>
  <c r="BJ10" i="19"/>
  <c r="BI10" i="19"/>
  <c r="BH10" i="19"/>
  <c r="BL9" i="19"/>
  <c r="BK9" i="19" s="1"/>
  <c r="P9" i="19" s="1"/>
  <c r="BJ9" i="19"/>
  <c r="BI9" i="19"/>
  <c r="BH9" i="19"/>
  <c r="BL8" i="19"/>
  <c r="BK8" i="19" s="1"/>
  <c r="BJ8" i="19"/>
  <c r="BI8" i="19"/>
  <c r="BH8" i="19"/>
  <c r="BL7" i="19"/>
  <c r="BK7" i="19" s="1"/>
  <c r="BJ7" i="19"/>
  <c r="BI7" i="19"/>
  <c r="BH7" i="19"/>
  <c r="BL6" i="19"/>
  <c r="BK6" i="19" s="1"/>
  <c r="BJ6" i="19"/>
  <c r="BI6" i="19"/>
  <c r="BH6" i="19"/>
  <c r="BL5" i="19"/>
  <c r="BK5" i="19" s="1"/>
  <c r="Q5" i="19" s="1"/>
  <c r="BJ5" i="19"/>
  <c r="BI5" i="19"/>
  <c r="BH5" i="19"/>
  <c r="BL4" i="19"/>
  <c r="BK4" i="19" s="1"/>
  <c r="BJ4" i="19"/>
  <c r="BI4" i="19"/>
  <c r="BH4" i="19"/>
  <c r="BL3" i="19"/>
  <c r="BK3" i="19" s="1"/>
  <c r="P3" i="19" s="1"/>
  <c r="BJ3" i="19"/>
  <c r="BI3" i="19"/>
  <c r="BH3" i="19"/>
  <c r="Q18" i="19" l="1"/>
  <c r="Q10" i="19"/>
  <c r="Q4" i="19"/>
  <c r="Q6" i="19"/>
  <c r="Q8" i="19"/>
  <c r="Q13" i="19"/>
  <c r="Q14" i="19"/>
  <c r="Q15" i="19"/>
  <c r="Q16" i="19"/>
  <c r="Q17" i="19"/>
  <c r="Q23" i="19"/>
  <c r="P23" i="19"/>
  <c r="BK24" i="19"/>
  <c r="Q24" i="19" s="1"/>
  <c r="Q19" i="19"/>
  <c r="Q20" i="19"/>
  <c r="Q21" i="19"/>
  <c r="Q22" i="19"/>
  <c r="P21" i="19"/>
  <c r="Q3" i="19"/>
  <c r="AJ5" i="19"/>
  <c r="Q9" i="19"/>
  <c r="Q11" i="19"/>
  <c r="Q7" i="19"/>
  <c r="P7" i="19"/>
  <c r="Q12" i="19"/>
  <c r="P12" i="19"/>
  <c r="P5" i="19"/>
  <c r="P4" i="19"/>
  <c r="P6" i="19"/>
  <c r="P8" i="19"/>
  <c r="P10" i="19"/>
  <c r="P14" i="19"/>
  <c r="P16" i="19"/>
  <c r="P18" i="19"/>
  <c r="P20" i="19"/>
  <c r="P22" i="19"/>
  <c r="P24" i="19"/>
  <c r="P13" i="19"/>
  <c r="P15" i="19"/>
  <c r="P17" i="19"/>
  <c r="AQ24" i="19" l="1"/>
  <c r="AO24" i="19"/>
  <c r="AN24" i="19"/>
  <c r="AM24" i="19"/>
  <c r="AK24" i="19"/>
  <c r="AI24" i="19"/>
  <c r="AH24" i="19"/>
  <c r="AG24" i="19"/>
  <c r="AF24" i="19"/>
  <c r="AE24" i="19"/>
  <c r="AD24" i="19"/>
  <c r="AC24" i="19"/>
  <c r="AB24" i="19"/>
  <c r="AA24" i="19"/>
  <c r="Z24" i="19"/>
  <c r="Y24" i="19"/>
  <c r="X24" i="19"/>
  <c r="W24" i="19"/>
  <c r="V24" i="19"/>
  <c r="U24" i="19"/>
  <c r="T24" i="19"/>
  <c r="O24" i="19" s="1"/>
  <c r="S24" i="19"/>
  <c r="R24" i="19"/>
  <c r="N24" i="19"/>
  <c r="M24" i="19"/>
  <c r="L24" i="19"/>
  <c r="K24" i="19"/>
  <c r="J24" i="19"/>
  <c r="I24" i="19"/>
  <c r="H24" i="19"/>
  <c r="F24" i="19" l="1"/>
  <c r="AM3" i="19" l="1"/>
  <c r="AM4" i="19"/>
  <c r="AM5" i="19"/>
  <c r="AM6" i="19"/>
  <c r="AM7" i="19"/>
  <c r="AM8" i="19"/>
  <c r="AM9" i="19"/>
  <c r="AM10" i="19"/>
  <c r="AM11" i="19"/>
  <c r="AM12" i="19"/>
  <c r="AM13" i="19"/>
  <c r="AM14" i="19"/>
  <c r="AM15" i="19"/>
  <c r="AM16" i="19"/>
  <c r="AM17" i="19"/>
  <c r="AM18" i="19"/>
  <c r="AM19" i="19"/>
  <c r="AM20" i="19"/>
  <c r="AM21" i="19"/>
  <c r="AM22" i="19"/>
  <c r="AM23" i="19"/>
  <c r="A3" i="19" l="1"/>
  <c r="D3" i="19" s="1"/>
  <c r="A4" i="19"/>
  <c r="D4" i="19" s="1"/>
  <c r="A5" i="19"/>
  <c r="D5" i="19" s="1"/>
  <c r="A6" i="19"/>
  <c r="D6" i="19" s="1"/>
  <c r="A7" i="19"/>
  <c r="D7" i="19" s="1"/>
  <c r="A8" i="19"/>
  <c r="D8" i="19" s="1"/>
  <c r="A9" i="19"/>
  <c r="D9" i="19" s="1"/>
  <c r="A10" i="19"/>
  <c r="D10" i="19" s="1"/>
  <c r="A11" i="19"/>
  <c r="D11" i="19" s="1"/>
  <c r="A12" i="19"/>
  <c r="D12" i="19" s="1"/>
  <c r="A13" i="19"/>
  <c r="D13" i="19" s="1"/>
  <c r="A14" i="19"/>
  <c r="D14" i="19" s="1"/>
  <c r="A15" i="19"/>
  <c r="D15" i="19" s="1"/>
  <c r="A16" i="19"/>
  <c r="D16" i="19" s="1"/>
  <c r="A17" i="19"/>
  <c r="D17" i="19" s="1"/>
  <c r="A18" i="19"/>
  <c r="D18" i="19" s="1"/>
  <c r="A19" i="19"/>
  <c r="D19" i="19" s="1"/>
  <c r="A20" i="19"/>
  <c r="D20" i="19" s="1"/>
  <c r="A21" i="19"/>
  <c r="D21" i="19" s="1"/>
  <c r="A22" i="19"/>
  <c r="D22" i="19" s="1"/>
  <c r="A23" i="19"/>
  <c r="D23" i="19" s="1"/>
  <c r="A24" i="19"/>
  <c r="D24" i="19" s="1"/>
  <c r="H3" i="19"/>
  <c r="I3" i="19"/>
  <c r="J3" i="19"/>
  <c r="K3" i="19"/>
  <c r="L3" i="19"/>
  <c r="M3" i="19"/>
  <c r="N3" i="19"/>
  <c r="R3" i="19"/>
  <c r="S3" i="19"/>
  <c r="T3" i="19"/>
  <c r="U3" i="19"/>
  <c r="V3" i="19"/>
  <c r="W3" i="19"/>
  <c r="X3" i="19"/>
  <c r="Y3" i="19"/>
  <c r="Z3" i="19"/>
  <c r="AA3" i="19"/>
  <c r="AB3" i="19"/>
  <c r="AC3" i="19"/>
  <c r="AD3" i="19"/>
  <c r="AE3" i="19"/>
  <c r="AF3" i="19"/>
  <c r="AG3" i="19"/>
  <c r="AH3" i="19"/>
  <c r="AI3" i="19"/>
  <c r="AK3" i="19"/>
  <c r="AN3" i="19"/>
  <c r="AO3" i="19"/>
  <c r="AQ3" i="19"/>
  <c r="H4" i="19"/>
  <c r="I4" i="19"/>
  <c r="J4" i="19"/>
  <c r="K4" i="19"/>
  <c r="L4" i="19"/>
  <c r="M4" i="19"/>
  <c r="N4" i="19"/>
  <c r="R4" i="19"/>
  <c r="S4" i="19"/>
  <c r="T4" i="19"/>
  <c r="U4" i="19"/>
  <c r="V4" i="19"/>
  <c r="W4" i="19"/>
  <c r="X4" i="19"/>
  <c r="Y4" i="19"/>
  <c r="Z4" i="19"/>
  <c r="AA4" i="19"/>
  <c r="AB4" i="19"/>
  <c r="AC4" i="19"/>
  <c r="AD4" i="19"/>
  <c r="AE4" i="19"/>
  <c r="AF4" i="19"/>
  <c r="AG4" i="19"/>
  <c r="AH4" i="19"/>
  <c r="AI4" i="19"/>
  <c r="AK4" i="19"/>
  <c r="AN4" i="19"/>
  <c r="AO4" i="19"/>
  <c r="AQ4" i="19"/>
  <c r="H5" i="19"/>
  <c r="I5" i="19"/>
  <c r="J5" i="19"/>
  <c r="K5" i="19"/>
  <c r="L5" i="19"/>
  <c r="M5" i="19"/>
  <c r="N5" i="19"/>
  <c r="R5" i="19"/>
  <c r="S5" i="19"/>
  <c r="T5" i="19"/>
  <c r="O5" i="19" s="1"/>
  <c r="U5" i="19"/>
  <c r="V5" i="19"/>
  <c r="W5" i="19"/>
  <c r="X5" i="19"/>
  <c r="Y5" i="19"/>
  <c r="Z5" i="19"/>
  <c r="AA5" i="19"/>
  <c r="AB5" i="19"/>
  <c r="AC5" i="19"/>
  <c r="AD5" i="19"/>
  <c r="AE5" i="19"/>
  <c r="AF5" i="19"/>
  <c r="AG5" i="19"/>
  <c r="AH5" i="19"/>
  <c r="AI5" i="19"/>
  <c r="AK5" i="19"/>
  <c r="AN5" i="19"/>
  <c r="AO5" i="19"/>
  <c r="AQ5" i="19"/>
  <c r="H6" i="19"/>
  <c r="I6" i="19"/>
  <c r="J6" i="19"/>
  <c r="K6" i="19"/>
  <c r="L6" i="19"/>
  <c r="M6" i="19"/>
  <c r="N6" i="19"/>
  <c r="R6" i="19"/>
  <c r="S6" i="19"/>
  <c r="T6" i="19"/>
  <c r="O6" i="19" s="1"/>
  <c r="U6" i="19"/>
  <c r="V6" i="19"/>
  <c r="W6" i="19"/>
  <c r="X6" i="19"/>
  <c r="Y6" i="19"/>
  <c r="Z6" i="19"/>
  <c r="AA6" i="19"/>
  <c r="AB6" i="19"/>
  <c r="AC6" i="19"/>
  <c r="AD6" i="19"/>
  <c r="AE6" i="19"/>
  <c r="AF6" i="19"/>
  <c r="AG6" i="19"/>
  <c r="AH6" i="19"/>
  <c r="AI6" i="19"/>
  <c r="AK6" i="19"/>
  <c r="AN6" i="19"/>
  <c r="AO6" i="19"/>
  <c r="AQ6" i="19"/>
  <c r="H7" i="19"/>
  <c r="I7" i="19"/>
  <c r="J7" i="19"/>
  <c r="K7" i="19"/>
  <c r="L7" i="19"/>
  <c r="M7" i="19"/>
  <c r="N7" i="19"/>
  <c r="R7" i="19"/>
  <c r="S7" i="19"/>
  <c r="T7" i="19"/>
  <c r="U7" i="19"/>
  <c r="V7" i="19"/>
  <c r="W7" i="19"/>
  <c r="X7" i="19"/>
  <c r="Y7" i="19"/>
  <c r="Z7" i="19"/>
  <c r="AA7" i="19"/>
  <c r="AB7" i="19"/>
  <c r="AC7" i="19"/>
  <c r="AD7" i="19"/>
  <c r="AE7" i="19"/>
  <c r="AF7" i="19"/>
  <c r="AG7" i="19"/>
  <c r="AH7" i="19"/>
  <c r="AI7" i="19"/>
  <c r="AK7" i="19"/>
  <c r="AN7" i="19"/>
  <c r="AO7" i="19"/>
  <c r="AQ7" i="19"/>
  <c r="H8" i="19"/>
  <c r="I8" i="19"/>
  <c r="J8" i="19"/>
  <c r="K8" i="19"/>
  <c r="L8" i="19"/>
  <c r="M8" i="19"/>
  <c r="N8" i="19"/>
  <c r="R8" i="19"/>
  <c r="S8" i="19"/>
  <c r="T8" i="19"/>
  <c r="U8" i="19"/>
  <c r="V8" i="19"/>
  <c r="W8" i="19"/>
  <c r="X8" i="19"/>
  <c r="Y8" i="19"/>
  <c r="Z8" i="19"/>
  <c r="AA8" i="19"/>
  <c r="AB8" i="19"/>
  <c r="AC8" i="19"/>
  <c r="AD8" i="19"/>
  <c r="AE8" i="19"/>
  <c r="AF8" i="19"/>
  <c r="AG8" i="19"/>
  <c r="AH8" i="19"/>
  <c r="AI8" i="19"/>
  <c r="AK8" i="19"/>
  <c r="AN8" i="19"/>
  <c r="AO8" i="19"/>
  <c r="AQ8" i="19"/>
  <c r="H9" i="19"/>
  <c r="I9" i="19"/>
  <c r="J9" i="19"/>
  <c r="K9" i="19"/>
  <c r="L9" i="19"/>
  <c r="M9" i="19"/>
  <c r="N9" i="19"/>
  <c r="R9" i="19"/>
  <c r="S9" i="19"/>
  <c r="T9" i="19"/>
  <c r="O9" i="19" s="1"/>
  <c r="U9" i="19"/>
  <c r="V9" i="19"/>
  <c r="W9" i="19"/>
  <c r="X9" i="19"/>
  <c r="Y9" i="19"/>
  <c r="Z9" i="19"/>
  <c r="AA9" i="19"/>
  <c r="AB9" i="19"/>
  <c r="AC9" i="19"/>
  <c r="AD9" i="19"/>
  <c r="AE9" i="19"/>
  <c r="AF9" i="19"/>
  <c r="AG9" i="19"/>
  <c r="AH9" i="19"/>
  <c r="AI9" i="19"/>
  <c r="AK9" i="19"/>
  <c r="AN9" i="19"/>
  <c r="AO9" i="19"/>
  <c r="AQ9" i="19"/>
  <c r="H10" i="19"/>
  <c r="I10" i="19"/>
  <c r="J10" i="19"/>
  <c r="K10" i="19"/>
  <c r="L10" i="19"/>
  <c r="M10" i="19"/>
  <c r="N10" i="19"/>
  <c r="R10" i="19"/>
  <c r="S10" i="19"/>
  <c r="T10" i="19"/>
  <c r="U10" i="19"/>
  <c r="V10" i="19"/>
  <c r="W10" i="19"/>
  <c r="X10" i="19"/>
  <c r="Y10" i="19"/>
  <c r="Z10" i="19"/>
  <c r="AA10" i="19"/>
  <c r="AB10" i="19"/>
  <c r="AC10" i="19"/>
  <c r="AD10" i="19"/>
  <c r="AE10" i="19"/>
  <c r="AF10" i="19"/>
  <c r="AG10" i="19"/>
  <c r="AH10" i="19"/>
  <c r="AI10" i="19"/>
  <c r="AK10" i="19"/>
  <c r="AN10" i="19"/>
  <c r="AO10" i="19"/>
  <c r="AQ10" i="19"/>
  <c r="H11" i="19"/>
  <c r="I11" i="19"/>
  <c r="J11" i="19"/>
  <c r="K11" i="19"/>
  <c r="L11" i="19"/>
  <c r="M11" i="19"/>
  <c r="N11" i="19"/>
  <c r="R11" i="19"/>
  <c r="S11" i="19"/>
  <c r="T11" i="19"/>
  <c r="O11" i="19" s="1"/>
  <c r="U11" i="19"/>
  <c r="V11" i="19"/>
  <c r="W11" i="19"/>
  <c r="X11" i="19"/>
  <c r="Y11" i="19"/>
  <c r="Z11" i="19"/>
  <c r="AA11" i="19"/>
  <c r="AB11" i="19"/>
  <c r="AC11" i="19"/>
  <c r="AD11" i="19"/>
  <c r="AE11" i="19"/>
  <c r="AF11" i="19"/>
  <c r="AG11" i="19"/>
  <c r="AH11" i="19"/>
  <c r="AI11" i="19"/>
  <c r="AK11" i="19"/>
  <c r="AN11" i="19"/>
  <c r="AO11" i="19"/>
  <c r="AQ11" i="19"/>
  <c r="H12" i="19"/>
  <c r="I12" i="19"/>
  <c r="J12" i="19"/>
  <c r="K12" i="19"/>
  <c r="L12" i="19"/>
  <c r="M12" i="19"/>
  <c r="N12" i="19"/>
  <c r="R12" i="19"/>
  <c r="S12" i="19"/>
  <c r="T12" i="19"/>
  <c r="U12" i="19"/>
  <c r="V12" i="19"/>
  <c r="W12" i="19"/>
  <c r="X12" i="19"/>
  <c r="Y12" i="19"/>
  <c r="Z12" i="19"/>
  <c r="AA12" i="19"/>
  <c r="AB12" i="19"/>
  <c r="AC12" i="19"/>
  <c r="AD12" i="19"/>
  <c r="AE12" i="19"/>
  <c r="AF12" i="19"/>
  <c r="AG12" i="19"/>
  <c r="AH12" i="19"/>
  <c r="AI12" i="19"/>
  <c r="AK12" i="19"/>
  <c r="AN12" i="19"/>
  <c r="AO12" i="19"/>
  <c r="AQ12" i="19"/>
  <c r="H13" i="19"/>
  <c r="I13" i="19"/>
  <c r="J13" i="19"/>
  <c r="K13" i="19"/>
  <c r="L13" i="19"/>
  <c r="M13" i="19"/>
  <c r="N13" i="19"/>
  <c r="R13" i="19"/>
  <c r="S13" i="19"/>
  <c r="T13" i="19"/>
  <c r="U13" i="19"/>
  <c r="V13" i="19"/>
  <c r="W13" i="19"/>
  <c r="X13" i="19"/>
  <c r="Y13" i="19"/>
  <c r="Z13" i="19"/>
  <c r="AA13" i="19"/>
  <c r="AB13" i="19"/>
  <c r="AC13" i="19"/>
  <c r="AD13" i="19"/>
  <c r="AE13" i="19"/>
  <c r="AF13" i="19"/>
  <c r="AG13" i="19"/>
  <c r="AH13" i="19"/>
  <c r="AI13" i="19"/>
  <c r="AK13" i="19"/>
  <c r="AN13" i="19"/>
  <c r="AO13" i="19"/>
  <c r="AQ13" i="19"/>
  <c r="H14" i="19"/>
  <c r="I14" i="19"/>
  <c r="J14" i="19"/>
  <c r="K14" i="19"/>
  <c r="L14" i="19"/>
  <c r="M14" i="19"/>
  <c r="N14" i="19"/>
  <c r="R14" i="19"/>
  <c r="S14" i="19"/>
  <c r="T14" i="19"/>
  <c r="U14" i="19"/>
  <c r="V14" i="19"/>
  <c r="W14" i="19"/>
  <c r="X14" i="19"/>
  <c r="Y14" i="19"/>
  <c r="Z14" i="19"/>
  <c r="AA14" i="19"/>
  <c r="AB14" i="19"/>
  <c r="AC14" i="19"/>
  <c r="AD14" i="19"/>
  <c r="AE14" i="19"/>
  <c r="AF14" i="19"/>
  <c r="AG14" i="19"/>
  <c r="AH14" i="19"/>
  <c r="AI14" i="19"/>
  <c r="AK14" i="19"/>
  <c r="AN14" i="19"/>
  <c r="AO14" i="19"/>
  <c r="AQ14" i="19"/>
  <c r="H15" i="19"/>
  <c r="I15" i="19"/>
  <c r="J15" i="19"/>
  <c r="K15" i="19"/>
  <c r="L15" i="19"/>
  <c r="M15" i="19"/>
  <c r="N15" i="19"/>
  <c r="R15" i="19"/>
  <c r="S15" i="19"/>
  <c r="T15" i="19"/>
  <c r="U15" i="19"/>
  <c r="V15" i="19"/>
  <c r="W15" i="19"/>
  <c r="X15" i="19"/>
  <c r="Y15" i="19"/>
  <c r="Z15" i="19"/>
  <c r="AA15" i="19"/>
  <c r="AB15" i="19"/>
  <c r="AC15" i="19"/>
  <c r="AD15" i="19"/>
  <c r="AE15" i="19"/>
  <c r="AF15" i="19"/>
  <c r="AG15" i="19"/>
  <c r="AH15" i="19"/>
  <c r="AI15" i="19"/>
  <c r="AK15" i="19"/>
  <c r="AN15" i="19"/>
  <c r="AO15" i="19"/>
  <c r="H16" i="19"/>
  <c r="I16" i="19"/>
  <c r="J16" i="19"/>
  <c r="K16" i="19"/>
  <c r="L16" i="19"/>
  <c r="M16" i="19"/>
  <c r="N16" i="19"/>
  <c r="R16" i="19"/>
  <c r="S16" i="19"/>
  <c r="T16" i="19"/>
  <c r="F16" i="19" s="1"/>
  <c r="U16" i="19"/>
  <c r="V16" i="19"/>
  <c r="W16" i="19"/>
  <c r="X16" i="19"/>
  <c r="Y16" i="19"/>
  <c r="Z16" i="19"/>
  <c r="AA16" i="19"/>
  <c r="AB16" i="19"/>
  <c r="AC16" i="19"/>
  <c r="AD16" i="19"/>
  <c r="AE16" i="19"/>
  <c r="AF16" i="19"/>
  <c r="AG16" i="19"/>
  <c r="AH16" i="19"/>
  <c r="AI16" i="19"/>
  <c r="AK16" i="19"/>
  <c r="AN16" i="19"/>
  <c r="AO16" i="19"/>
  <c r="AQ16" i="19"/>
  <c r="H17" i="19"/>
  <c r="I17" i="19"/>
  <c r="J17" i="19"/>
  <c r="K17" i="19"/>
  <c r="L17" i="19"/>
  <c r="M17" i="19"/>
  <c r="N17" i="19"/>
  <c r="R17" i="19"/>
  <c r="S17" i="19"/>
  <c r="T17" i="19"/>
  <c r="O17" i="19" s="1"/>
  <c r="U17" i="19"/>
  <c r="V17" i="19"/>
  <c r="W17" i="19"/>
  <c r="X17" i="19"/>
  <c r="Y17" i="19"/>
  <c r="Z17" i="19"/>
  <c r="AA17" i="19"/>
  <c r="AB17" i="19"/>
  <c r="AC17" i="19"/>
  <c r="AD17" i="19"/>
  <c r="AE17" i="19"/>
  <c r="AF17" i="19"/>
  <c r="AG17" i="19"/>
  <c r="AH17" i="19"/>
  <c r="AI17" i="19"/>
  <c r="AK17" i="19"/>
  <c r="AN17" i="19"/>
  <c r="AO17" i="19"/>
  <c r="AQ17" i="19"/>
  <c r="H18" i="19"/>
  <c r="I18" i="19"/>
  <c r="J18" i="19"/>
  <c r="K18" i="19"/>
  <c r="L18" i="19"/>
  <c r="M18" i="19"/>
  <c r="N18" i="19"/>
  <c r="R18" i="19"/>
  <c r="S18" i="19"/>
  <c r="T18" i="19"/>
  <c r="F18" i="19" s="1"/>
  <c r="U18" i="19"/>
  <c r="V18" i="19"/>
  <c r="W18" i="19"/>
  <c r="X18" i="19"/>
  <c r="Y18" i="19"/>
  <c r="Z18" i="19"/>
  <c r="AA18" i="19"/>
  <c r="AB18" i="19"/>
  <c r="AC18" i="19"/>
  <c r="AD18" i="19"/>
  <c r="AE18" i="19"/>
  <c r="AF18" i="19"/>
  <c r="AG18" i="19"/>
  <c r="AH18" i="19"/>
  <c r="AI18" i="19"/>
  <c r="AK18" i="19"/>
  <c r="AN18" i="19"/>
  <c r="AO18" i="19"/>
  <c r="AQ18" i="19"/>
  <c r="H19" i="19"/>
  <c r="I19" i="19"/>
  <c r="J19" i="19"/>
  <c r="K19" i="19"/>
  <c r="L19" i="19"/>
  <c r="M19" i="19"/>
  <c r="N19" i="19"/>
  <c r="R19" i="19"/>
  <c r="S19" i="19"/>
  <c r="T19" i="19"/>
  <c r="O19" i="19" s="1"/>
  <c r="U19" i="19"/>
  <c r="V19" i="19"/>
  <c r="W19" i="19"/>
  <c r="X19" i="19"/>
  <c r="Y19" i="19"/>
  <c r="Z19" i="19"/>
  <c r="AA19" i="19"/>
  <c r="AB19" i="19"/>
  <c r="AC19" i="19"/>
  <c r="AD19" i="19"/>
  <c r="AE19" i="19"/>
  <c r="AF19" i="19"/>
  <c r="AG19" i="19"/>
  <c r="AH19" i="19"/>
  <c r="AI19" i="19"/>
  <c r="AK19" i="19"/>
  <c r="AN19" i="19"/>
  <c r="AO19" i="19"/>
  <c r="AQ19" i="19"/>
  <c r="H20" i="19"/>
  <c r="I20" i="19"/>
  <c r="J20" i="19"/>
  <c r="K20" i="19"/>
  <c r="L20" i="19"/>
  <c r="M20" i="19"/>
  <c r="N20" i="19"/>
  <c r="R20" i="19"/>
  <c r="S20" i="19"/>
  <c r="T20" i="19"/>
  <c r="F20" i="19" s="1"/>
  <c r="U20" i="19"/>
  <c r="V20" i="19"/>
  <c r="W20" i="19"/>
  <c r="X20" i="19"/>
  <c r="Y20" i="19"/>
  <c r="Z20" i="19"/>
  <c r="AA20" i="19"/>
  <c r="AB20" i="19"/>
  <c r="AC20" i="19"/>
  <c r="AD20" i="19"/>
  <c r="AE20" i="19"/>
  <c r="AF20" i="19"/>
  <c r="AG20" i="19"/>
  <c r="AH20" i="19"/>
  <c r="AI20" i="19"/>
  <c r="AK20" i="19"/>
  <c r="AN20" i="19"/>
  <c r="AO20" i="19"/>
  <c r="AQ20" i="19"/>
  <c r="H21" i="19"/>
  <c r="I21" i="19"/>
  <c r="J21" i="19"/>
  <c r="K21" i="19"/>
  <c r="L21" i="19"/>
  <c r="M21" i="19"/>
  <c r="N21" i="19"/>
  <c r="R21" i="19"/>
  <c r="S21" i="19"/>
  <c r="T21" i="19"/>
  <c r="O21" i="19" s="1"/>
  <c r="U21" i="19"/>
  <c r="V21" i="19"/>
  <c r="W21" i="19"/>
  <c r="X21" i="19"/>
  <c r="Y21" i="19"/>
  <c r="Z21" i="19"/>
  <c r="AA21" i="19"/>
  <c r="AB21" i="19"/>
  <c r="AC21" i="19"/>
  <c r="AD21" i="19"/>
  <c r="AE21" i="19"/>
  <c r="AF21" i="19"/>
  <c r="AG21" i="19"/>
  <c r="AH21" i="19"/>
  <c r="AI21" i="19"/>
  <c r="AK21" i="19"/>
  <c r="AN21" i="19"/>
  <c r="AO21" i="19"/>
  <c r="AQ21" i="19"/>
  <c r="H22" i="19"/>
  <c r="I22" i="19"/>
  <c r="J22" i="19"/>
  <c r="K22" i="19"/>
  <c r="L22" i="19"/>
  <c r="M22" i="19"/>
  <c r="N22" i="19"/>
  <c r="R22" i="19"/>
  <c r="S22" i="19"/>
  <c r="T22" i="19"/>
  <c r="U22" i="19"/>
  <c r="V22" i="19"/>
  <c r="W22" i="19"/>
  <c r="X22" i="19"/>
  <c r="Y22" i="19"/>
  <c r="Z22" i="19"/>
  <c r="AA22" i="19"/>
  <c r="AB22" i="19"/>
  <c r="AC22" i="19"/>
  <c r="AD22" i="19"/>
  <c r="AE22" i="19"/>
  <c r="AF22" i="19"/>
  <c r="AG22" i="19"/>
  <c r="AH22" i="19"/>
  <c r="AI22" i="19"/>
  <c r="AK22" i="19"/>
  <c r="AN22" i="19"/>
  <c r="AO22" i="19"/>
  <c r="AQ22" i="19"/>
  <c r="H23" i="19"/>
  <c r="I23" i="19"/>
  <c r="J23" i="19"/>
  <c r="K23" i="19"/>
  <c r="L23" i="19"/>
  <c r="M23" i="19"/>
  <c r="N23" i="19"/>
  <c r="R23" i="19"/>
  <c r="S23" i="19"/>
  <c r="T23" i="19"/>
  <c r="F23" i="19" s="1"/>
  <c r="U23" i="19"/>
  <c r="V23" i="19"/>
  <c r="W23" i="19"/>
  <c r="X23" i="19"/>
  <c r="Y23" i="19"/>
  <c r="Z23" i="19"/>
  <c r="AA23" i="19"/>
  <c r="AB23" i="19"/>
  <c r="AC23" i="19"/>
  <c r="AD23" i="19"/>
  <c r="AE23" i="19"/>
  <c r="AF23" i="19"/>
  <c r="AG23" i="19"/>
  <c r="AH23" i="19"/>
  <c r="AI23" i="19"/>
  <c r="AK23" i="19"/>
  <c r="AN23" i="19"/>
  <c r="AO23" i="19"/>
  <c r="AQ23" i="19"/>
  <c r="B3" i="19"/>
  <c r="B4" i="19"/>
  <c r="B5" i="19"/>
  <c r="B6" i="19"/>
  <c r="B7" i="19"/>
  <c r="B8" i="19"/>
  <c r="B9" i="19"/>
  <c r="B10" i="19"/>
  <c r="B11" i="19"/>
  <c r="B12" i="19"/>
  <c r="B13" i="19"/>
  <c r="B14" i="19"/>
  <c r="B15" i="19"/>
  <c r="B16" i="19"/>
  <c r="B17" i="19"/>
  <c r="B18" i="19"/>
  <c r="B19" i="19"/>
  <c r="B20" i="19"/>
  <c r="B21" i="19"/>
  <c r="B22" i="19"/>
  <c r="B23" i="19"/>
  <c r="B24" i="19"/>
  <c r="F17" i="19" l="1"/>
  <c r="O14" i="19"/>
  <c r="F21" i="19"/>
  <c r="O15" i="19"/>
  <c r="F19" i="19"/>
  <c r="F15" i="19"/>
  <c r="O22" i="19"/>
  <c r="O4" i="19"/>
  <c r="F14" i="19"/>
  <c r="O20" i="19"/>
  <c r="O16" i="19"/>
  <c r="O13" i="19"/>
  <c r="O18" i="19"/>
  <c r="O10" i="19"/>
  <c r="O7" i="19"/>
  <c r="F22" i="19"/>
  <c r="O23" i="19"/>
  <c r="O12" i="19"/>
  <c r="O8" i="19"/>
  <c r="O3" i="19"/>
  <c r="F8" i="19" l="1"/>
  <c r="F4" i="19"/>
  <c r="F7" i="19"/>
  <c r="F3" i="19"/>
  <c r="F13" i="19"/>
  <c r="F11" i="19"/>
  <c r="F12" i="19"/>
  <c r="F6" i="19"/>
  <c r="F9" i="19"/>
  <c r="F5" i="19"/>
  <c r="F1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keiri_213</author>
  </authors>
  <commentList>
    <comment ref="E1" authorId="0" shapeId="0" xr:uid="{00000000-0006-0000-0200-000001000000}">
      <text>
        <r>
          <rPr>
            <sz val="9"/>
            <color indexed="81"/>
            <rFont val="ＭＳ Ｐゴシック"/>
            <family val="3"/>
            <charset val="128"/>
          </rPr>
          <t>この内容がそのまま入力シート上部へ表示されます。</t>
        </r>
      </text>
    </comment>
    <comment ref="F1" authorId="0" shapeId="0" xr:uid="{00000000-0006-0000-0200-000002000000}">
      <text>
        <r>
          <rPr>
            <b/>
            <sz val="9"/>
            <color indexed="81"/>
            <rFont val="ＭＳ Ｐゴシック"/>
            <family val="3"/>
            <charset val="128"/>
          </rPr>
          <t>この内容がそのまま入力シート上部へ表示されます。</t>
        </r>
        <r>
          <rPr>
            <sz val="9"/>
            <color indexed="81"/>
            <rFont val="ＭＳ Ｐ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keiri_215</author>
  </authors>
  <commentList>
    <comment ref="C3" authorId="0" shapeId="0" xr:uid="{00000000-0006-0000-0700-000001000000}">
      <text>
        <r>
          <rPr>
            <sz val="9"/>
            <color indexed="81"/>
            <rFont val="ＭＳ Ｐゴシック"/>
            <family val="3"/>
            <charset val="128"/>
          </rPr>
          <t xml:space="preserve">ここに記載した文言が、
処理結果ファイルの「NG詳細」シートの「エラー内容」欄に表示されます
</t>
        </r>
      </text>
    </comment>
  </commentList>
</comments>
</file>

<file path=xl/sharedStrings.xml><?xml version="1.0" encoding="utf-8"?>
<sst xmlns="http://schemas.openxmlformats.org/spreadsheetml/2006/main" count="3370" uniqueCount="807">
  <si>
    <t>No.</t>
    <phoneticPr fontId="6"/>
  </si>
  <si>
    <t>郵便番号チェック</t>
    <phoneticPr fontId="6"/>
  </si>
  <si>
    <t>ⅰⅱⅲⅳⅴⅵⅶⅷⅸⅹⅠⅡⅢⅣⅤⅥⅦⅧⅨⅩ￢￤＇＂㈱№℡∵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t>
    <phoneticPr fontId="6"/>
  </si>
  <si>
    <t>NEC特殊文字</t>
  </si>
  <si>
    <t>共通-13</t>
    <rPh sb="0" eb="2">
      <t>キョウツウ</t>
    </rPh>
    <phoneticPr fontId="6"/>
  </si>
  <si>
    <t>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ⅰⅱⅲⅳⅴⅵⅶⅷⅸⅹ￢￤＇＂</t>
    <phoneticPr fontId="6"/>
  </si>
  <si>
    <t>IBM拡張文字</t>
  </si>
  <si>
    <r>
      <t>共通-1</t>
    </r>
    <r>
      <rPr>
        <sz val="11"/>
        <rFont val="ＭＳ Ｐゴシック"/>
        <family val="3"/>
        <charset val="128"/>
      </rPr>
      <t>4</t>
    </r>
    <rPh sb="0" eb="2">
      <t>キョウツウ</t>
    </rPh>
    <phoneticPr fontId="6"/>
  </si>
  <si>
    <t>改行コード</t>
    <rPh sb="0" eb="2">
      <t>カイギョウ</t>
    </rPh>
    <phoneticPr fontId="6"/>
  </si>
  <si>
    <t>口座名義人（カナ）に使用可能な文字（全銀協許容文字）一覧</t>
    <rPh sb="0" eb="2">
      <t>コウザ</t>
    </rPh>
    <rPh sb="2" eb="4">
      <t>メイギ</t>
    </rPh>
    <rPh sb="4" eb="5">
      <t>ニン</t>
    </rPh>
    <rPh sb="10" eb="12">
      <t>シヨウ</t>
    </rPh>
    <rPh sb="12" eb="14">
      <t>カノウ</t>
    </rPh>
    <rPh sb="15" eb="17">
      <t>モジ</t>
    </rPh>
    <rPh sb="18" eb="19">
      <t>ゼン</t>
    </rPh>
    <rPh sb="19" eb="20">
      <t>ギン</t>
    </rPh>
    <rPh sb="20" eb="21">
      <t>キョウ</t>
    </rPh>
    <rPh sb="21" eb="23">
      <t>キョヨウ</t>
    </rPh>
    <rPh sb="23" eb="25">
      <t>モジ</t>
    </rPh>
    <rPh sb="26" eb="28">
      <t>イチラン</t>
    </rPh>
    <phoneticPr fontId="6"/>
  </si>
  <si>
    <t>分類</t>
    <rPh sb="0" eb="2">
      <t>ブンルイ</t>
    </rPh>
    <phoneticPr fontId="6"/>
  </si>
  <si>
    <t>文字一覧</t>
    <rPh sb="0" eb="2">
      <t>モジ</t>
    </rPh>
    <rPh sb="2" eb="4">
      <t>イチラン</t>
    </rPh>
    <phoneticPr fontId="6"/>
  </si>
  <si>
    <t>半角数字</t>
    <rPh sb="0" eb="2">
      <t>ハンカク</t>
    </rPh>
    <rPh sb="2" eb="4">
      <t>スウジ</t>
    </rPh>
    <phoneticPr fontId="6"/>
  </si>
  <si>
    <t>半角英字</t>
    <rPh sb="0" eb="2">
      <t>ハンカク</t>
    </rPh>
    <rPh sb="2" eb="4">
      <t>エイジ</t>
    </rPh>
    <phoneticPr fontId="6"/>
  </si>
  <si>
    <t>ABCDEFGHIJKLMNOPQRSTUVWXYZ</t>
  </si>
  <si>
    <t>半角カタカナ</t>
    <rPh sb="0" eb="2">
      <t>ハンカク</t>
    </rPh>
    <phoneticPr fontId="6"/>
  </si>
  <si>
    <t>記号</t>
    <rPh sb="0" eb="2">
      <t>キゴウ</t>
    </rPh>
    <phoneticPr fontId="6"/>
  </si>
  <si>
    <t>ｱｲｳｴｵｶｷｸｹｺｻｼｽｾｿﾀﾁﾂﾃﾄﾅﾆﾇﾈﾉﾊﾋﾌﾍﾎﾏﾐﾑﾒﾓﾔﾕﾖﾗﾘﾙﾚﾛﾜﾝﾞﾟ</t>
    <phoneticPr fontId="6"/>
  </si>
  <si>
    <t>(),-./</t>
  </si>
  <si>
    <t>半角スペース</t>
    <rPh sb="0" eb="2">
      <t>ハンカク</t>
    </rPh>
    <phoneticPr fontId="6"/>
  </si>
  <si>
    <t xml:space="preserve"> </t>
    <phoneticPr fontId="6"/>
  </si>
  <si>
    <t>事業所妥当性チェック</t>
    <rPh sb="0" eb="3">
      <t>ジギョウショ</t>
    </rPh>
    <rPh sb="3" eb="6">
      <t>ダトウセイ</t>
    </rPh>
    <phoneticPr fontId="6"/>
  </si>
  <si>
    <t>半角英数大文字・半角スペースチェック</t>
    <rPh sb="0" eb="2">
      <t>ハンカク</t>
    </rPh>
    <rPh sb="2" eb="4">
      <t>エイスウ</t>
    </rPh>
    <rPh sb="4" eb="7">
      <t>オオモジ</t>
    </rPh>
    <rPh sb="8" eb="10">
      <t>ハンカク</t>
    </rPh>
    <phoneticPr fontId="6"/>
  </si>
  <si>
    <t>半角英数・半角ハイフンチェック</t>
    <rPh sb="0" eb="2">
      <t>ハンカク</t>
    </rPh>
    <rPh sb="2" eb="4">
      <t>エイスウ</t>
    </rPh>
    <rPh sb="5" eb="7">
      <t>ハンカク</t>
    </rPh>
    <phoneticPr fontId="6"/>
  </si>
  <si>
    <t>バイト数</t>
    <rPh sb="3" eb="4">
      <t>スウ</t>
    </rPh>
    <phoneticPr fontId="6"/>
  </si>
  <si>
    <t>必須（①）</t>
    <rPh sb="0" eb="2">
      <t>ヒッス</t>
    </rPh>
    <phoneticPr fontId="6"/>
  </si>
  <si>
    <t>重複チェック（②）</t>
    <rPh sb="0" eb="2">
      <t>チョウフク</t>
    </rPh>
    <phoneticPr fontId="6"/>
  </si>
  <si>
    <t>項目相関チェック（③）</t>
    <rPh sb="0" eb="2">
      <t>コウモク</t>
    </rPh>
    <rPh sb="2" eb="4">
      <t>ソウカン</t>
    </rPh>
    <phoneticPr fontId="6"/>
  </si>
  <si>
    <t>①～③の条件詳細</t>
    <rPh sb="4" eb="6">
      <t>ジョウケン</t>
    </rPh>
    <rPh sb="6" eb="8">
      <t>ショウサイ</t>
    </rPh>
    <phoneticPr fontId="6"/>
  </si>
  <si>
    <t>参照マスタ類</t>
    <rPh sb="0" eb="2">
      <t>サンショウ</t>
    </rPh>
    <rPh sb="5" eb="6">
      <t>ルイ</t>
    </rPh>
    <phoneticPr fontId="6"/>
  </si>
  <si>
    <t>あり
なし</t>
    <phoneticPr fontId="6"/>
  </si>
  <si>
    <t>①条件付き必須の条件
②重複チェック内容
③項目相関チェック内容
上記に該当する内容</t>
    <rPh sb="1" eb="3">
      <t>ジョウケン</t>
    </rPh>
    <rPh sb="3" eb="4">
      <t>ツ</t>
    </rPh>
    <rPh sb="5" eb="7">
      <t>ヒッス</t>
    </rPh>
    <rPh sb="8" eb="10">
      <t>ジョウケン</t>
    </rPh>
    <rPh sb="12" eb="14">
      <t>チョウフク</t>
    </rPh>
    <rPh sb="18" eb="20">
      <t>ナイヨウ</t>
    </rPh>
    <rPh sb="22" eb="24">
      <t>コウモク</t>
    </rPh>
    <rPh sb="24" eb="26">
      <t>ソウカン</t>
    </rPh>
    <rPh sb="30" eb="32">
      <t>ナイヨウ</t>
    </rPh>
    <rPh sb="33" eb="35">
      <t>ジョウキ</t>
    </rPh>
    <rPh sb="36" eb="38">
      <t>ガイトウ</t>
    </rPh>
    <rPh sb="40" eb="42">
      <t>ナイヨウ</t>
    </rPh>
    <phoneticPr fontId="6"/>
  </si>
  <si>
    <t>取りうる値のリスト、または、範囲</t>
    <rPh sb="0" eb="1">
      <t>ト</t>
    </rPh>
    <rPh sb="4" eb="5">
      <t>アタイ</t>
    </rPh>
    <rPh sb="14" eb="16">
      <t>ハンイ</t>
    </rPh>
    <phoneticPr fontId="6"/>
  </si>
  <si>
    <t>関連するシートNo</t>
    <rPh sb="0" eb="2">
      <t>カンレン</t>
    </rPh>
    <phoneticPr fontId="6"/>
  </si>
  <si>
    <t>関連するシート名</t>
    <rPh sb="0" eb="2">
      <t>カンレン</t>
    </rPh>
    <rPh sb="7" eb="8">
      <t>メイ</t>
    </rPh>
    <phoneticPr fontId="6"/>
  </si>
  <si>
    <t>該当項目の値が他マスタ類の値を前提としている場合にその条件を記述</t>
    <rPh sb="0" eb="2">
      <t>ガイトウ</t>
    </rPh>
    <rPh sb="2" eb="4">
      <t>コウモク</t>
    </rPh>
    <rPh sb="5" eb="6">
      <t>アタイ</t>
    </rPh>
    <rPh sb="7" eb="8">
      <t>タ</t>
    </rPh>
    <rPh sb="11" eb="12">
      <t>ルイ</t>
    </rPh>
    <rPh sb="13" eb="14">
      <t>アタイ</t>
    </rPh>
    <rPh sb="15" eb="17">
      <t>ゼンテイ</t>
    </rPh>
    <rPh sb="22" eb="24">
      <t>バアイ</t>
    </rPh>
    <rPh sb="27" eb="29">
      <t>ジョウケン</t>
    </rPh>
    <rPh sb="30" eb="32">
      <t>キジュツ</t>
    </rPh>
    <phoneticPr fontId="6"/>
  </si>
  <si>
    <t>半角英数</t>
  </si>
  <si>
    <t>あり</t>
  </si>
  <si>
    <t>なし</t>
  </si>
  <si>
    <t>全半角</t>
  </si>
  <si>
    <t>No,</t>
    <phoneticPr fontId="6"/>
  </si>
  <si>
    <t>禁則文字チェック</t>
    <phoneticPr fontId="6"/>
  </si>
  <si>
    <t>あり
なし</t>
    <phoneticPr fontId="6"/>
  </si>
  <si>
    <t>会社コードチェック不要</t>
    <rPh sb="0" eb="2">
      <t>カイシャ</t>
    </rPh>
    <rPh sb="9" eb="11">
      <t>フヨウ</t>
    </rPh>
    <phoneticPr fontId="6"/>
  </si>
  <si>
    <t>最終チェック日時</t>
    <rPh sb="0" eb="2">
      <t>サイシュウ</t>
    </rPh>
    <rPh sb="6" eb="8">
      <t>ニチジ</t>
    </rPh>
    <phoneticPr fontId="6"/>
  </si>
  <si>
    <t>00</t>
    <phoneticPr fontId="6"/>
  </si>
  <si>
    <t>11</t>
    <phoneticPr fontId="6"/>
  </si>
  <si>
    <t>12</t>
    <phoneticPr fontId="6"/>
  </si>
  <si>
    <t>13</t>
    <phoneticPr fontId="6"/>
  </si>
  <si>
    <t>14</t>
    <phoneticPr fontId="6"/>
  </si>
  <si>
    <t>15</t>
    <phoneticPr fontId="6"/>
  </si>
  <si>
    <t>16</t>
    <phoneticPr fontId="6"/>
  </si>
  <si>
    <t>17</t>
    <phoneticPr fontId="6"/>
  </si>
  <si>
    <t>18</t>
    <phoneticPr fontId="6"/>
  </si>
  <si>
    <t>19</t>
    <phoneticPr fontId="6"/>
  </si>
  <si>
    <t>20</t>
    <phoneticPr fontId="6"/>
  </si>
  <si>
    <t>21</t>
    <phoneticPr fontId="6"/>
  </si>
  <si>
    <t>22</t>
    <phoneticPr fontId="6"/>
  </si>
  <si>
    <t>23</t>
    <phoneticPr fontId="6"/>
  </si>
  <si>
    <t>24</t>
    <phoneticPr fontId="6"/>
  </si>
  <si>
    <t>25</t>
    <phoneticPr fontId="6"/>
  </si>
  <si>
    <r>
      <t>2</t>
    </r>
    <r>
      <rPr>
        <sz val="11"/>
        <rFont val="ＭＳ Ｐゴシック"/>
        <family val="3"/>
        <charset val="128"/>
      </rPr>
      <t>6</t>
    </r>
    <phoneticPr fontId="6"/>
  </si>
  <si>
    <t>27</t>
    <phoneticPr fontId="6"/>
  </si>
  <si>
    <r>
      <t>2</t>
    </r>
    <r>
      <rPr>
        <sz val="11"/>
        <rFont val="ＭＳ Ｐゴシック"/>
        <family val="3"/>
        <charset val="128"/>
      </rPr>
      <t>8</t>
    </r>
    <phoneticPr fontId="6"/>
  </si>
  <si>
    <r>
      <t>2</t>
    </r>
    <r>
      <rPr>
        <sz val="11"/>
        <rFont val="ＭＳ Ｐゴシック"/>
        <family val="3"/>
        <charset val="128"/>
      </rPr>
      <t>9</t>
    </r>
    <phoneticPr fontId="6"/>
  </si>
  <si>
    <r>
      <t>30</t>
    </r>
    <r>
      <rPr>
        <sz val="11"/>
        <rFont val="ＭＳ Ｐゴシック"/>
        <family val="3"/>
        <charset val="128"/>
      </rPr>
      <t/>
    </r>
  </si>
  <si>
    <r>
      <t>31</t>
    </r>
    <r>
      <rPr>
        <sz val="11"/>
        <rFont val="ＭＳ Ｐゴシック"/>
        <family val="3"/>
        <charset val="128"/>
      </rPr>
      <t/>
    </r>
  </si>
  <si>
    <r>
      <t>32</t>
    </r>
    <r>
      <rPr>
        <sz val="11"/>
        <rFont val="ＭＳ Ｐゴシック"/>
        <family val="3"/>
        <charset val="128"/>
      </rPr>
      <t/>
    </r>
  </si>
  <si>
    <r>
      <t>33</t>
    </r>
    <r>
      <rPr>
        <sz val="11"/>
        <rFont val="ＭＳ Ｐゴシック"/>
        <family val="3"/>
        <charset val="128"/>
      </rPr>
      <t/>
    </r>
  </si>
  <si>
    <r>
      <t>34</t>
    </r>
    <r>
      <rPr>
        <sz val="11"/>
        <rFont val="ＭＳ Ｐゴシック"/>
        <family val="3"/>
        <charset val="128"/>
      </rPr>
      <t/>
    </r>
  </si>
  <si>
    <t>35</t>
    <phoneticPr fontId="6"/>
  </si>
  <si>
    <t>36</t>
    <phoneticPr fontId="6"/>
  </si>
  <si>
    <r>
      <t>3</t>
    </r>
    <r>
      <rPr>
        <sz val="11"/>
        <rFont val="ＭＳ Ｐゴシック"/>
        <family val="3"/>
        <charset val="128"/>
      </rPr>
      <t>7</t>
    </r>
    <phoneticPr fontId="6"/>
  </si>
  <si>
    <t>91</t>
    <phoneticPr fontId="6"/>
  </si>
  <si>
    <t>92</t>
    <phoneticPr fontId="6"/>
  </si>
  <si>
    <t>93</t>
    <phoneticPr fontId="6"/>
  </si>
  <si>
    <t>96</t>
    <phoneticPr fontId="6"/>
  </si>
  <si>
    <t>97</t>
    <phoneticPr fontId="6"/>
  </si>
  <si>
    <t>Ж</t>
    <phoneticPr fontId="6"/>
  </si>
  <si>
    <r>
      <t>最小</t>
    </r>
    <r>
      <rPr>
        <sz val="11"/>
        <rFont val="ＭＳ Ｐゴシック"/>
        <family val="3"/>
        <charset val="128"/>
      </rPr>
      <t>バイト長</t>
    </r>
    <r>
      <rPr>
        <sz val="11"/>
        <rFont val="ＭＳ Ｐゴシック"/>
        <family val="3"/>
        <charset val="128"/>
      </rPr>
      <t>チェック</t>
    </r>
    <rPh sb="5" eb="6">
      <t>チョウ</t>
    </rPh>
    <phoneticPr fontId="6"/>
  </si>
  <si>
    <t>全角英数カナチェック</t>
  </si>
  <si>
    <t>半角英数カナチェック</t>
    <rPh sb="0" eb="2">
      <t>ハンカク</t>
    </rPh>
    <rPh sb="2" eb="4">
      <t>エイスウ</t>
    </rPh>
    <phoneticPr fontId="6"/>
  </si>
  <si>
    <t>全半角英数カナチェック</t>
    <rPh sb="0" eb="1">
      <t>ゼン</t>
    </rPh>
    <rPh sb="1" eb="3">
      <t>ハンカク</t>
    </rPh>
    <rPh sb="3" eb="5">
      <t>エイスウ</t>
    </rPh>
    <phoneticPr fontId="6"/>
  </si>
  <si>
    <t>通貨形式チェック</t>
    <rPh sb="0" eb="2">
      <t>ツウカ</t>
    </rPh>
    <rPh sb="2" eb="4">
      <t>ケイシキ</t>
    </rPh>
    <phoneticPr fontId="6"/>
  </si>
  <si>
    <t>半角チェック</t>
    <rPh sb="0" eb="2">
      <t>ハンカク</t>
    </rPh>
    <phoneticPr fontId="6"/>
  </si>
  <si>
    <t>半角カナチェック</t>
    <rPh sb="0" eb="2">
      <t>ハンカク</t>
    </rPh>
    <phoneticPr fontId="6"/>
  </si>
  <si>
    <t>半角英数・半角アンダーバーチェック</t>
    <rPh sb="0" eb="2">
      <t>ハンカク</t>
    </rPh>
    <rPh sb="2" eb="4">
      <t>エイスウ</t>
    </rPh>
    <rPh sb="5" eb="7">
      <t>ハンカク</t>
    </rPh>
    <phoneticPr fontId="6"/>
  </si>
  <si>
    <t>日付チェック（スラッシュあり）</t>
    <rPh sb="0" eb="2">
      <t>ヒヅケ</t>
    </rPh>
    <phoneticPr fontId="6"/>
  </si>
  <si>
    <t>全角英数チェック</t>
    <rPh sb="0" eb="2">
      <t>ゼンカク</t>
    </rPh>
    <rPh sb="2" eb="4">
      <t>エイスウ</t>
    </rPh>
    <phoneticPr fontId="6"/>
  </si>
  <si>
    <t>本カラム削除修正厳禁</t>
    <rPh sb="0" eb="1">
      <t>ホン</t>
    </rPh>
    <rPh sb="4" eb="6">
      <t>サクジョ</t>
    </rPh>
    <rPh sb="6" eb="8">
      <t>シュウセイ</t>
    </rPh>
    <rPh sb="8" eb="10">
      <t>ゲンキン</t>
    </rPh>
    <phoneticPr fontId="6"/>
  </si>
  <si>
    <t>重複チェック論理式</t>
    <rPh sb="0" eb="2">
      <t>ジュウフク</t>
    </rPh>
    <rPh sb="6" eb="8">
      <t>ロンリ</t>
    </rPh>
    <rPh sb="8" eb="9">
      <t>シキ</t>
    </rPh>
    <phoneticPr fontId="6"/>
  </si>
  <si>
    <t>条件付必須論理式１</t>
    <rPh sb="0" eb="3">
      <t>ジョウケンツキ</t>
    </rPh>
    <rPh sb="3" eb="5">
      <t>ヒッス</t>
    </rPh>
    <rPh sb="5" eb="7">
      <t>ロンリ</t>
    </rPh>
    <rPh sb="7" eb="8">
      <t>シキ</t>
    </rPh>
    <phoneticPr fontId="6"/>
  </si>
  <si>
    <t>条件付必須論理式２</t>
    <rPh sb="0" eb="3">
      <t>ジョウケンツキ</t>
    </rPh>
    <rPh sb="3" eb="5">
      <t>ヒッス</t>
    </rPh>
    <rPh sb="5" eb="7">
      <t>ロンリ</t>
    </rPh>
    <rPh sb="7" eb="8">
      <t>シキ</t>
    </rPh>
    <phoneticPr fontId="6"/>
  </si>
  <si>
    <t>条件付必須論理式３</t>
    <rPh sb="0" eb="3">
      <t>ジョウケンツキ</t>
    </rPh>
    <rPh sb="3" eb="5">
      <t>ヒッス</t>
    </rPh>
    <rPh sb="5" eb="7">
      <t>ロンリ</t>
    </rPh>
    <rPh sb="7" eb="8">
      <t>シキ</t>
    </rPh>
    <phoneticPr fontId="6"/>
  </si>
  <si>
    <t>項目相関チェック１</t>
    <rPh sb="0" eb="2">
      <t>コウモク</t>
    </rPh>
    <rPh sb="2" eb="4">
      <t>ソウカン</t>
    </rPh>
    <phoneticPr fontId="6"/>
  </si>
  <si>
    <t>項目相関チェック２</t>
    <rPh sb="0" eb="2">
      <t>コウモク</t>
    </rPh>
    <rPh sb="2" eb="4">
      <t>ソウカン</t>
    </rPh>
    <phoneticPr fontId="6"/>
  </si>
  <si>
    <t>入力チェック前に会社コード必須チェックを行わない場合（全社共通入力シートなど）は"Y"を入力する。それ以外は"N"を入力する。</t>
    <rPh sb="0" eb="2">
      <t>ニュウリョク</t>
    </rPh>
    <rPh sb="6" eb="7">
      <t>マエ</t>
    </rPh>
    <rPh sb="8" eb="10">
      <t>カイシャ</t>
    </rPh>
    <rPh sb="13" eb="15">
      <t>ヒッス</t>
    </rPh>
    <rPh sb="20" eb="21">
      <t>オコナ</t>
    </rPh>
    <rPh sb="24" eb="26">
      <t>バアイ</t>
    </rPh>
    <rPh sb="27" eb="29">
      <t>ゼンシャ</t>
    </rPh>
    <rPh sb="29" eb="31">
      <t>キョウツウ</t>
    </rPh>
    <rPh sb="31" eb="33">
      <t>ニュウリョク</t>
    </rPh>
    <rPh sb="44" eb="46">
      <t>ニュウリョク</t>
    </rPh>
    <rPh sb="51" eb="53">
      <t>イガイ</t>
    </rPh>
    <rPh sb="58" eb="60">
      <t>ニュウリョク</t>
    </rPh>
    <phoneticPr fontId="6"/>
  </si>
  <si>
    <t>必須チェック</t>
    <phoneticPr fontId="6"/>
  </si>
  <si>
    <t>数字チェック</t>
    <phoneticPr fontId="6"/>
  </si>
  <si>
    <t>電話番号チェック</t>
    <phoneticPr fontId="6"/>
  </si>
  <si>
    <t>日付チェック（スラッシュなし）</t>
    <phoneticPr fontId="6"/>
  </si>
  <si>
    <t>半角英数チェック</t>
    <phoneticPr fontId="6"/>
  </si>
  <si>
    <t>最大文字長チェック</t>
    <phoneticPr fontId="6"/>
  </si>
  <si>
    <t>最大バイト長チェック</t>
    <phoneticPr fontId="6"/>
  </si>
  <si>
    <t>固定長チェック</t>
    <phoneticPr fontId="6"/>
  </si>
  <si>
    <t>全角チェック</t>
    <phoneticPr fontId="6"/>
  </si>
  <si>
    <t>全角カナチェック</t>
    <phoneticPr fontId="6"/>
  </si>
  <si>
    <t>有効値チェック（範囲）</t>
    <phoneticPr fontId="6"/>
  </si>
  <si>
    <t>禁則文字チェック</t>
    <phoneticPr fontId="6"/>
  </si>
  <si>
    <t>全銀協チェック</t>
    <phoneticPr fontId="6"/>
  </si>
  <si>
    <t>有効値チェック
（リスト）</t>
    <phoneticPr fontId="6"/>
  </si>
  <si>
    <t>ｱｲｳｴｵｶｷｸｹｺｻｼｽｾｿﾀﾁﾂﾃﾄﾅﾆﾇﾈﾉﾊﾋﾌﾍﾎﾏﾐﾑﾒﾓﾔﾕﾖﾗﾘﾙﾚﾛﾜﾝﾞﾟ</t>
    <phoneticPr fontId="6"/>
  </si>
  <si>
    <t>(),-./</t>
    <phoneticPr fontId="6"/>
  </si>
  <si>
    <t>データ決定者</t>
    <phoneticPr fontId="6"/>
  </si>
  <si>
    <t>使用目的</t>
    <rPh sb="0" eb="2">
      <t>シヨウ</t>
    </rPh>
    <rPh sb="2" eb="4">
      <t>モクテキ</t>
    </rPh>
    <phoneticPr fontId="6"/>
  </si>
  <si>
    <t>項目説明</t>
    <rPh sb="0" eb="2">
      <t>コウモク</t>
    </rPh>
    <rPh sb="2" eb="4">
      <t>セツメイ</t>
    </rPh>
    <phoneticPr fontId="6"/>
  </si>
  <si>
    <t>設定値</t>
    <rPh sb="0" eb="2">
      <t>セッテイ</t>
    </rPh>
    <rPh sb="2" eb="3">
      <t>チ</t>
    </rPh>
    <phoneticPr fontId="6"/>
  </si>
  <si>
    <t>入力サンプル</t>
    <rPh sb="0" eb="2">
      <t>ニュウリョク</t>
    </rPh>
    <phoneticPr fontId="6"/>
  </si>
  <si>
    <t>各項目の使用目的（当該マスタ項目を参照する入力系画面、機能処理等）を記述</t>
    <rPh sb="0" eb="1">
      <t>カク</t>
    </rPh>
    <rPh sb="1" eb="3">
      <t>コウモク</t>
    </rPh>
    <rPh sb="4" eb="6">
      <t>シヨウ</t>
    </rPh>
    <rPh sb="6" eb="8">
      <t>モクテキ</t>
    </rPh>
    <rPh sb="9" eb="11">
      <t>トウガイ</t>
    </rPh>
    <rPh sb="14" eb="16">
      <t>コウモク</t>
    </rPh>
    <rPh sb="17" eb="19">
      <t>サンショウ</t>
    </rPh>
    <rPh sb="21" eb="23">
      <t>ニュウリョク</t>
    </rPh>
    <rPh sb="23" eb="24">
      <t>ケイ</t>
    </rPh>
    <rPh sb="24" eb="26">
      <t>ガメン</t>
    </rPh>
    <rPh sb="27" eb="29">
      <t>キノウ</t>
    </rPh>
    <rPh sb="29" eb="31">
      <t>ショリ</t>
    </rPh>
    <rPh sb="31" eb="32">
      <t>ナド</t>
    </rPh>
    <rPh sb="34" eb="36">
      <t>キジュツ</t>
    </rPh>
    <phoneticPr fontId="6"/>
  </si>
  <si>
    <t>登録する項目の意味・説明を記述</t>
    <rPh sb="0" eb="2">
      <t>トウロク</t>
    </rPh>
    <rPh sb="4" eb="6">
      <t>コウモク</t>
    </rPh>
    <rPh sb="7" eb="9">
      <t>イミ</t>
    </rPh>
    <rPh sb="10" eb="12">
      <t>セツメイ</t>
    </rPh>
    <rPh sb="13" eb="15">
      <t>キジュツ</t>
    </rPh>
    <phoneticPr fontId="6"/>
  </si>
  <si>
    <t>入力のサンプル</t>
    <rPh sb="0" eb="2">
      <t>ニュウリョク</t>
    </rPh>
    <phoneticPr fontId="6"/>
  </si>
  <si>
    <t>必須
条件付き必須
任意</t>
    <rPh sb="0" eb="2">
      <t>ヒッス</t>
    </rPh>
    <rPh sb="3" eb="5">
      <t>ジョウケン</t>
    </rPh>
    <rPh sb="5" eb="6">
      <t>ツ</t>
    </rPh>
    <rPh sb="7" eb="9">
      <t>ヒッス</t>
    </rPh>
    <rPh sb="10" eb="12">
      <t>ニンイ</t>
    </rPh>
    <phoneticPr fontId="6"/>
  </si>
  <si>
    <t>登録の形式</t>
    <rPh sb="0" eb="2">
      <t>トウロク</t>
    </rPh>
    <rPh sb="3" eb="5">
      <t>ケイシキ</t>
    </rPh>
    <phoneticPr fontId="6"/>
  </si>
  <si>
    <t>項目名</t>
    <rPh sb="0" eb="2">
      <t>コウモク</t>
    </rPh>
    <rPh sb="2" eb="3">
      <t>メイ</t>
    </rPh>
    <phoneticPr fontId="6"/>
  </si>
  <si>
    <t>インタフェースの項目名を記述</t>
    <rPh sb="8" eb="10">
      <t>コウモク</t>
    </rPh>
    <rPh sb="10" eb="11">
      <t>メイ</t>
    </rPh>
    <rPh sb="12" eb="14">
      <t>キジュツ</t>
    </rPh>
    <phoneticPr fontId="6"/>
  </si>
  <si>
    <t>属性</t>
    <rPh sb="0" eb="2">
      <t>ゾクセイ</t>
    </rPh>
    <phoneticPr fontId="6"/>
  </si>
  <si>
    <t>任意</t>
  </si>
  <si>
    <t>必須</t>
  </si>
  <si>
    <t>データ決定者</t>
    <rPh sb="3" eb="5">
      <t>ケッテイ</t>
    </rPh>
    <rPh sb="5" eb="6">
      <t>シャ</t>
    </rPh>
    <phoneticPr fontId="6"/>
  </si>
  <si>
    <t>データの決定者
(CW/BA/各社)</t>
    <rPh sb="4" eb="7">
      <t>ケッテイシャ</t>
    </rPh>
    <rPh sb="15" eb="17">
      <t>カクシャ</t>
    </rPh>
    <phoneticPr fontId="6"/>
  </si>
  <si>
    <t>必須区分</t>
    <rPh sb="0" eb="2">
      <t>ヒッス</t>
    </rPh>
    <rPh sb="2" eb="4">
      <t>クブン</t>
    </rPh>
    <phoneticPr fontId="6"/>
  </si>
  <si>
    <t>備考</t>
    <rPh sb="0" eb="2">
      <t>ビコウ</t>
    </rPh>
    <phoneticPr fontId="6"/>
  </si>
  <si>
    <t>見直し作業履歴</t>
    <rPh sb="0" eb="2">
      <t>ミナオ</t>
    </rPh>
    <rPh sb="3" eb="5">
      <t>サギョウ</t>
    </rPh>
    <rPh sb="5" eb="7">
      <t>リレキ</t>
    </rPh>
    <phoneticPr fontId="6"/>
  </si>
  <si>
    <t>列</t>
    <rPh sb="0" eb="1">
      <t>レツ</t>
    </rPh>
    <phoneticPr fontId="6"/>
  </si>
  <si>
    <t>情報</t>
    <rPh sb="0" eb="2">
      <t>ジョウホウ</t>
    </rPh>
    <phoneticPr fontId="6"/>
  </si>
  <si>
    <t>1行：チェックID
2行：チェック内容
3列：項目名</t>
    <rPh sb="1" eb="2">
      <t>ギョウ</t>
    </rPh>
    <rPh sb="11" eb="12">
      <t>ギョウ</t>
    </rPh>
    <rPh sb="17" eb="19">
      <t>ナイヨウ</t>
    </rPh>
    <rPh sb="21" eb="22">
      <t>レツ</t>
    </rPh>
    <rPh sb="23" eb="25">
      <t>コウモク</t>
    </rPh>
    <rPh sb="25" eb="26">
      <t>メイ</t>
    </rPh>
    <phoneticPr fontId="6"/>
  </si>
  <si>
    <t>入力規則
種別</t>
    <rPh sb="5" eb="7">
      <t>シュベツ</t>
    </rPh>
    <phoneticPr fontId="6"/>
  </si>
  <si>
    <t>入力規則
設定値</t>
    <rPh sb="5" eb="8">
      <t>セッテイチ</t>
    </rPh>
    <phoneticPr fontId="6"/>
  </si>
  <si>
    <t>固定値</t>
    <rPh sb="0" eb="3">
      <t>コテイチ</t>
    </rPh>
    <phoneticPr fontId="6"/>
  </si>
  <si>
    <t>重複チェック</t>
    <rPh sb="0" eb="2">
      <t>チョウフク</t>
    </rPh>
    <phoneticPr fontId="6"/>
  </si>
  <si>
    <t>条件付
必須／入力不可チェック
（申請区分）</t>
    <rPh sb="0" eb="2">
      <t>ジョウケン</t>
    </rPh>
    <rPh sb="2" eb="3">
      <t>ツキ</t>
    </rPh>
    <rPh sb="4" eb="6">
      <t>ヒッス</t>
    </rPh>
    <rPh sb="7" eb="9">
      <t>ニュウリョク</t>
    </rPh>
    <rPh sb="9" eb="11">
      <t>フカ</t>
    </rPh>
    <rPh sb="17" eb="19">
      <t>シンセイ</t>
    </rPh>
    <rPh sb="19" eb="21">
      <t>クブン</t>
    </rPh>
    <phoneticPr fontId="6"/>
  </si>
  <si>
    <t>条件付
必須／入力不可チェック
（その他）</t>
    <rPh sb="0" eb="2">
      <t>ジョウケン</t>
    </rPh>
    <rPh sb="2" eb="3">
      <t>ツキ</t>
    </rPh>
    <rPh sb="4" eb="6">
      <t>ヒッス</t>
    </rPh>
    <rPh sb="7" eb="9">
      <t>ニュウリョク</t>
    </rPh>
    <rPh sb="9" eb="11">
      <t>フカ</t>
    </rPh>
    <rPh sb="19" eb="20">
      <t>タ</t>
    </rPh>
    <phoneticPr fontId="6"/>
  </si>
  <si>
    <t>項目相関チェック</t>
    <rPh sb="0" eb="2">
      <t>コウモク</t>
    </rPh>
    <rPh sb="2" eb="4">
      <t>ソウカン</t>
    </rPh>
    <phoneticPr fontId="6"/>
  </si>
  <si>
    <t>マスタ相関チェック</t>
    <rPh sb="3" eb="5">
      <t>ソウカン</t>
    </rPh>
    <phoneticPr fontId="6"/>
  </si>
  <si>
    <t>例外処理</t>
    <phoneticPr fontId="6"/>
  </si>
  <si>
    <t>処理内容</t>
    <rPh sb="0" eb="2">
      <t>ショリ</t>
    </rPh>
    <rPh sb="2" eb="4">
      <t>ナイヨウ</t>
    </rPh>
    <phoneticPr fontId="6"/>
  </si>
  <si>
    <t>入力シートより</t>
    <rPh sb="0" eb="2">
      <t>ニュウリョク</t>
    </rPh>
    <phoneticPr fontId="6"/>
  </si>
  <si>
    <t>事前チェックより</t>
    <rPh sb="0" eb="2">
      <t>ジゼン</t>
    </rPh>
    <phoneticPr fontId="6"/>
  </si>
  <si>
    <t>ＱＡ分析より</t>
    <rPh sb="2" eb="4">
      <t>ブンセキ</t>
    </rPh>
    <phoneticPr fontId="6"/>
  </si>
  <si>
    <t>その他</t>
    <rPh sb="2" eb="3">
      <t>タ</t>
    </rPh>
    <phoneticPr fontId="6"/>
  </si>
  <si>
    <t>非表示項目（Ｂ列の色で判定）のチェックは実行されない</t>
    <rPh sb="0" eb="3">
      <t>ヒヒョウジ</t>
    </rPh>
    <rPh sb="3" eb="5">
      <t>コウモク</t>
    </rPh>
    <rPh sb="7" eb="8">
      <t>レツ</t>
    </rPh>
    <rPh sb="9" eb="10">
      <t>イロ</t>
    </rPh>
    <rPh sb="11" eb="13">
      <t>ハンテイ</t>
    </rPh>
    <rPh sb="20" eb="22">
      <t>ジッコウ</t>
    </rPh>
    <phoneticPr fontId="6"/>
  </si>
  <si>
    <t>◎</t>
    <phoneticPr fontId="6"/>
  </si>
  <si>
    <t>ダミーカラム（計算式）をコピー</t>
    <rPh sb="7" eb="9">
      <t>ケイサン</t>
    </rPh>
    <rPh sb="9" eb="10">
      <t>シキ</t>
    </rPh>
    <phoneticPr fontId="6"/>
  </si>
  <si>
    <t>禁則文字一覧</t>
    <rPh sb="0" eb="2">
      <t>キンソク</t>
    </rPh>
    <rPh sb="2" eb="4">
      <t>モジ</t>
    </rPh>
    <rPh sb="4" eb="6">
      <t>イチラン</t>
    </rPh>
    <phoneticPr fontId="6"/>
  </si>
  <si>
    <t>パターンNo</t>
    <phoneticPr fontId="6"/>
  </si>
  <si>
    <t>チェック内容(詳細)</t>
    <rPh sb="4" eb="6">
      <t>ナイヨウ</t>
    </rPh>
    <rPh sb="7" eb="9">
      <t>ショウサイ</t>
    </rPh>
    <phoneticPr fontId="6"/>
  </si>
  <si>
    <t>チェック内容</t>
    <rPh sb="4" eb="6">
      <t>ナイヨウ</t>
    </rPh>
    <phoneticPr fontId="6"/>
  </si>
  <si>
    <t>共通-1</t>
    <rPh sb="0" eb="2">
      <t>キョウツウ</t>
    </rPh>
    <phoneticPr fontId="6"/>
  </si>
  <si>
    <t>文字末尾空白スペース(半角)</t>
    <rPh sb="0" eb="2">
      <t>モジ</t>
    </rPh>
    <rPh sb="2" eb="4">
      <t>マツビ</t>
    </rPh>
    <rPh sb="4" eb="6">
      <t>クウハク</t>
    </rPh>
    <rPh sb="11" eb="13">
      <t>ハンカク</t>
    </rPh>
    <phoneticPr fontId="6"/>
  </si>
  <si>
    <t>末尾空白(半角)</t>
    <rPh sb="0" eb="2">
      <t>マツビ</t>
    </rPh>
    <rPh sb="2" eb="4">
      <t>クウハク</t>
    </rPh>
    <rPh sb="5" eb="7">
      <t>ハンカク</t>
    </rPh>
    <phoneticPr fontId="6"/>
  </si>
  <si>
    <t>共通-2</t>
    <rPh sb="0" eb="2">
      <t>キョウツウ</t>
    </rPh>
    <phoneticPr fontId="6"/>
  </si>
  <si>
    <t>文字末尾空白スペース(全角)</t>
    <rPh sb="0" eb="2">
      <t>モジ</t>
    </rPh>
    <rPh sb="2" eb="4">
      <t>マツビ</t>
    </rPh>
    <rPh sb="4" eb="6">
      <t>クウハク</t>
    </rPh>
    <rPh sb="11" eb="13">
      <t>ゼンカク</t>
    </rPh>
    <phoneticPr fontId="6"/>
  </si>
  <si>
    <t>末尾空白(全角)</t>
    <rPh sb="0" eb="2">
      <t>マツビ</t>
    </rPh>
    <rPh sb="2" eb="4">
      <t>クウハク</t>
    </rPh>
    <rPh sb="5" eb="7">
      <t>ゼンカク</t>
    </rPh>
    <phoneticPr fontId="6"/>
  </si>
  <si>
    <t>共通-3</t>
    <rPh sb="0" eb="2">
      <t>キョウツウ</t>
    </rPh>
    <phoneticPr fontId="6"/>
  </si>
  <si>
    <t>行中に空白行</t>
    <rPh sb="0" eb="1">
      <t>ギョウ</t>
    </rPh>
    <rPh sb="1" eb="2">
      <t>チュウ</t>
    </rPh>
    <rPh sb="3" eb="5">
      <t>クウハク</t>
    </rPh>
    <rPh sb="5" eb="6">
      <t>ギョウ</t>
    </rPh>
    <phoneticPr fontId="6"/>
  </si>
  <si>
    <t>行中空白行</t>
    <rPh sb="0" eb="2">
      <t>ギョウチュウ</t>
    </rPh>
    <rPh sb="2" eb="4">
      <t>クウハク</t>
    </rPh>
    <rPh sb="4" eb="5">
      <t>ギョウ</t>
    </rPh>
    <phoneticPr fontId="6"/>
  </si>
  <si>
    <t>共通-4</t>
    <rPh sb="0" eb="2">
      <t>キョウツウ</t>
    </rPh>
    <phoneticPr fontId="6"/>
  </si>
  <si>
    <t>◆</t>
    <phoneticPr fontId="6"/>
  </si>
  <si>
    <t>全角：ダイヤ</t>
    <phoneticPr fontId="6"/>
  </si>
  <si>
    <t>共通-5</t>
    <rPh sb="0" eb="2">
      <t>キョウツウ</t>
    </rPh>
    <phoneticPr fontId="6"/>
  </si>
  <si>
    <t>～</t>
    <phoneticPr fontId="6"/>
  </si>
  <si>
    <t>全角：波</t>
    <phoneticPr fontId="6"/>
  </si>
  <si>
    <t>共通-6</t>
    <rPh sb="0" eb="2">
      <t>キョウツウ</t>
    </rPh>
    <phoneticPr fontId="6"/>
  </si>
  <si>
    <t>|</t>
    <phoneticPr fontId="6"/>
  </si>
  <si>
    <t>半角：パイプ</t>
  </si>
  <si>
    <t>共通-7</t>
    <rPh sb="0" eb="2">
      <t>キョウツウ</t>
    </rPh>
    <phoneticPr fontId="6"/>
  </si>
  <si>
    <t>,</t>
    <phoneticPr fontId="6"/>
  </si>
  <si>
    <t>半角：カンマ</t>
  </si>
  <si>
    <t>共通-8</t>
    <rPh sb="0" eb="2">
      <t>キョウツウ</t>
    </rPh>
    <phoneticPr fontId="6"/>
  </si>
  <si>
    <t>'</t>
    <phoneticPr fontId="6"/>
  </si>
  <si>
    <t>半角： ｼﾝｸﾞﾙｸｫｰﾃｰｼｮﾝ</t>
  </si>
  <si>
    <t>共通-9</t>
    <rPh sb="0" eb="2">
      <t>キョウツウ</t>
    </rPh>
    <phoneticPr fontId="6"/>
  </si>
  <si>
    <t>"</t>
    <phoneticPr fontId="6"/>
  </si>
  <si>
    <t>半角：ﾀﾞﾌﾞﾙｸｫｰﾃｰｼｮﾝ</t>
  </si>
  <si>
    <t>共通-10</t>
    <rPh sb="0" eb="2">
      <t>キョウツウ</t>
    </rPh>
    <phoneticPr fontId="6"/>
  </si>
  <si>
    <t>&amp;</t>
    <phoneticPr fontId="6"/>
  </si>
  <si>
    <t>半角：アンパーサンド</t>
  </si>
  <si>
    <t>共通-11</t>
    <rPh sb="0" eb="2">
      <t>キョウツウ</t>
    </rPh>
    <phoneticPr fontId="6"/>
  </si>
  <si>
    <t>①②③④⑤⑥⑦⑧⑨⑩⑪⑫⑬⑭⑮⑯⑰⑱⑲⑳ⅠⅡⅢⅣⅤⅥⅦⅧⅨⅩ㍉㌔㌢㍍㌘㌧㌃㌶㍑㍗㌍㌦㌣㌫㍊㌻㎜㎝㎞㎎㎏㏄㎡㍻〝〟№㏍℡㊤㊥㊦㊧㊨㈱㈲㈹㍾㍽㍼≒≡∫∮∑√⊥∠∟⊿∵∩∪｡｢｣､･</t>
    <phoneticPr fontId="6"/>
  </si>
  <si>
    <t>特殊記号</t>
  </si>
  <si>
    <t>共通-12</t>
    <rPh sb="0" eb="2">
      <t>キョウツウ</t>
    </rPh>
    <phoneticPr fontId="6"/>
  </si>
  <si>
    <t>有効バイト数</t>
    <rPh sb="0" eb="2">
      <t>ユウコウ</t>
    </rPh>
    <rPh sb="5" eb="6">
      <t>スウ</t>
    </rPh>
    <phoneticPr fontId="6"/>
  </si>
  <si>
    <t>バイト長拡張係数</t>
    <rPh sb="3" eb="4">
      <t>チョウ</t>
    </rPh>
    <rPh sb="4" eb="6">
      <t>カクチョウ</t>
    </rPh>
    <rPh sb="6" eb="8">
      <t>ケイスウ</t>
    </rPh>
    <phoneticPr fontId="6"/>
  </si>
  <si>
    <t>SJIS表記</t>
    <rPh sb="4" eb="6">
      <t>ヒョウキ</t>
    </rPh>
    <phoneticPr fontId="6"/>
  </si>
  <si>
    <t>Y</t>
  </si>
  <si>
    <t>0002</t>
  </si>
  <si>
    <t>1</t>
  </si>
  <si>
    <t>親</t>
  </si>
  <si>
    <t>レベル</t>
  </si>
  <si>
    <t>条件付き必須</t>
  </si>
  <si>
    <t>NTTグループ会社を一意に識別するコード</t>
  </si>
  <si>
    <t>C</t>
  </si>
  <si>
    <t>事業区分レベル</t>
  </si>
  <si>
    <t>収益フラグ</t>
  </si>
  <si>
    <t>費用フラグ</t>
  </si>
  <si>
    <t>サービスコード</t>
  </si>
  <si>
    <t>1000000000</t>
  </si>
  <si>
    <t>1999999999</t>
  </si>
  <si>
    <t>プロセス/事業区分の組み合わせなどに利用予定</t>
  </si>
  <si>
    <t>フラグありの場合収入科目を計上する際に利用可能</t>
  </si>
  <si>
    <t>フラグありの場合費用科目を計上する際に利用可能</t>
  </si>
  <si>
    <t>フラグありの場合固定資産に付与する際に利用</t>
  </si>
  <si>
    <t>フラグありの場合区分経理配賦で使用する際に利用</t>
  </si>
  <si>
    <t>税金コードを束ねる税金グループコード</t>
  </si>
  <si>
    <t>プロダクトコード</t>
  </si>
  <si>
    <t>123456</t>
  </si>
  <si>
    <t>12345</t>
  </si>
  <si>
    <t>コード値の有効判断に利用</t>
  </si>
  <si>
    <t>Y:使用可能、N:使用不可</t>
  </si>
  <si>
    <t>親値／子値の区分</t>
  </si>
  <si>
    <t>階層構造の参考情報</t>
  </si>
  <si>
    <t>親値の階層レベルを指定</t>
  </si>
  <si>
    <t>集計する対象を指定</t>
  </si>
  <si>
    <t>集計する値の開始値を判断</t>
  </si>
  <si>
    <t>集計する値の終了値を判断</t>
  </si>
  <si>
    <t>費用仕訳に設定する粒度のサービスコード</t>
  </si>
  <si>
    <t>事業区分に対応するサービスを設定</t>
  </si>
  <si>
    <t>売上仕訳で利用可能なサービスコードの場合"Y"を設定</t>
  </si>
  <si>
    <t>費用仕訳で利用可能なサービスコードの場合"Y"を設定</t>
  </si>
  <si>
    <t>固定資産で利用可能なサービスコードの場合"Y"を設定</t>
  </si>
  <si>
    <t>区分経理で利用可能なサービスコードの場合"Y"を設定</t>
  </si>
  <si>
    <t>WBSマスタに登録できるか否かの制御フラグ</t>
  </si>
  <si>
    <t>WBSマスタに登録可能なサービス値は"Y"を設定</t>
  </si>
  <si>
    <t>データHUBにおける旧新コード変換に利用</t>
  </si>
  <si>
    <t>事業区分コード</t>
  </si>
  <si>
    <t>日付（スラッシュなし）</t>
  </si>
  <si>
    <t>84A</t>
  </si>
  <si>
    <t>90A</t>
  </si>
  <si>
    <t>94A</t>
  </si>
  <si>
    <t>04A</t>
  </si>
  <si>
    <t>33A</t>
  </si>
  <si>
    <t>23A</t>
  </si>
  <si>
    <t>40A</t>
  </si>
  <si>
    <t>20A</t>
  </si>
  <si>
    <t>44A</t>
  </si>
  <si>
    <t>83A</t>
  </si>
  <si>
    <t>82A</t>
  </si>
  <si>
    <t>85A</t>
  </si>
  <si>
    <t>60A</t>
  </si>
  <si>
    <t>21A</t>
  </si>
  <si>
    <t>27A</t>
  </si>
  <si>
    <t>88A</t>
  </si>
  <si>
    <t>92A</t>
  </si>
  <si>
    <t>86A</t>
  </si>
  <si>
    <t>25A</t>
  </si>
  <si>
    <t>37A</t>
  </si>
  <si>
    <t>35A</t>
  </si>
  <si>
    <t>26A</t>
  </si>
  <si>
    <t>31A</t>
  </si>
  <si>
    <t>63A</t>
  </si>
  <si>
    <t>89A</t>
  </si>
  <si>
    <t>80A</t>
  </si>
  <si>
    <t>96A</t>
  </si>
  <si>
    <t>77A</t>
  </si>
  <si>
    <t>73A</t>
  </si>
  <si>
    <t>04C</t>
  </si>
  <si>
    <t>A030</t>
  </si>
  <si>
    <t>A050</t>
  </si>
  <si>
    <t>A080</t>
  </si>
  <si>
    <t>A0A0</t>
  </si>
  <si>
    <t>A0K0</t>
  </si>
  <si>
    <t>A130</t>
  </si>
  <si>
    <t>A150</t>
  </si>
  <si>
    <t>A180</t>
  </si>
  <si>
    <t>A1A0</t>
  </si>
  <si>
    <t>A1K0</t>
  </si>
  <si>
    <t>A2A0</t>
  </si>
  <si>
    <t>A4A0</t>
  </si>
  <si>
    <t>A300</t>
  </si>
  <si>
    <t>C300</t>
  </si>
  <si>
    <t>軽減</t>
    <rPh sb="0" eb="2">
      <t>ケイゲン</t>
    </rPh>
    <phoneticPr fontId="47"/>
  </si>
  <si>
    <t>免税</t>
    <rPh sb="0" eb="2">
      <t>メンゼイ</t>
    </rPh>
    <phoneticPr fontId="47"/>
  </si>
  <si>
    <t>その他取引</t>
    <rPh sb="2" eb="3">
      <t>タ</t>
    </rPh>
    <rPh sb="3" eb="5">
      <t>トリヒキ</t>
    </rPh>
    <phoneticPr fontId="47"/>
  </si>
  <si>
    <t>03A</t>
  </si>
  <si>
    <t>●</t>
  </si>
  <si>
    <t>06A</t>
  </si>
  <si>
    <t>10A</t>
  </si>
  <si>
    <t>11A</t>
  </si>
  <si>
    <t>12A</t>
  </si>
  <si>
    <t>13A</t>
  </si>
  <si>
    <t>14A</t>
  </si>
  <si>
    <t>15A</t>
  </si>
  <si>
    <t>16A</t>
  </si>
  <si>
    <t>17A</t>
  </si>
  <si>
    <t>22A</t>
  </si>
  <si>
    <t>24A</t>
  </si>
  <si>
    <t>28A</t>
  </si>
  <si>
    <t>30A</t>
  </si>
  <si>
    <t>32A</t>
  </si>
  <si>
    <t>34A</t>
  </si>
  <si>
    <t>36A</t>
  </si>
  <si>
    <t>41A</t>
  </si>
  <si>
    <t>42A</t>
  </si>
  <si>
    <t>43A</t>
  </si>
  <si>
    <t>45A</t>
  </si>
  <si>
    <t>46A</t>
  </si>
  <si>
    <t>47A</t>
  </si>
  <si>
    <t>61A</t>
  </si>
  <si>
    <t>62A</t>
  </si>
  <si>
    <t>64A</t>
  </si>
  <si>
    <t>65A</t>
  </si>
  <si>
    <t>66A</t>
  </si>
  <si>
    <t>67A</t>
  </si>
  <si>
    <t>70A</t>
  </si>
  <si>
    <t>71A</t>
  </si>
  <si>
    <t>72A</t>
  </si>
  <si>
    <t>74A</t>
  </si>
  <si>
    <t>75A</t>
  </si>
  <si>
    <t>76A</t>
  </si>
  <si>
    <t>78A</t>
  </si>
  <si>
    <t>79A</t>
  </si>
  <si>
    <t>81A</t>
  </si>
  <si>
    <t>87A</t>
  </si>
  <si>
    <t>91A</t>
  </si>
  <si>
    <t>93A</t>
  </si>
  <si>
    <t>95A</t>
  </si>
  <si>
    <t>97A</t>
  </si>
  <si>
    <t>●が利用可能な税金コード</t>
    <rPh sb="2" eb="4">
      <t>リヨウ</t>
    </rPh>
    <rPh sb="4" eb="6">
      <t>カノウ</t>
    </rPh>
    <rPh sb="7" eb="9">
      <t>ゼイキン</t>
    </rPh>
    <phoneticPr fontId="47"/>
  </si>
  <si>
    <t>B030</t>
  </si>
  <si>
    <t>B050</t>
  </si>
  <si>
    <t>B080</t>
  </si>
  <si>
    <t>B0A0</t>
  </si>
  <si>
    <t>B0K0</t>
  </si>
  <si>
    <t>B130</t>
  </si>
  <si>
    <t>B150</t>
  </si>
  <si>
    <t>B180</t>
  </si>
  <si>
    <t>B1A0</t>
  </si>
  <si>
    <t>B1K0</t>
  </si>
  <si>
    <t>B4A0</t>
  </si>
  <si>
    <t>B4K0</t>
  </si>
  <si>
    <t>B6A0</t>
  </si>
  <si>
    <t>B6K0</t>
  </si>
  <si>
    <t>B300</t>
  </si>
  <si>
    <t>F0</t>
  </si>
  <si>
    <t>04B</t>
  </si>
  <si>
    <t>05B</t>
  </si>
  <si>
    <t>20B</t>
  </si>
  <si>
    <t>22B</t>
  </si>
  <si>
    <t>24B</t>
  </si>
  <si>
    <t>26B</t>
  </si>
  <si>
    <t>40B</t>
  </si>
  <si>
    <t>42B</t>
  </si>
  <si>
    <t>44B</t>
  </si>
  <si>
    <t>46B</t>
  </si>
  <si>
    <t>60B</t>
  </si>
  <si>
    <t>62B</t>
  </si>
  <si>
    <t>64B</t>
  </si>
  <si>
    <t>66B</t>
  </si>
  <si>
    <t>K0B</t>
  </si>
  <si>
    <t>K2B</t>
  </si>
  <si>
    <t>K4B</t>
  </si>
  <si>
    <t>K6B</t>
  </si>
  <si>
    <t>課税対象外</t>
    <rPh sb="0" eb="2">
      <t>カゼイ</t>
    </rPh>
    <rPh sb="2" eb="4">
      <t>タイショウ</t>
    </rPh>
    <rPh sb="4" eb="5">
      <t>ガイ</t>
    </rPh>
    <phoneticPr fontId="47"/>
  </si>
  <si>
    <t>B031</t>
  </si>
  <si>
    <t>B051</t>
  </si>
  <si>
    <t>B081</t>
  </si>
  <si>
    <t>B0A1</t>
  </si>
  <si>
    <t>B0K1</t>
  </si>
  <si>
    <t>B032</t>
  </si>
  <si>
    <t>B052</t>
  </si>
  <si>
    <t>B082</t>
  </si>
  <si>
    <t>B0A2</t>
  </si>
  <si>
    <t>B0K2</t>
  </si>
  <si>
    <t>B033</t>
  </si>
  <si>
    <t>B053</t>
  </si>
  <si>
    <t>B083</t>
  </si>
  <si>
    <t>B0A3</t>
  </si>
  <si>
    <t>B0K3</t>
  </si>
  <si>
    <t>B131</t>
  </si>
  <si>
    <t>B151</t>
  </si>
  <si>
    <t>B181</t>
  </si>
  <si>
    <t>B1A1</t>
  </si>
  <si>
    <t>B1K1</t>
  </si>
  <si>
    <t>B132</t>
  </si>
  <si>
    <t>B152</t>
  </si>
  <si>
    <t>B182</t>
  </si>
  <si>
    <t>B1A2</t>
  </si>
  <si>
    <t>B1K2</t>
  </si>
  <si>
    <t>B133</t>
  </si>
  <si>
    <t>B153</t>
  </si>
  <si>
    <t>B183</t>
  </si>
  <si>
    <t>B1A3</t>
  </si>
  <si>
    <t>B1K3</t>
  </si>
  <si>
    <t>B4A1</t>
  </si>
  <si>
    <t>B4K1</t>
  </si>
  <si>
    <t>B4A2</t>
  </si>
  <si>
    <t>B4K2</t>
  </si>
  <si>
    <t>B4A3</t>
  </si>
  <si>
    <t>B4K3</t>
  </si>
  <si>
    <t>B6A1</t>
  </si>
  <si>
    <t>B6K1</t>
  </si>
  <si>
    <t>B6A2</t>
  </si>
  <si>
    <t>B6K2</t>
  </si>
  <si>
    <t>B6A3</t>
  </si>
  <si>
    <t>B6K3</t>
  </si>
  <si>
    <t>04D</t>
  </si>
  <si>
    <t>44D</t>
  </si>
  <si>
    <t>貸倒損失x％
（課税）</t>
    <phoneticPr fontId="47"/>
  </si>
  <si>
    <t>D030</t>
  </si>
  <si>
    <t>D050</t>
  </si>
  <si>
    <t>D080</t>
  </si>
  <si>
    <t>D0A0</t>
  </si>
  <si>
    <t>D0K0</t>
  </si>
  <si>
    <t>D300</t>
  </si>
  <si>
    <t>E0</t>
  </si>
  <si>
    <t>ALL</t>
  </si>
  <si>
    <t>【参考】バイト数欄の文字長</t>
    <rPh sb="1" eb="3">
      <t>サンコウ</t>
    </rPh>
    <rPh sb="7" eb="8">
      <t>スウ</t>
    </rPh>
    <rPh sb="8" eb="9">
      <t>ラン</t>
    </rPh>
    <rPh sb="10" eb="12">
      <t>モジ</t>
    </rPh>
    <rPh sb="12" eb="13">
      <t>チョウ</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</si>
  <si>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</si>
  <si>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</si>
  <si>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～文字有無
（0：なし、1：以下、2：以上、
3：範囲）</t>
    <rPh sb="1" eb="3">
      <t>モジ</t>
    </rPh>
    <rPh sb="14" eb="16">
      <t>イカ</t>
    </rPh>
    <rPh sb="19" eb="21">
      <t>イジョウ</t>
    </rPh>
    <rPh sb="25" eb="27">
      <t>ハンイ</t>
    </rPh>
    <phoneticPr fontId="6"/>
  </si>
  <si>
    <t>【参考】～文字位置
※最大／最小バイト長チェック対象の場合</t>
    <rPh sb="5" eb="7">
      <t>モジ</t>
    </rPh>
    <rPh sb="7" eb="9">
      <t>イチ</t>
    </rPh>
    <rPh sb="11" eb="13">
      <t>サイダイ</t>
    </rPh>
    <rPh sb="14" eb="16">
      <t>サイショウ</t>
    </rPh>
    <rPh sb="19" eb="20">
      <t>チョウ</t>
    </rPh>
    <rPh sb="24" eb="26">
      <t>タイショウ</t>
    </rPh>
    <rPh sb="27" eb="29">
      <t>バアイ</t>
    </rPh>
    <phoneticPr fontId="6"/>
  </si>
  <si>
    <t>38</t>
  </si>
  <si>
    <t>最大文字数チェック</t>
    <rPh sb="0" eb="2">
      <t>サイダイ</t>
    </rPh>
    <rPh sb="2" eb="5">
      <t>モジスウ</t>
    </rPh>
    <phoneticPr fontId="9"/>
  </si>
  <si>
    <t>文字</t>
    <rPh sb="0" eb="2">
      <t>モジ</t>
    </rPh>
    <phoneticPr fontId="48"/>
  </si>
  <si>
    <t>62進数</t>
    <rPh sb="2" eb="4">
      <t>シンスウ</t>
    </rPh>
    <phoneticPr fontId="48"/>
  </si>
  <si>
    <t>0</t>
    <phoneticPr fontId="48"/>
  </si>
  <si>
    <t>1</t>
    <phoneticPr fontId="48"/>
  </si>
  <si>
    <t>2</t>
    <phoneticPr fontId="48"/>
  </si>
  <si>
    <t>3</t>
    <phoneticPr fontId="48"/>
  </si>
  <si>
    <t>4</t>
    <phoneticPr fontId="48"/>
  </si>
  <si>
    <t>5</t>
    <phoneticPr fontId="48"/>
  </si>
  <si>
    <t>6</t>
    <phoneticPr fontId="48"/>
  </si>
  <si>
    <t>7</t>
    <phoneticPr fontId="48"/>
  </si>
  <si>
    <t>8</t>
    <phoneticPr fontId="48"/>
  </si>
  <si>
    <t>9</t>
    <phoneticPr fontId="48"/>
  </si>
  <si>
    <t>A</t>
    <phoneticPr fontId="48"/>
  </si>
  <si>
    <t>B</t>
    <phoneticPr fontId="48"/>
  </si>
  <si>
    <t>C</t>
    <phoneticPr fontId="48"/>
  </si>
  <si>
    <t>D</t>
    <phoneticPr fontId="48"/>
  </si>
  <si>
    <t>E</t>
    <phoneticPr fontId="48"/>
  </si>
  <si>
    <t>F</t>
    <phoneticPr fontId="48"/>
  </si>
  <si>
    <t>G</t>
    <phoneticPr fontId="48"/>
  </si>
  <si>
    <t>H</t>
    <phoneticPr fontId="48"/>
  </si>
  <si>
    <t>I</t>
    <phoneticPr fontId="48"/>
  </si>
  <si>
    <t>J</t>
    <phoneticPr fontId="48"/>
  </si>
  <si>
    <t>K</t>
    <phoneticPr fontId="48"/>
  </si>
  <si>
    <t>L</t>
    <phoneticPr fontId="48"/>
  </si>
  <si>
    <t>M</t>
    <phoneticPr fontId="48"/>
  </si>
  <si>
    <t>N</t>
    <phoneticPr fontId="48"/>
  </si>
  <si>
    <t>O</t>
    <phoneticPr fontId="48"/>
  </si>
  <si>
    <t>P</t>
    <phoneticPr fontId="48"/>
  </si>
  <si>
    <t>Q</t>
    <phoneticPr fontId="48"/>
  </si>
  <si>
    <t>R</t>
    <phoneticPr fontId="48"/>
  </si>
  <si>
    <t>S</t>
    <phoneticPr fontId="48"/>
  </si>
  <si>
    <t>T</t>
    <phoneticPr fontId="48"/>
  </si>
  <si>
    <t>U</t>
    <phoneticPr fontId="48"/>
  </si>
  <si>
    <t>V</t>
    <phoneticPr fontId="48"/>
  </si>
  <si>
    <t>W</t>
    <phoneticPr fontId="48"/>
  </si>
  <si>
    <t>X</t>
    <phoneticPr fontId="48"/>
  </si>
  <si>
    <t>Y</t>
    <phoneticPr fontId="48"/>
  </si>
  <si>
    <t>Z</t>
    <phoneticPr fontId="48"/>
  </si>
  <si>
    <t>a</t>
  </si>
  <si>
    <t>b</t>
  </si>
  <si>
    <t>c</t>
  </si>
  <si>
    <t>d</t>
  </si>
  <si>
    <t>e</t>
  </si>
  <si>
    <t>f</t>
  </si>
  <si>
    <t>g</t>
  </si>
  <si>
    <t>h</t>
  </si>
  <si>
    <t>i</t>
  </si>
  <si>
    <t>j</t>
  </si>
  <si>
    <t>k</t>
  </si>
  <si>
    <t>l</t>
  </si>
  <si>
    <t>m</t>
  </si>
  <si>
    <t>n</t>
  </si>
  <si>
    <t>o</t>
  </si>
  <si>
    <t>p</t>
  </si>
  <si>
    <t>q</t>
  </si>
  <si>
    <t>r</t>
  </si>
  <si>
    <t>s</t>
  </si>
  <si>
    <t>t</t>
  </si>
  <si>
    <t>u</t>
  </si>
  <si>
    <t>v</t>
  </si>
  <si>
    <t>w</t>
  </si>
  <si>
    <t>x</t>
    <phoneticPr fontId="48"/>
  </si>
  <si>
    <t>y</t>
    <phoneticPr fontId="48"/>
  </si>
  <si>
    <t>z</t>
  </si>
  <si>
    <t>○</t>
  </si>
  <si>
    <t>■変換表（集計範囲FROM-TO比較）</t>
    <rPh sb="1" eb="4">
      <t>ヘンカンヒョウ</t>
    </rPh>
    <rPh sb="5" eb="9">
      <t>シュウケイハンイ</t>
    </rPh>
    <rPh sb="16" eb="18">
      <t>ヒカク</t>
    </rPh>
    <phoneticPr fontId="48"/>
  </si>
  <si>
    <t>文字コード(ASCII）</t>
    <rPh sb="0" eb="2">
      <t>モジ</t>
    </rPh>
    <phoneticPr fontId="48"/>
  </si>
  <si>
    <t>64D</t>
  </si>
  <si>
    <t>その他（不動産以外）／物品販売</t>
  </si>
  <si>
    <t>1:変更</t>
  </si>
  <si>
    <t>-</t>
  </si>
  <si>
    <t>NTTグループ会社コード</t>
    <rPh sb="7" eb="9">
      <t>カイシャ</t>
    </rPh>
    <phoneticPr fontId="6"/>
  </si>
  <si>
    <t>サービスコード
（値）</t>
    <rPh sb="9" eb="10">
      <t>アタイ</t>
    </rPh>
    <phoneticPr fontId="11"/>
  </si>
  <si>
    <t>サービスコード名称
（摘要）</t>
    <rPh sb="7" eb="9">
      <t>メイショウ</t>
    </rPh>
    <rPh sb="11" eb="13">
      <t>テキヨウ</t>
    </rPh>
    <phoneticPr fontId="6"/>
  </si>
  <si>
    <t>使用可能</t>
    <rPh sb="0" eb="2">
      <t>シヨウ</t>
    </rPh>
    <rPh sb="2" eb="4">
      <t>カノウ</t>
    </rPh>
    <phoneticPr fontId="11"/>
  </si>
  <si>
    <t>有効開始日</t>
    <rPh sb="0" eb="2">
      <t>ユウコウ</t>
    </rPh>
    <rPh sb="2" eb="5">
      <t>カイシビ</t>
    </rPh>
    <phoneticPr fontId="6"/>
  </si>
  <si>
    <t>有効終了日</t>
    <rPh sb="0" eb="2">
      <t>ユウコウ</t>
    </rPh>
    <rPh sb="2" eb="4">
      <t>シュウリョウ</t>
    </rPh>
    <rPh sb="4" eb="5">
      <t>ビ</t>
    </rPh>
    <phoneticPr fontId="6"/>
  </si>
  <si>
    <t>数値</t>
  </si>
  <si>
    <t>親値のみ</t>
    <rPh sb="0" eb="1">
      <t>オヤ</t>
    </rPh>
    <rPh sb="1" eb="2">
      <t>チ</t>
    </rPh>
    <phoneticPr fontId="11"/>
  </si>
  <si>
    <t>集計範囲（FROM）</t>
    <rPh sb="0" eb="2">
      <t>シュウケイ</t>
    </rPh>
    <rPh sb="2" eb="4">
      <t>ハンイ</t>
    </rPh>
    <phoneticPr fontId="11"/>
  </si>
  <si>
    <t>集計範囲（TO）</t>
    <rPh sb="0" eb="2">
      <t>シュウケイ</t>
    </rPh>
    <rPh sb="2" eb="4">
      <t>ハンイ</t>
    </rPh>
    <phoneticPr fontId="11"/>
  </si>
  <si>
    <t>費用仕訳レベル</t>
    <rPh sb="0" eb="2">
      <t>ヒヨウ</t>
    </rPh>
    <rPh sb="2" eb="4">
      <t>シワケ</t>
    </rPh>
    <phoneticPr fontId="36"/>
  </si>
  <si>
    <t>固定資産フラグ</t>
    <rPh sb="2" eb="4">
      <t>シサン</t>
    </rPh>
    <phoneticPr fontId="36"/>
  </si>
  <si>
    <t>区分経理フラグ</t>
    <rPh sb="2" eb="4">
      <t>ケイリ</t>
    </rPh>
    <phoneticPr fontId="36"/>
  </si>
  <si>
    <t>税金グループ</t>
    <rPh sb="0" eb="2">
      <t>ゼイキン</t>
    </rPh>
    <phoneticPr fontId="36"/>
  </si>
  <si>
    <t>WBSマスタ登録可否フラグ</t>
    <rPh sb="6" eb="8">
      <t>トウロク</t>
    </rPh>
    <rPh sb="8" eb="10">
      <t>カヒ</t>
    </rPh>
    <phoneticPr fontId="36"/>
  </si>
  <si>
    <t>旧プロダクト</t>
    <rPh sb="0" eb="1">
      <t>キュウ</t>
    </rPh>
    <phoneticPr fontId="36"/>
  </si>
  <si>
    <t>旧事業区分</t>
    <rPh sb="0" eb="1">
      <t>キュウ</t>
    </rPh>
    <rPh sb="1" eb="3">
      <t>ジギョウ</t>
    </rPh>
    <rPh sb="3" eb="5">
      <t>クブン</t>
    </rPh>
    <phoneticPr fontId="36"/>
  </si>
  <si>
    <t>更新区分</t>
    <rPh sb="0" eb="2">
      <t>コウシン</t>
    </rPh>
    <rPh sb="2" eb="4">
      <t>クブン</t>
    </rPh>
    <phoneticPr fontId="7"/>
  </si>
  <si>
    <t>②親値、子値ともに重複不可</t>
    <rPh sb="1" eb="3">
      <t>オヤチ</t>
    </rPh>
    <rPh sb="4" eb="6">
      <t>コチ</t>
    </rPh>
    <rPh sb="9" eb="13">
      <t>チョウフクフカ</t>
    </rPh>
    <phoneticPr fontId="13"/>
  </si>
  <si>
    <t>③「有効開始日」&lt;=「有効終了日」であること。</t>
    <rPh sb="2" eb="4">
      <t>ユウコウ</t>
    </rPh>
    <rPh sb="4" eb="6">
      <t>カイシ</t>
    </rPh>
    <rPh sb="11" eb="13">
      <t>ユウコウ</t>
    </rPh>
    <rPh sb="13" eb="15">
      <t>シュウリョウ</t>
    </rPh>
    <phoneticPr fontId="8"/>
  </si>
  <si>
    <t>①「親」が「Y」（親値）のとき必須
③「親」が「N」（子値）のとき入力不可</t>
  </si>
  <si>
    <t>①「親」が「Y」（親値）のとき必須
③「親」が「N」（子値）のとき入力不可
③集計範囲（FROM）≦集計範囲（TO）であること。
③集計範囲属性が「P:親値のみ」の場合、
　　自身の値が集計範囲(FROM)～集計範囲(TO)
　　に含まれないこと。</t>
  </si>
  <si>
    <r>
      <t>①「親」が「N」（子値）のとき必須
③「親」が「Y」（親値）のとき入力不可
③「費用仕訳レベル」が入力されている場合、
　　 「サービスコード（値）」＝「費用仕訳レベル」であること。</t>
    </r>
    <r>
      <rPr>
        <sz val="10"/>
        <color rgb="FFFF0000"/>
        <rFont val="ＭＳ Ｐゴシック"/>
        <family val="3"/>
        <charset val="128"/>
      </rPr>
      <t xml:space="preserve">
</t>
    </r>
    <rPh sb="40" eb="42">
      <t>ヒヨウ</t>
    </rPh>
    <rPh sb="42" eb="44">
      <t>シワケ</t>
    </rPh>
    <rPh sb="49" eb="51">
      <t>ニュウリョク</t>
    </rPh>
    <rPh sb="56" eb="58">
      <t>バアイ</t>
    </rPh>
    <rPh sb="72" eb="73">
      <t>アタイ</t>
    </rPh>
    <rPh sb="77" eb="79">
      <t>ヒヨウ</t>
    </rPh>
    <rPh sb="79" eb="81">
      <t>シワケ</t>
    </rPh>
    <phoneticPr fontId="8"/>
  </si>
  <si>
    <t>③「親」が「Y」（親値）のとき入力不可
③「サービスコード」＝「0000000000」の場合、
　　　　「収益フラグ」は未設定であること。
③「親」＝「N」かつ「区分経理フラグ」＝「Y」以外の場合
　　　　「収益フラグ」と「費用フラグ」のどちらかが「Y」であること。</t>
    <rPh sb="44" eb="46">
      <t>バアイ</t>
    </rPh>
    <rPh sb="53" eb="55">
      <t>シュウエキ</t>
    </rPh>
    <rPh sb="60" eb="63">
      <t>ミセッテイ</t>
    </rPh>
    <rPh sb="72" eb="73">
      <t>オヤ</t>
    </rPh>
    <rPh sb="81" eb="83">
      <t>クブン</t>
    </rPh>
    <rPh sb="83" eb="85">
      <t>ケイリ</t>
    </rPh>
    <rPh sb="93" eb="95">
      <t>イガイ</t>
    </rPh>
    <rPh sb="96" eb="98">
      <t>バアイ</t>
    </rPh>
    <rPh sb="104" eb="106">
      <t>シュウエキ</t>
    </rPh>
    <rPh sb="112" eb="114">
      <t>ヒヨウ</t>
    </rPh>
    <phoneticPr fontId="8"/>
  </si>
  <si>
    <t>③「親」が「Y」（親値）のとき入力不可
③「サービスコード」＝「0000000000」の場合、
　　　　「費用フラグ」＝「Y]であること。
③「親」＝「N」かつ「区分経理フラグ」＝「Y」以外の場合
　　　　「収益フラグ」と「費用フラグ」のどちらかが「Y」であること。</t>
    <rPh sb="44" eb="46">
      <t>バアイ</t>
    </rPh>
    <rPh sb="53" eb="55">
      <t>ヒヨウ</t>
    </rPh>
    <rPh sb="72" eb="73">
      <t>オヤ</t>
    </rPh>
    <rPh sb="81" eb="83">
      <t>クブン</t>
    </rPh>
    <rPh sb="83" eb="85">
      <t>ケイリ</t>
    </rPh>
    <rPh sb="93" eb="95">
      <t>イガイ</t>
    </rPh>
    <rPh sb="96" eb="98">
      <t>バアイ</t>
    </rPh>
    <rPh sb="104" eb="106">
      <t>シュウエキ</t>
    </rPh>
    <rPh sb="112" eb="114">
      <t>ヒヨウ</t>
    </rPh>
    <phoneticPr fontId="8"/>
  </si>
  <si>
    <r>
      <t>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t>
    </r>
    <r>
      <rPr>
        <sz val="10"/>
        <color rgb="FFFF0000"/>
        <rFont val="ＭＳ Ｐゴシック"/>
        <family val="3"/>
        <charset val="128"/>
      </rPr>
      <t/>
    </r>
    <rPh sb="1" eb="3">
      <t>シュウエキ</t>
    </rPh>
    <rPh sb="12" eb="14">
      <t>バアイ</t>
    </rPh>
    <rPh sb="15" eb="17">
      <t>ニュウリョク</t>
    </rPh>
    <rPh sb="17" eb="19">
      <t>ヒッス</t>
    </rPh>
    <rPh sb="64" eb="66">
      <t>バアイ</t>
    </rPh>
    <rPh sb="74" eb="76">
      <t>ゼイキン</t>
    </rPh>
    <rPh sb="82" eb="85">
      <t>ミセッテイ</t>
    </rPh>
    <rPh sb="95" eb="97">
      <t>シュウエキ</t>
    </rPh>
    <rPh sb="106" eb="108">
      <t>バアイ</t>
    </rPh>
    <rPh sb="116" eb="118">
      <t>ゼイキン</t>
    </rPh>
    <rPh sb="125" eb="126">
      <t>ケタ</t>
    </rPh>
    <rPh sb="126" eb="127">
      <t>メ</t>
    </rPh>
    <rPh sb="132" eb="134">
      <t>ウリアゲ</t>
    </rPh>
    <rPh sb="134" eb="135">
      <t>ヨウ</t>
    </rPh>
    <rPh sb="136" eb="138">
      <t>ゼイキン</t>
    </rPh>
    <rPh sb="150" eb="152">
      <t>シュウエキ</t>
    </rPh>
    <rPh sb="161" eb="163">
      <t>バアイ</t>
    </rPh>
    <rPh sb="171" eb="173">
      <t>ゼイキン</t>
    </rPh>
    <rPh sb="179" eb="182">
      <t>ミセッテイ</t>
    </rPh>
    <phoneticPr fontId="8"/>
  </si>
  <si>
    <t>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t>
    <rPh sb="44" eb="46">
      <t>バアイ</t>
    </rPh>
    <rPh sb="60" eb="62">
      <t>トウロク</t>
    </rPh>
    <rPh sb="62" eb="64">
      <t>カヒ</t>
    </rPh>
    <rPh sb="153" eb="156">
      <t>ミセッテイ</t>
    </rPh>
    <rPh sb="168" eb="171">
      <t>ミセッテイ</t>
    </rPh>
    <rPh sb="197" eb="200">
      <t>ミセッテイ</t>
    </rPh>
    <phoneticPr fontId="8"/>
  </si>
  <si>
    <t>1～</t>
  </si>
  <si>
    <t>①前回報告から変更がある場合は変更内容が設定されていること</t>
    <rPh sb="1" eb="3">
      <t>ゼンカイ</t>
    </rPh>
    <rPh sb="3" eb="5">
      <t>ホウコク</t>
    </rPh>
    <rPh sb="7" eb="9">
      <t>ヘンコウ</t>
    </rPh>
    <rPh sb="12" eb="14">
      <t>バアイ</t>
    </rPh>
    <rPh sb="15" eb="17">
      <t>ヘンコウ</t>
    </rPh>
    <rPh sb="17" eb="19">
      <t>ナイヨウ</t>
    </rPh>
    <rPh sb="20" eb="22">
      <t>セッテイ</t>
    </rPh>
    <phoneticPr fontId="7"/>
  </si>
  <si>
    <t>会社マスタ</t>
    <rPh sb="0" eb="2">
      <t>カイシャ</t>
    </rPh>
    <phoneticPr fontId="12"/>
  </si>
  <si>
    <t>各社</t>
    <rPh sb="0" eb="2">
      <t>カクシャ</t>
    </rPh>
    <phoneticPr fontId="11"/>
  </si>
  <si>
    <t>サービスコードの名称（80文字）</t>
    <rPh sb="13" eb="15">
      <t>モジ</t>
    </rPh>
    <phoneticPr fontId="7"/>
  </si>
  <si>
    <t>Y,N</t>
  </si>
  <si>
    <t>レコードの有効が開始となる日付を指定。
次期からはMDMに連携する必要があるため、新規追加時や、使用可能をNからYに変更時は入力必須。
ただし、日付設定後は変更不可。
※形式：YYYYMMDD</t>
    <rPh sb="16" eb="18">
      <t>シテイ</t>
    </rPh>
    <rPh sb="20" eb="22">
      <t>ジキ</t>
    </rPh>
    <rPh sb="29" eb="31">
      <t>レンケイ</t>
    </rPh>
    <rPh sb="33" eb="35">
      <t>ヒツヨウ</t>
    </rPh>
    <rPh sb="41" eb="43">
      <t>シンキ</t>
    </rPh>
    <rPh sb="43" eb="45">
      <t>ツイカ</t>
    </rPh>
    <rPh sb="45" eb="46">
      <t>ジ</t>
    </rPh>
    <rPh sb="48" eb="50">
      <t>シヨウ</t>
    </rPh>
    <rPh sb="50" eb="52">
      <t>カノウ</t>
    </rPh>
    <rPh sb="58" eb="60">
      <t>ヘンコウ</t>
    </rPh>
    <rPh sb="60" eb="61">
      <t>ジ</t>
    </rPh>
    <rPh sb="62" eb="64">
      <t>ニュウリョク</t>
    </rPh>
    <rPh sb="64" eb="66">
      <t>ヒッス</t>
    </rPh>
    <rPh sb="72" eb="74">
      <t>ヒヅケ</t>
    </rPh>
    <rPh sb="74" eb="76">
      <t>セッテイ</t>
    </rPh>
    <rPh sb="76" eb="77">
      <t>ゴ</t>
    </rPh>
    <rPh sb="78" eb="82">
      <t>ヘンコウフカ</t>
    </rPh>
    <rPh sb="86" eb="88">
      <t>ケイシキ</t>
    </rPh>
    <phoneticPr fontId="14"/>
  </si>
  <si>
    <t>レコードの有効が終了となる日付を指定。
※形式：YYYYMMDD</t>
    <rPh sb="16" eb="18">
      <t>シテイ</t>
    </rPh>
    <rPh sb="22" eb="24">
      <t>ケイシキ</t>
    </rPh>
    <phoneticPr fontId="8"/>
  </si>
  <si>
    <t>親値／子値の区分を指定。
Y:親値（集計値）
N:子値（入力値）</t>
    <rPh sb="9" eb="11">
      <t>シテイ</t>
    </rPh>
    <rPh sb="15" eb="16">
      <t>オヤ</t>
    </rPh>
    <rPh sb="16" eb="17">
      <t>チ</t>
    </rPh>
    <rPh sb="18" eb="20">
      <t>シュウケイ</t>
    </rPh>
    <rPh sb="20" eb="21">
      <t>チ</t>
    </rPh>
    <rPh sb="25" eb="26">
      <t>コ</t>
    </rPh>
    <rPh sb="26" eb="27">
      <t>チ</t>
    </rPh>
    <rPh sb="28" eb="30">
      <t>ニュウリョク</t>
    </rPh>
    <rPh sb="30" eb="31">
      <t>チ</t>
    </rPh>
    <phoneticPr fontId="14"/>
  </si>
  <si>
    <t>1～9</t>
  </si>
  <si>
    <t>集計する対象を指定。
C:子値
P:親値
※「親」が「Y」（親値）のとき必須</t>
    <rPh sb="0" eb="2">
      <t>シュウケイ</t>
    </rPh>
    <rPh sb="4" eb="6">
      <t>タイショウ</t>
    </rPh>
    <rPh sb="7" eb="9">
      <t>シテイ</t>
    </rPh>
    <rPh sb="13" eb="14">
      <t>コ</t>
    </rPh>
    <rPh sb="14" eb="15">
      <t>チ</t>
    </rPh>
    <rPh sb="18" eb="19">
      <t>オヤ</t>
    </rPh>
    <rPh sb="19" eb="20">
      <t>チ</t>
    </rPh>
    <phoneticPr fontId="14"/>
  </si>
  <si>
    <t>C,P</t>
  </si>
  <si>
    <t>子値／親値の集計範囲を指定する場合の開始値を指定。
※「親」が「Y」（親値）のとき必須</t>
    <rPh sb="0" eb="1">
      <t>コ</t>
    </rPh>
    <rPh sb="1" eb="2">
      <t>チ</t>
    </rPh>
    <rPh sb="3" eb="4">
      <t>オヤ</t>
    </rPh>
    <rPh sb="4" eb="5">
      <t>チ</t>
    </rPh>
    <rPh sb="6" eb="8">
      <t>シュウケイ</t>
    </rPh>
    <rPh sb="8" eb="10">
      <t>ハンイ</t>
    </rPh>
    <rPh sb="11" eb="13">
      <t>シテイ</t>
    </rPh>
    <rPh sb="15" eb="17">
      <t>バアイ</t>
    </rPh>
    <rPh sb="18" eb="20">
      <t>カイシ</t>
    </rPh>
    <rPh sb="20" eb="21">
      <t>チ</t>
    </rPh>
    <rPh sb="22" eb="24">
      <t>シテイ</t>
    </rPh>
    <phoneticPr fontId="14"/>
  </si>
  <si>
    <t>子値／親値の集計範囲を指定する場合の終了値を指定。
※「親」が「Y」（親値）のとき必須</t>
    <rPh sb="0" eb="1">
      <t>コ</t>
    </rPh>
    <rPh sb="1" eb="2">
      <t>チ</t>
    </rPh>
    <rPh sb="3" eb="4">
      <t>オヤ</t>
    </rPh>
    <rPh sb="4" eb="5">
      <t>チ</t>
    </rPh>
    <rPh sb="6" eb="8">
      <t>シュウケイ</t>
    </rPh>
    <rPh sb="8" eb="10">
      <t>ハンイ</t>
    </rPh>
    <rPh sb="11" eb="13">
      <t>シテイ</t>
    </rPh>
    <rPh sb="15" eb="17">
      <t>バアイ</t>
    </rPh>
    <rPh sb="18" eb="20">
      <t>シュウリョウ</t>
    </rPh>
    <rPh sb="20" eb="21">
      <t>アタイ</t>
    </rPh>
    <phoneticPr fontId="14"/>
  </si>
  <si>
    <t>サービス別収支管理を行う場合、費用仕訳のサービスを指定
※「親」が「N」（子値）のとき必須</t>
    <rPh sb="37" eb="38">
      <t>コ</t>
    </rPh>
    <phoneticPr fontId="8"/>
  </si>
  <si>
    <t>税金グループマスタに登録されている値を設定
※「収益フラグ」＝「Y」のとき必須</t>
    <rPh sb="37" eb="39">
      <t>ヒッス</t>
    </rPh>
    <phoneticPr fontId="8"/>
  </si>
  <si>
    <t>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t>
  </si>
  <si>
    <t>04A,77A,64A　等</t>
    <rPh sb="12" eb="13">
      <t>トウ</t>
    </rPh>
    <phoneticPr fontId="11"/>
  </si>
  <si>
    <t>税金グループ／税金コード組合せマスタ</t>
    <rPh sb="0" eb="2">
      <t>ゼイキン</t>
    </rPh>
    <rPh sb="7" eb="9">
      <t>ゼイキン</t>
    </rPh>
    <rPh sb="12" eb="14">
      <t>クミアワ</t>
    </rPh>
    <phoneticPr fontId="12"/>
  </si>
  <si>
    <t>前回報告時（原本）との差分内容を比較する際に利用します。</t>
    <rPh sb="0" eb="2">
      <t>ゼンカイ</t>
    </rPh>
    <rPh sb="2" eb="4">
      <t>ホウコク</t>
    </rPh>
    <rPh sb="4" eb="5">
      <t>ジ</t>
    </rPh>
    <rPh sb="6" eb="8">
      <t>ゲンポン</t>
    </rPh>
    <rPh sb="11" eb="13">
      <t>サブン</t>
    </rPh>
    <rPh sb="13" eb="15">
      <t>ナイヨウ</t>
    </rPh>
    <rPh sb="16" eb="18">
      <t>ヒカク</t>
    </rPh>
    <rPh sb="20" eb="21">
      <t>サイ</t>
    </rPh>
    <rPh sb="22" eb="24">
      <t>リヨウ</t>
    </rPh>
    <phoneticPr fontId="7"/>
  </si>
  <si>
    <t>前回報告からの変更内容を設定してください。
1:変更
2:追加
-:データあり</t>
    <rPh sb="0" eb="2">
      <t>ゼンカイ</t>
    </rPh>
    <rPh sb="2" eb="4">
      <t>ホウコク</t>
    </rPh>
    <rPh sb="7" eb="9">
      <t>ヘンコウ</t>
    </rPh>
    <rPh sb="9" eb="11">
      <t>ナイヨウ</t>
    </rPh>
    <rPh sb="12" eb="14">
      <t>セッテイ</t>
    </rPh>
    <rPh sb="24" eb="26">
      <t>ヘンコウ</t>
    </rPh>
    <rPh sb="29" eb="31">
      <t>ツイカ</t>
    </rPh>
    <phoneticPr fontId="7"/>
  </si>
  <si>
    <t>1:変更,2:追加,-:データあり</t>
  </si>
  <si>
    <t>各社</t>
    <rPh sb="0" eb="2">
      <t>カクシャ</t>
    </rPh>
    <phoneticPr fontId="7"/>
  </si>
  <si>
    <t>=("|" &amp; $C7)~C</t>
  </si>
  <si>
    <t>=IF(EXACT($E7,"Y"),LEN($F7)&gt;0,TRUE)</t>
  </si>
  <si>
    <t>=IF(EXACT($H7,"N"),LEN($J7)=0,TRUE)</t>
  </si>
  <si>
    <t>=IF(EXACT($H7,"Y"),LEN($K7)&gt;0,TRUE)</t>
  </si>
  <si>
    <t>=IF(EXACT($H7,"Y"),LEN($L7)&gt;0,TRUE)</t>
  </si>
  <si>
    <t>=IF(EXACT($H7,"N"),LEN($L7)=0,TRUE)</t>
  </si>
  <si>
    <t>項目相関チェック３</t>
    <rPh sb="0" eb="2">
      <t>コウモク</t>
    </rPh>
    <rPh sb="2" eb="4">
      <t>ソウカン</t>
    </rPh>
    <phoneticPr fontId="6"/>
  </si>
  <si>
    <t>=IF(EXACT($H7,"Y"),LEN($Q7)=0,TRUE)</t>
  </si>
  <si>
    <t>■個別消費税が「個別（入力）」の会社で利用可能な税金グループ/税金コードの組合せ</t>
    <rPh sb="1" eb="3">
      <t>コベツ</t>
    </rPh>
    <rPh sb="3" eb="6">
      <t>ショウヒゼイ</t>
    </rPh>
    <rPh sb="8" eb="10">
      <t>コベツ</t>
    </rPh>
    <rPh sb="11" eb="13">
      <t>ニュウリョク</t>
    </rPh>
    <rPh sb="16" eb="18">
      <t>カイシャ</t>
    </rPh>
    <rPh sb="19" eb="21">
      <t>リヨウ</t>
    </rPh>
    <rPh sb="21" eb="23">
      <t>カノウ</t>
    </rPh>
    <rPh sb="24" eb="26">
      <t>ゼイキン</t>
    </rPh>
    <rPh sb="31" eb="33">
      <t>ゼイキン</t>
    </rPh>
    <rPh sb="37" eb="39">
      <t>クミアワ</t>
    </rPh>
    <phoneticPr fontId="6"/>
  </si>
  <si>
    <t>税金コード名称</t>
    <rPh sb="0" eb="1">
      <t>ゼイ</t>
    </rPh>
    <rPh sb="1" eb="2">
      <t>キン</t>
    </rPh>
    <rPh sb="5" eb="7">
      <t>メイショウ</t>
    </rPh>
    <phoneticPr fontId="47"/>
  </si>
  <si>
    <t>売上x％（課税）
（税込）</t>
    <phoneticPr fontId="47"/>
  </si>
  <si>
    <t>売上x％（課税）
（税別記）</t>
    <phoneticPr fontId="47"/>
  </si>
  <si>
    <t>売上
（非課税）</t>
    <phoneticPr fontId="47"/>
  </si>
  <si>
    <t>売上
（免税）</t>
    <phoneticPr fontId="47"/>
  </si>
  <si>
    <t>仕入x％（税込）
（課税）</t>
    <phoneticPr fontId="47"/>
  </si>
  <si>
    <t>仕入x％（税込）
（非課税）</t>
    <phoneticPr fontId="47"/>
  </si>
  <si>
    <t>仕入x％（税込）
（共通）</t>
    <phoneticPr fontId="47"/>
  </si>
  <si>
    <t>仕入x％（税別記）
（課税）</t>
    <phoneticPr fontId="47"/>
  </si>
  <si>
    <t>仕入x％（税別記）
（非課税）</t>
    <phoneticPr fontId="47"/>
  </si>
  <si>
    <t>仕入x％（税別記）
（共通）</t>
    <phoneticPr fontId="47"/>
  </si>
  <si>
    <t>仕入（輸入）x％
（課税）</t>
    <phoneticPr fontId="47"/>
  </si>
  <si>
    <t>仕入（輸入）x％
（非課税）</t>
    <phoneticPr fontId="47"/>
  </si>
  <si>
    <t>仕入（輸入）x％
（共通）</t>
    <phoneticPr fontId="47"/>
  </si>
  <si>
    <t>仕入（輸入貨物割地方）
（課税）</t>
    <phoneticPr fontId="47"/>
  </si>
  <si>
    <t>仕入（輸入貨物割地方）
（非課税）</t>
    <phoneticPr fontId="47"/>
  </si>
  <si>
    <t>仕入（輸入貨物割地方）
（共通）</t>
    <phoneticPr fontId="47"/>
  </si>
  <si>
    <t>仕入（居住用賃貸建物）
x％（税込）
（非課税）</t>
    <rPh sb="0" eb="2">
      <t>シイレ</t>
    </rPh>
    <phoneticPr fontId="47"/>
  </si>
  <si>
    <t>仕入（居住用賃貸建物）
x％（税別記）
（非課税）</t>
    <rPh sb="16" eb="17">
      <t>ベツ</t>
    </rPh>
    <rPh sb="17" eb="18">
      <t>キ</t>
    </rPh>
    <phoneticPr fontId="47"/>
  </si>
  <si>
    <t>仕入（免税事業者）
x％（税込）
（課税）</t>
    <rPh sb="0" eb="2">
      <t>シイレ</t>
    </rPh>
    <rPh sb="13" eb="15">
      <t>ゼイコ</t>
    </rPh>
    <phoneticPr fontId="47"/>
  </si>
  <si>
    <t>仕入（免税事業者）x％（税込）
（非課税）</t>
    <rPh sb="17" eb="18">
      <t>ヒ</t>
    </rPh>
    <rPh sb="18" eb="20">
      <t>カゼイ</t>
    </rPh>
    <phoneticPr fontId="47"/>
  </si>
  <si>
    <t>仕入（免税事業者）x％（税込）
（共通）</t>
    <rPh sb="17" eb="19">
      <t>キョウツウ</t>
    </rPh>
    <phoneticPr fontId="47"/>
  </si>
  <si>
    <t>仕入（免税事業者）
x％（税別記）
（課税）</t>
    <rPh sb="14" eb="15">
      <t>ベツ</t>
    </rPh>
    <rPh sb="15" eb="16">
      <t>キ</t>
    </rPh>
    <phoneticPr fontId="47"/>
  </si>
  <si>
    <t>仕入（免税事業者）
x％（税別記）
（非課税）</t>
    <rPh sb="19" eb="22">
      <t>ヒカゼイ</t>
    </rPh>
    <phoneticPr fontId="47"/>
  </si>
  <si>
    <t>仕入（免税事業者）
x％（税別記）
（共通）</t>
    <rPh sb="19" eb="21">
      <t>キョウツウ</t>
    </rPh>
    <phoneticPr fontId="47"/>
  </si>
  <si>
    <t>旧税金コード</t>
    <rPh sb="0" eb="1">
      <t>キュウ</t>
    </rPh>
    <rPh sb="1" eb="3">
      <t>ゼイキン</t>
    </rPh>
    <phoneticPr fontId="47"/>
  </si>
  <si>
    <t>BA82</t>
  </si>
  <si>
    <t>BAA2</t>
  </si>
  <si>
    <t>BAK2</t>
  </si>
  <si>
    <t>BB82</t>
  </si>
  <si>
    <t>BBA2</t>
  </si>
  <si>
    <t>BBK2</t>
  </si>
  <si>
    <t>BCA1</t>
  </si>
  <si>
    <t>BCK1</t>
  </si>
  <si>
    <t>BCA2</t>
  </si>
  <si>
    <t>BCK2</t>
  </si>
  <si>
    <t>BCA3</t>
  </si>
  <si>
    <t>BCK3</t>
  </si>
  <si>
    <t>BDA1</t>
  </si>
  <si>
    <t>BDK1</t>
  </si>
  <si>
    <t>BDA2</t>
  </si>
  <si>
    <t>BDK2</t>
  </si>
  <si>
    <t>BDA3</t>
  </si>
  <si>
    <t>BDK3</t>
  </si>
  <si>
    <t>A3</t>
  </si>
  <si>
    <t>A5</t>
  </si>
  <si>
    <t>A8</t>
  </si>
  <si>
    <t>AA</t>
  </si>
  <si>
    <t>AK</t>
  </si>
  <si>
    <t>B3</t>
  </si>
  <si>
    <t>B5</t>
  </si>
  <si>
    <t>B8</t>
  </si>
  <si>
    <t>BA</t>
  </si>
  <si>
    <t>BK</t>
  </si>
  <si>
    <t>D0</t>
  </si>
  <si>
    <t>C0</t>
  </si>
  <si>
    <t>G3</t>
  </si>
  <si>
    <t>G5</t>
  </si>
  <si>
    <t>G8</t>
  </si>
  <si>
    <t>GA</t>
  </si>
  <si>
    <t>GK</t>
  </si>
  <si>
    <t>H3</t>
  </si>
  <si>
    <t>H5</t>
  </si>
  <si>
    <t>H8</t>
  </si>
  <si>
    <t>HA</t>
  </si>
  <si>
    <t>HK</t>
  </si>
  <si>
    <t>J3</t>
  </si>
  <si>
    <t>J5</t>
  </si>
  <si>
    <t>J8</t>
  </si>
  <si>
    <t>JA</t>
  </si>
  <si>
    <t>JK</t>
  </si>
  <si>
    <t>L3</t>
  </si>
  <si>
    <t>L5</t>
  </si>
  <si>
    <t>L8</t>
  </si>
  <si>
    <t>LA</t>
  </si>
  <si>
    <t>LK</t>
  </si>
  <si>
    <t>M3</t>
  </si>
  <si>
    <t>M5</t>
  </si>
  <si>
    <t>M8</t>
  </si>
  <si>
    <t>MA</t>
  </si>
  <si>
    <t>MK</t>
  </si>
  <si>
    <t>N3</t>
  </si>
  <si>
    <t>N5</t>
  </si>
  <si>
    <t>N8</t>
  </si>
  <si>
    <t>NA</t>
  </si>
  <si>
    <t>NK</t>
  </si>
  <si>
    <t>QA</t>
  </si>
  <si>
    <t>QK</t>
  </si>
  <si>
    <t>RA</t>
  </si>
  <si>
    <t>RK</t>
  </si>
  <si>
    <t>SA</t>
  </si>
  <si>
    <t>SK</t>
  </si>
  <si>
    <t>UA</t>
  </si>
  <si>
    <t>UK</t>
  </si>
  <si>
    <t>VA</t>
  </si>
  <si>
    <t>VK</t>
  </si>
  <si>
    <t>WA</t>
  </si>
  <si>
    <t>WK</t>
  </si>
  <si>
    <t>18</t>
  </si>
  <si>
    <t>1A</t>
  </si>
  <si>
    <t>1K</t>
  </si>
  <si>
    <t>28</t>
  </si>
  <si>
    <t>2A</t>
  </si>
  <si>
    <t>2K</t>
  </si>
  <si>
    <t>4A</t>
  </si>
  <si>
    <t>4K</t>
  </si>
  <si>
    <t>5A</t>
  </si>
  <si>
    <t>5K</t>
  </si>
  <si>
    <t>6A</t>
  </si>
  <si>
    <t>6K</t>
  </si>
  <si>
    <t>8A</t>
  </si>
  <si>
    <t>8K</t>
  </si>
  <si>
    <t>9A</t>
  </si>
  <si>
    <t>9K</t>
  </si>
  <si>
    <t>0A</t>
  </si>
  <si>
    <t>0K</t>
  </si>
  <si>
    <t>E3</t>
  </si>
  <si>
    <t>E5</t>
  </si>
  <si>
    <t>E8</t>
  </si>
  <si>
    <t>EA</t>
  </si>
  <si>
    <t>EK</t>
  </si>
  <si>
    <t>A0</t>
  </si>
  <si>
    <t>Z0</t>
  </si>
  <si>
    <t>税率</t>
    <rPh sb="0" eb="2">
      <t>ゼイリツ</t>
    </rPh>
    <phoneticPr fontId="47"/>
  </si>
  <si>
    <t>3%</t>
    <phoneticPr fontId="47"/>
  </si>
  <si>
    <t>5%</t>
    <phoneticPr fontId="47"/>
  </si>
  <si>
    <t>8%</t>
    <phoneticPr fontId="47"/>
  </si>
  <si>
    <t>10%</t>
    <phoneticPr fontId="47"/>
  </si>
  <si>
    <t>非課税</t>
    <rPh sb="0" eb="3">
      <t>ヒカゼイ</t>
    </rPh>
    <phoneticPr fontId="47"/>
  </si>
  <si>
    <t>売上税込</t>
    <rPh sb="0" eb="2">
      <t>ウリアゲ</t>
    </rPh>
    <rPh sb="2" eb="4">
      <t>ゼイコ</t>
    </rPh>
    <phoneticPr fontId="47"/>
  </si>
  <si>
    <t>仕入税込</t>
    <phoneticPr fontId="47"/>
  </si>
  <si>
    <t>貸倒損失</t>
    <phoneticPr fontId="47"/>
  </si>
  <si>
    <t>売上用の税金グループ</t>
    <rPh sb="0" eb="2">
      <t>ウリアゲ</t>
    </rPh>
    <rPh sb="2" eb="3">
      <t>ヨウ</t>
    </rPh>
    <rPh sb="4" eb="6">
      <t>ゼイキン</t>
    </rPh>
    <phoneticPr fontId="47"/>
  </si>
  <si>
    <t>仕入用の税金グループ</t>
    <rPh sb="0" eb="2">
      <t>シイレ</t>
    </rPh>
    <rPh sb="2" eb="3">
      <t>ヨウ</t>
    </rPh>
    <rPh sb="4" eb="6">
      <t>ゼイキン</t>
    </rPh>
    <phoneticPr fontId="47"/>
  </si>
  <si>
    <t>消費税が発生しない勘定科目用</t>
    <rPh sb="0" eb="3">
      <t>ショウヒゼイ</t>
    </rPh>
    <rPh sb="4" eb="6">
      <t>ハッセイ</t>
    </rPh>
    <rPh sb="9" eb="11">
      <t>カンジョウ</t>
    </rPh>
    <rPh sb="11" eb="13">
      <t>カモク</t>
    </rPh>
    <rPh sb="13" eb="14">
      <t>ヨウ</t>
    </rPh>
    <phoneticPr fontId="47"/>
  </si>
  <si>
    <t>貸倒用の税金グループ</t>
    <rPh sb="0" eb="2">
      <t>カシダオレ</t>
    </rPh>
    <rPh sb="2" eb="3">
      <t>ヨウ</t>
    </rPh>
    <rPh sb="4" eb="6">
      <t>ゼイキン</t>
    </rPh>
    <phoneticPr fontId="47"/>
  </si>
  <si>
    <t>貸倒損失の勘定科目⇒</t>
    <phoneticPr fontId="6"/>
  </si>
  <si>
    <t>※サービスでは選択不可
エラー勘定用(各社で選択不可)</t>
    <rPh sb="7" eb="9">
      <t>センタク</t>
    </rPh>
    <rPh sb="9" eb="11">
      <t>フカ</t>
    </rPh>
    <rPh sb="15" eb="17">
      <t>カンジョウ</t>
    </rPh>
    <rPh sb="17" eb="18">
      <t>ヨウ</t>
    </rPh>
    <rPh sb="19" eb="21">
      <t>カクシャ</t>
    </rPh>
    <rPh sb="22" eb="24">
      <t>センタク</t>
    </rPh>
    <rPh sb="24" eb="26">
      <t>フカ</t>
    </rPh>
    <phoneticPr fontId="47"/>
  </si>
  <si>
    <t>■個別消費税が「個別（変換方式）」「一括比例方式」の会社で利用可能な税金グループ/税金コードの組合せ</t>
    <rPh sb="1" eb="3">
      <t>コベツ</t>
    </rPh>
    <rPh sb="3" eb="6">
      <t>ショウヒゼイ</t>
    </rPh>
    <rPh sb="8" eb="10">
      <t>コベツ</t>
    </rPh>
    <rPh sb="11" eb="13">
      <t>ヘンカン</t>
    </rPh>
    <rPh sb="13" eb="15">
      <t>ホウシキ</t>
    </rPh>
    <rPh sb="18" eb="20">
      <t>イッカツ</t>
    </rPh>
    <rPh sb="20" eb="22">
      <t>ヒレイ</t>
    </rPh>
    <rPh sb="22" eb="24">
      <t>ホウシキ</t>
    </rPh>
    <rPh sb="26" eb="28">
      <t>カイシャ</t>
    </rPh>
    <rPh sb="29" eb="31">
      <t>リヨウ</t>
    </rPh>
    <rPh sb="31" eb="33">
      <t>カノウ</t>
    </rPh>
    <rPh sb="34" eb="36">
      <t>ゼイキン</t>
    </rPh>
    <rPh sb="41" eb="43">
      <t>ゼイキン</t>
    </rPh>
    <rPh sb="47" eb="49">
      <t>クミアワ</t>
    </rPh>
    <phoneticPr fontId="6"/>
  </si>
  <si>
    <t>仕入x％（税込）
（税個別なし）</t>
    <phoneticPr fontId="47"/>
  </si>
  <si>
    <t>仕入x％（税別記）
（税個別なし）</t>
    <phoneticPr fontId="47"/>
  </si>
  <si>
    <t>仕入（輸入）x％
（税個別なし）</t>
    <phoneticPr fontId="47"/>
  </si>
  <si>
    <t>仕入（輸入貨物割地方）
（税個別なし）</t>
    <phoneticPr fontId="47"/>
  </si>
  <si>
    <t>仕入（免税事業者）
x％（税込）
（税個別なし）</t>
    <rPh sb="0" eb="2">
      <t>シイレ</t>
    </rPh>
    <rPh sb="13" eb="15">
      <t>ゼイコ</t>
    </rPh>
    <rPh sb="18" eb="19">
      <t>ゼイ</t>
    </rPh>
    <rPh sb="19" eb="21">
      <t>コベツ</t>
    </rPh>
    <phoneticPr fontId="47"/>
  </si>
  <si>
    <t>仕入（免税事業者）
x％（税別記）
（税個別なし）</t>
    <rPh sb="0" eb="2">
      <t>シイレ</t>
    </rPh>
    <rPh sb="13" eb="14">
      <t>ゼイ</t>
    </rPh>
    <rPh sb="14" eb="15">
      <t>ベツ</t>
    </rPh>
    <rPh sb="15" eb="16">
      <t>キ</t>
    </rPh>
    <rPh sb="19" eb="20">
      <t>ゼイ</t>
    </rPh>
    <rPh sb="20" eb="22">
      <t>コベツ</t>
    </rPh>
    <phoneticPr fontId="47"/>
  </si>
  <si>
    <t>BCA0</t>
  </si>
  <si>
    <t>BCK0</t>
  </si>
  <si>
    <t>BDA0</t>
  </si>
  <si>
    <t>BDK0</t>
  </si>
  <si>
    <t>F3</t>
  </si>
  <si>
    <t>F5</t>
  </si>
  <si>
    <t>F8</t>
  </si>
  <si>
    <t>FA</t>
  </si>
  <si>
    <t>FK</t>
  </si>
  <si>
    <t>K3</t>
  </si>
  <si>
    <t>K5</t>
  </si>
  <si>
    <t>K8</t>
  </si>
  <si>
    <t>KA</t>
  </si>
  <si>
    <t>KK</t>
  </si>
  <si>
    <t>PA</t>
  </si>
  <si>
    <t>PK</t>
  </si>
  <si>
    <t>TA</t>
  </si>
  <si>
    <t>TK</t>
  </si>
  <si>
    <t>3A</t>
  </si>
  <si>
    <t>3K</t>
  </si>
  <si>
    <t>7A</t>
  </si>
  <si>
    <t>7K</t>
  </si>
  <si>
    <t>3%</t>
  </si>
  <si>
    <t>5%</t>
  </si>
  <si>
    <t>8%</t>
  </si>
  <si>
    <t>10%</t>
  </si>
  <si>
    <t>軽減</t>
    <rPh sb="0" eb="2">
      <t>ケイゲン</t>
    </rPh>
    <phoneticPr fontId="2"/>
  </si>
  <si>
    <t>税金グループ</t>
    <rPh sb="0" eb="2">
      <t>ゼイキン</t>
    </rPh>
    <phoneticPr fontId="6"/>
  </si>
  <si>
    <t>=IF(ISERR(IF(LEN($F7) &lt;= 0, TRUE, IF(LEN($G7) &lt;= 0, TRUE, $F7 &lt;= $G7))), FALSE, IF(LEN($F7) &lt;= 0, TRUE, IF(LEN($G7) &lt;= 0, TRUE, $F7 &lt;= $G7)))</t>
  </si>
  <si>
    <t>=IF(EXACT($H7,"Y"),LEN($J7)&gt;0,TRUE)</t>
  </si>
  <si>
    <t>=IF(EXACT($H7,"N"),LEN($K7)=0,TRUE)</t>
    <phoneticPr fontId="6"/>
  </si>
  <si>
    <t>～240(80)</t>
    <phoneticPr fontId="6"/>
  </si>
  <si>
    <t>=IF(EXACT($H7,"N"),LEN($M7)&gt;0,TRUE)</t>
    <phoneticPr fontId="6"/>
  </si>
  <si>
    <t>=IF(EXACT($H7,"Y"),LEN($M7)=0,TRUE)</t>
    <phoneticPr fontId="6"/>
  </si>
  <si>
    <t>=IF(AND(EXACT($H7,"N"),LEN($M7)&gt;0),EXACT($C7,$M7),TRUE)</t>
    <phoneticPr fontId="6"/>
  </si>
  <si>
    <t>=IF(EXACT($H7,"Y"),LEN($O7)=0,TRUE)</t>
    <phoneticPr fontId="6"/>
  </si>
  <si>
    <t>=IF(EXACT($H7,"Y"),LEN($N7)=0,TRUE)</t>
    <phoneticPr fontId="6"/>
  </si>
  <si>
    <t>=IF(EXACT($C7,"0000000000"),LEN($O7)=0,IF(AND(EXACT($H7,"N"),NOT(EXACT($R7,"Y"))),OR(EXACT($O7,"Y"),EXACT($P7,"Y")),TRUE))</t>
    <phoneticPr fontId="6"/>
  </si>
  <si>
    <t>=IF(EXACT($H7,"Y"),LEN($P7)=0,TRUE)</t>
    <phoneticPr fontId="6"/>
  </si>
  <si>
    <t>=IF(EXACT($C7,"0000000000"),EXACT($P7,"Y"),IF(AND(EXACT($H7,"N"),NOT(EXACT($R7,"Y"))),OR(EXACT($O7,"Y"),EXACT($P7,"Y")),TRUE))</t>
    <phoneticPr fontId="6"/>
  </si>
  <si>
    <t>=IF(EXACT($H7,"Y"),LEN($R7)=0,TRUE)</t>
    <phoneticPr fontId="6"/>
  </si>
  <si>
    <t>=IF(AND(EXACT($H7,"N"),EXACT($O7,"Y")),LEN($S7)&gt;0,TRUE)</t>
    <phoneticPr fontId="6"/>
  </si>
  <si>
    <t>=IF(EXACT($H7,"Y"),LEN($S7)=0,TRUE)</t>
    <phoneticPr fontId="6"/>
  </si>
  <si>
    <t>=IF(EXACT($H7,"Y"),LEN($T7)=0,TRUE)</t>
    <phoneticPr fontId="6"/>
  </si>
  <si>
    <t>=IF(EXACT($C7,"0000000000"),EXACT($T7,"Y"),IF(EXACT($H7,"N"),IF(OR(EXACT($O7,"Y"),EXACT($P7,"Y")),EXACT($T7,"Y"),LEN($T7)=0),TRUE))</t>
    <phoneticPr fontId="6"/>
  </si>
  <si>
    <t>=IF(EXACT($C7,"0000000000"),LEN($R7)=0,IF(EXACT($H7,"N"),IF(OR(EXACT($B7,"0002"),EXACT($B7,"0004"),EXACT($B7,"0087"),EXACT($B7,"1555")),IF(AND(EXACT($Q7,"Y"),NOT(EXACT($C7,"9999100002"))),EXACT($R7,"Y"),TRUE),IF(EXACT($B7,"0006"),TRUE,LEN($R7)=0)),TRUE))</t>
  </si>
  <si>
    <t>=IF(EXACT($C7,"0000000000"),LEN($S7)=0,IF(EXACT($H7,"N"),IF(EXACT($O7,"Y"),IF(LEN($S7)&gt;0,EXACT(RIGHT($S7,1),"A"),TRUE),LEN($S7)=0),TRUE))</t>
  </si>
  <si>
    <t>新税金コード</t>
    <rPh sb="0" eb="1">
      <t>シン</t>
    </rPh>
    <rPh sb="1" eb="3">
      <t>ゼイキン</t>
    </rPh>
    <phoneticPr fontId="47"/>
  </si>
  <si>
    <t>①使用可能がYの場合に必須入力。</t>
    <phoneticPr fontId="6"/>
  </si>
  <si>
    <t>=IF(EXACT($C7,"0000000000"),LEN($Q7)=0,IF(OR(EXACT($B7,"0002"),EXACT($B7,"0004"),EXACT($B7,"0034"),EXACT($B7,"0087"),EXACT($B7,"1554"),EXACT($B7,"1555"),EXACT($B7,"0006")),TRUE,IF(EXACT($C7,"9988999999"),EXACT($Q7,"Y"),IF(EXACT($H7,"N"),LEN($Q7)=0,TRUE))))</t>
    <phoneticPr fontId="6"/>
  </si>
  <si>
    <t>=IF(EXACT($H7,"N"),IF(OR(EXACT($B7,"0002"),EXACT($B7,"0004"),EXACT($B7,"0087"),EXACT($B7,"1554"),EXACT($B7,"1555"),EXACT($B7,"0006")),IF(EXACT($Q7,"Y"),EXACT($C7,$N7),IF(EXACT($C7,"0000000000"),TRUE,LEN($N7)&gt;0)),IF(EXACT($C7,"0000000000"),LEN($N7)=0,EXACT($N7,"0000000000"))),TRUE)</t>
    <phoneticPr fontId="6"/>
  </si>
  <si>
    <t>③「親」が「Y」（親値）のとき入力不可
③「会社コード」が持株/東/西/ドコモＢ/LJ/ドコモの場合
　　　　「固定資産フラグ」＝Yの場合、
　　　　　　　「サービスコード（値）」＝「事業区分レベル」であること。
　　　　「固定資産フラグ」が未設定の場合、
　　　　　　　「事業区分レベル」が設定されていること。
　　　　　　　「事業区分レベル」に設定された「サービスコード」が
　　　　　　　他の行に存在し、
　　　　　　　　　　「使用可能」＝「Y]　かつ
　　　　　　　　　　「親」＝「N」　　　　　かつ
　　　　　　　　　　「固定資産フラグ」＝「Y」であること。
　　　　　　ただし、「サービスコード」＝「0000000000」の場合、
　　　　　　「事業区分レベル」は未設定、または「0000000000」は許容する。
③「会社コード」が持株/東/西/ドコモＢ/LJ/ドコモ以外の場合、
　　　　「サービスコード」＝「0000000000」の場合、
　　　　　　　「事業区分レベル」は未設定であること。
　　　　「サービスコード」≠「0000000000」、かつ、親＝「N」の場合、
　　　　　　　「事業区分レベル」＝「0000000000」であること。</t>
    <phoneticPr fontId="8"/>
  </si>
  <si>
    <r>
      <t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t>
    </r>
    <r>
      <rPr>
        <sz val="10"/>
        <color rgb="FFFF0000"/>
        <rFont val="ＭＳ Ｐゴシック"/>
        <family val="3"/>
        <charset val="128"/>
      </rPr>
      <t/>
    </r>
    <phoneticPr fontId="8"/>
  </si>
  <si>
    <t>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t>
    <phoneticPr fontId="8"/>
  </si>
  <si>
    <t>ファイルバージョン：21.08</t>
    <phoneticPr fontId="6"/>
  </si>
  <si>
    <t>N</t>
  </si>
  <si>
    <t>2</t>
  </si>
  <si>
    <t>管理番号：9.00</t>
    <phoneticPr fontId="6"/>
  </si>
  <si>
    <t>1234</t>
  </si>
  <si>
    <t>1234</t>
    <phoneticPr fontId="6"/>
  </si>
  <si>
    <t>9000000001</t>
  </si>
  <si>
    <t>OK_子値標準（収益）</t>
  </si>
  <si>
    <t>20260329</t>
  </si>
  <si>
    <t>0000000000</t>
    <phoneticPr fontId="54"/>
  </si>
  <si>
    <t>1000000001</t>
  </si>
  <si>
    <t>NG_チェック2_親かつWBS有</t>
  </si>
  <si>
    <t>1099999999</t>
  </si>
  <si>
    <t>2000000001</t>
  </si>
  <si>
    <t>NG_チェック3_子かつ費用不一致</t>
  </si>
  <si>
    <t>9999999999</t>
  </si>
  <si>
    <t>NG_4-01_費用L不一致（ゼロ埋め）</t>
  </si>
  <si>
    <t>1111111111</t>
  </si>
  <si>
    <t>NG_4-02_事業Lあり</t>
  </si>
  <si>
    <t>NG_4-03_収益Y</t>
  </si>
  <si>
    <t>NG_4-04_費用非Y</t>
  </si>
  <si>
    <t>NG_4-05_固定資産Y</t>
  </si>
  <si>
    <t>NG_4-06_区分経理Y</t>
  </si>
  <si>
    <t>NG_4-07_税金あり</t>
  </si>
  <si>
    <t>NG_4-08_WBS非Y</t>
  </si>
  <si>
    <t>1001</t>
  </si>
  <si>
    <t>3000000001</t>
  </si>
  <si>
    <t>NG_5-01_再編資産区分非Y</t>
  </si>
  <si>
    <t>1002</t>
  </si>
  <si>
    <t>3000000002</t>
  </si>
  <si>
    <t>NG_5-02_再編資産事業L不一致</t>
  </si>
  <si>
    <t>8888</t>
  </si>
  <si>
    <t>3000000003</t>
  </si>
  <si>
    <t>NG_5-03_非再編資産区分Y</t>
  </si>
  <si>
    <t>3000000004</t>
  </si>
  <si>
    <t>NG_5-04_非再編資産コード不備</t>
  </si>
  <si>
    <t>4000000001</t>
  </si>
  <si>
    <t>NG_6-01_費用のみ税金あり</t>
  </si>
  <si>
    <t>4000000002</t>
  </si>
  <si>
    <t>NG_6-02_費用のみWBS非Y</t>
  </si>
  <si>
    <t>5000000001</t>
  </si>
  <si>
    <t>NG_7-01_収益税金末尾非A</t>
  </si>
  <si>
    <t>73B</t>
  </si>
  <si>
    <t>5000000002</t>
  </si>
  <si>
    <t>NG_7-02_収益WBS非Y</t>
  </si>
  <si>
    <t>5000000003</t>
  </si>
  <si>
    <t>NG_7-03_非収益税金あり</t>
  </si>
  <si>
    <t>6000000001</t>
  </si>
  <si>
    <t>NG_8-01_非再編事業L非0</t>
  </si>
  <si>
    <t>7000000001</t>
  </si>
  <si>
    <t>NG_9-01_収益費用共NULL</t>
  </si>
  <si>
    <t>1003</t>
  </si>
  <si>
    <t>9000000002</t>
  </si>
  <si>
    <t>OK_9-01例外（再編区分Y）</t>
  </si>
  <si>
    <t>2:追加</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</si>
</sst>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quot;-&quot;"/>
    <numFmt numFmtId="178" formatCode="&quot;SFr.&quot;#,##0;[Red]&quot;SFr.&quot;\-#,##0"/>
    <numFmt numFmtId="179" formatCode="#,##0.00;[Red]\(#,##0.00\)"/>
  </numFmts>
  <fonts count="55">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12"/>
      <name val="ＭＳ ゴシック"/>
      <family val="3"/>
      <charset val="128"/>
    </font>
    <font>
      <b/>
      <sz val="9"/>
      <color indexed="81"/>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ＭＳ ゴシック"/>
      <family val="3"/>
      <charset val="128"/>
    </font>
    <font>
      <b/>
      <i/>
      <sz val="10"/>
      <color indexed="8"/>
      <name val="ＭＳ ゴシック"/>
      <family val="3"/>
      <charset val="128"/>
    </font>
    <font>
      <b/>
      <sz val="10"/>
      <color indexed="17"/>
      <name val="ＭＳ ゴシック"/>
      <family val="3"/>
      <charset val="128"/>
    </font>
    <font>
      <b/>
      <sz val="16"/>
      <color indexed="13"/>
      <name val="ＭＳ ゴシック"/>
      <family val="3"/>
      <charset val="128"/>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sz val="10"/>
      <name val="ＭＳ ゴシック"/>
      <family val="3"/>
      <charset val="128"/>
    </font>
    <font>
      <b/>
      <sz val="9"/>
      <name val="Times New Roman"/>
      <family val="1"/>
    </font>
    <font>
      <sz val="8"/>
      <color indexed="8"/>
      <name val="Wingdings"/>
      <charset val="2"/>
    </font>
    <font>
      <sz val="11"/>
      <name val="OLF明朝"/>
      <family val="3"/>
      <charset val="128"/>
    </font>
    <font>
      <sz val="14"/>
      <name val="ＭＳ 明朝"/>
      <family val="1"/>
      <charset val="128"/>
    </font>
    <font>
      <sz val="9"/>
      <name val="ＭＳ Ｐゴシック"/>
      <family val="3"/>
      <charset val="128"/>
    </font>
    <font>
      <sz val="10"/>
      <name val="Osaka"/>
      <family val="3"/>
      <charset val="128"/>
    </font>
    <font>
      <sz val="11"/>
      <name val="ＭＳ ゴシック"/>
      <family val="3"/>
      <charset val="128"/>
    </font>
    <font>
      <b/>
      <u/>
      <sz val="14"/>
      <name val="ＭＳ Ｐゴシック"/>
      <family val="3"/>
      <charset val="128"/>
    </font>
    <font>
      <b/>
      <sz val="11"/>
      <name val="ＭＳ Ｐゴシック"/>
      <family val="3"/>
      <charset val="128"/>
    </font>
    <font>
      <sz val="9"/>
      <color indexed="81"/>
      <name val="ＭＳ Ｐゴシック"/>
      <family val="3"/>
      <charset val="128"/>
    </font>
    <font>
      <sz val="18"/>
      <name val="ＭＳ Ｐゴシック"/>
      <family val="3"/>
      <charset val="128"/>
    </font>
    <font>
      <sz val="14"/>
      <name val="ＭＳ Ｐゴシック"/>
      <family val="3"/>
      <charset val="128"/>
    </font>
    <font>
      <sz val="16"/>
      <name val="ＭＳ Ｐゴシック"/>
      <family val="3"/>
      <charset val="128"/>
    </font>
    <font>
      <sz val="12"/>
      <name val="ＭＳ Ｐゴシック"/>
      <family val="3"/>
      <charset val="128"/>
    </font>
    <font>
      <sz val="11"/>
      <color indexed="12"/>
      <name val="ＭＳ Ｐゴシック"/>
      <family val="3"/>
      <charset val="128"/>
    </font>
    <font>
      <sz val="11"/>
      <color theme="1"/>
      <name val="ＭＳ Ｐゴシック"/>
      <family val="2"/>
      <scheme val="minor"/>
    </font>
    <font>
      <sz val="11"/>
      <color rgb="FF000000"/>
      <name val="ＭＳ Ｐゴシック"/>
      <family val="3"/>
      <charset val="128"/>
    </font>
    <font>
      <sz val="11"/>
      <color theme="1"/>
      <name val="Meiryo UI"/>
      <family val="2"/>
      <charset val="128"/>
    </font>
    <font>
      <sz val="6"/>
      <name val="ＭＳ Ｐゴシック"/>
      <family val="2"/>
      <charset val="128"/>
      <scheme val="minor"/>
    </font>
    <font>
      <sz val="6"/>
      <name val="ＭＳ ゴシック"/>
      <family val="2"/>
      <charset val="128"/>
    </font>
    <font>
      <sz val="10"/>
      <color rgb="FFFF0000"/>
      <name val="ＭＳ Ｐゴシック"/>
      <family val="3"/>
      <charset val="128"/>
    </font>
    <font>
      <sz val="11"/>
      <color theme="1"/>
      <name val="ＭＳ Ｐゴシック"/>
      <family val="3"/>
      <charset val="128"/>
      <scheme val="minor"/>
    </font>
    <font>
      <sz val="10"/>
      <color theme="0"/>
      <name val="ＭＳ Ｐゴシック"/>
      <family val="3"/>
      <charset val="128"/>
    </font>
    <font>
      <sz val="10"/>
      <name val="Meiryo UI"/>
      <family val="3"/>
      <charset val="128"/>
    </font>
    <font>
      <sz val="10"/>
      <name val="Noto Sans JP"/>
      <family val="3"/>
      <charset val="134"/>
    </font>
    <font>
      <sz val="6"/>
      <name val="Meiryo UI"/>
      <family val="2"/>
      <charset val="128"/>
    </font>
  </fonts>
  <fills count="28">
    <fill>
      <patternFill patternType="none"/>
    </fill>
    <fill>
      <patternFill patternType="gray125"/>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indexed="43"/>
      </patternFill>
    </fill>
    <fill>
      <patternFill patternType="solid">
        <fgColor indexed="22"/>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indexed="23"/>
        <bgColor indexed="64"/>
      </patternFill>
    </fill>
    <fill>
      <patternFill patternType="solid">
        <fgColor indexed="46"/>
        <bgColor indexed="64"/>
      </patternFill>
    </fill>
    <fill>
      <patternFill patternType="solid">
        <fgColor indexed="55"/>
        <bgColor indexed="64"/>
      </patternFill>
    </fill>
    <fill>
      <patternFill patternType="solid">
        <fgColor rgb="FFFFFF99"/>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5" tint="0.39997558519241921"/>
        <bgColor indexed="64"/>
      </patternFill>
    </fill>
  </fills>
  <borders count="79">
    <border>
      <left/>
      <right/>
      <top/>
      <bottom/>
      <diagonal/>
    </border>
    <border>
      <left style="thin">
        <color indexed="64"/>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double">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s>
  <cellStyleXfs count="74">
    <xf numFmtId="0" fontId="0" fillId="0" borderId="0"/>
    <xf numFmtId="0" fontId="34" fillId="0" borderId="1">
      <alignment horizontal="left" vertical="center"/>
    </xf>
    <xf numFmtId="177" fontId="10" fillId="0" borderId="0" applyFill="0" applyBorder="0" applyAlignment="0"/>
    <xf numFmtId="0" fontId="11" fillId="2" borderId="0">
      <alignment horizontal="left"/>
    </xf>
    <xf numFmtId="0" fontId="12" fillId="2" borderId="0">
      <alignment horizontal="right"/>
    </xf>
    <xf numFmtId="0" fontId="13" fillId="3" borderId="0">
      <alignment horizontal="center"/>
    </xf>
    <xf numFmtId="0" fontId="12" fillId="2" borderId="0">
      <alignment horizontal="right"/>
    </xf>
    <xf numFmtId="0" fontId="13" fillId="3" borderId="0">
      <alignment horizontal="left"/>
    </xf>
    <xf numFmtId="0" fontId="14" fillId="0" borderId="0">
      <alignment horizontal="left"/>
    </xf>
    <xf numFmtId="0" fontId="15" fillId="0" borderId="2" applyNumberFormat="0" applyAlignment="0" applyProtection="0">
      <alignment horizontal="left" vertical="center"/>
    </xf>
    <xf numFmtId="0" fontId="15" fillId="0" borderId="3">
      <alignment horizontal="left" vertical="center"/>
    </xf>
    <xf numFmtId="0" fontId="11" fillId="2" borderId="0">
      <alignment horizontal="left"/>
    </xf>
    <xf numFmtId="0" fontId="16" fillId="3" borderId="0">
      <alignment horizontal="left"/>
    </xf>
    <xf numFmtId="178" fontId="5" fillId="0" borderId="0"/>
    <xf numFmtId="0" fontId="17" fillId="0" borderId="0"/>
    <xf numFmtId="179" fontId="18" fillId="3" borderId="0">
      <alignment horizontal="right"/>
    </xf>
    <xf numFmtId="0" fontId="19" fillId="4" borderId="0">
      <alignment horizontal="center"/>
    </xf>
    <xf numFmtId="0" fontId="11" fillId="5" borderId="0"/>
    <xf numFmtId="0" fontId="20" fillId="3" borderId="0" applyBorder="0">
      <alignment horizontal="centerContinuous"/>
    </xf>
    <xf numFmtId="0" fontId="21" fillId="5" borderId="0" applyBorder="0">
      <alignment horizontal="centerContinuous"/>
    </xf>
    <xf numFmtId="4" fontId="14" fillId="0" borderId="0">
      <alignment horizontal="right"/>
    </xf>
    <xf numFmtId="0" fontId="16" fillId="6" borderId="0">
      <alignment horizontal="center"/>
    </xf>
    <xf numFmtId="49" fontId="22" fillId="3" borderId="0">
      <alignment horizontal="center"/>
    </xf>
    <xf numFmtId="4" fontId="23" fillId="0" borderId="0">
      <alignment horizontal="right"/>
    </xf>
    <xf numFmtId="0" fontId="12" fillId="2" borderId="0">
      <alignment horizontal="center"/>
    </xf>
    <xf numFmtId="0" fontId="12" fillId="2" borderId="0">
      <alignment horizontal="centerContinuous"/>
    </xf>
    <xf numFmtId="0" fontId="24" fillId="3" borderId="0">
      <alignment horizontal="left"/>
    </xf>
    <xf numFmtId="49" fontId="24" fillId="3" borderId="0">
      <alignment horizontal="center"/>
    </xf>
    <xf numFmtId="0" fontId="11" fillId="2" borderId="0">
      <alignment horizontal="left"/>
    </xf>
    <xf numFmtId="49" fontId="24" fillId="3" borderId="0">
      <alignment horizontal="left"/>
    </xf>
    <xf numFmtId="0" fontId="11" fillId="2" borderId="0">
      <alignment horizontal="centerContinuous"/>
    </xf>
    <xf numFmtId="0" fontId="11" fillId="2" borderId="0">
      <alignment horizontal="right"/>
    </xf>
    <xf numFmtId="49" fontId="16" fillId="3" borderId="0">
      <alignment horizontal="left"/>
    </xf>
    <xf numFmtId="0" fontId="12" fillId="2" borderId="0">
      <alignment horizontal="right"/>
    </xf>
    <xf numFmtId="0" fontId="24" fillId="7" borderId="0">
      <alignment horizontal="center"/>
    </xf>
    <xf numFmtId="0" fontId="25" fillId="7" borderId="0">
      <alignment horizontal="center"/>
    </xf>
    <xf numFmtId="0" fontId="26" fillId="0" borderId="0">
      <alignment horizontal="left"/>
    </xf>
    <xf numFmtId="0" fontId="27" fillId="0" borderId="0"/>
    <xf numFmtId="0" fontId="28" fillId="0" borderId="0">
      <alignment wrapText="1"/>
    </xf>
    <xf numFmtId="0" fontId="29" fillId="0" borderId="0">
      <alignment horizontal="center"/>
    </xf>
    <xf numFmtId="0" fontId="30" fillId="3" borderId="0">
      <alignment horizontal="center"/>
    </xf>
    <xf numFmtId="0" fontId="8" fillId="0" borderId="4" applyNumberFormat="0" applyBorder="0">
      <alignment vertical="center"/>
    </xf>
    <xf numFmtId="0" fontId="31" fillId="0" borderId="0" applyFont="0"/>
    <xf numFmtId="0" fontId="5" fillId="0" borderId="0"/>
    <xf numFmtId="0" fontId="5" fillId="0" borderId="0"/>
    <xf numFmtId="0" fontId="5" fillId="0" borderId="0"/>
    <xf numFmtId="0" fontId="5" fillId="0" borderId="0"/>
    <xf numFmtId="3" fontId="35" fillId="0" borderId="0">
      <alignment vertical="center"/>
    </xf>
    <xf numFmtId="0" fontId="28"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 fillId="0" borderId="0">
      <alignment vertical="center"/>
    </xf>
    <xf numFmtId="0" fontId="5" fillId="0" borderId="0"/>
    <xf numFmtId="0" fontId="7" fillId="0" borderId="0"/>
    <xf numFmtId="0" fontId="5" fillId="0" borderId="0">
      <alignment vertical="center"/>
    </xf>
    <xf numFmtId="0" fontId="5" fillId="0" borderId="0"/>
    <xf numFmtId="0" fontId="32" fillId="0" borderId="0"/>
    <xf numFmtId="0" fontId="5" fillId="0" borderId="0"/>
    <xf numFmtId="0" fontId="5" fillId="0" borderId="0">
      <alignment vertical="center"/>
    </xf>
    <xf numFmtId="0" fontId="44" fillId="0" borderId="0"/>
    <xf numFmtId="0" fontId="4" fillId="0" borderId="0">
      <alignment vertical="center"/>
    </xf>
    <xf numFmtId="0" fontId="46" fillId="0" borderId="0">
      <alignment vertical="center"/>
    </xf>
    <xf numFmtId="0" fontId="4" fillId="0" borderId="0">
      <alignment vertical="center"/>
    </xf>
    <xf numFmtId="0" fontId="5" fillId="0" borderId="0"/>
    <xf numFmtId="0" fontId="3" fillId="0" borderId="0">
      <alignment vertical="center"/>
    </xf>
    <xf numFmtId="0" fontId="3" fillId="0" borderId="0">
      <alignment vertical="center"/>
    </xf>
    <xf numFmtId="0" fontId="1" fillId="0" borderId="0">
      <alignment vertical="center"/>
    </xf>
    <xf numFmtId="0" fontId="5" fillId="0" borderId="0"/>
    <xf numFmtId="0" fontId="7" fillId="0" borderId="0"/>
    <xf numFmtId="0" fontId="5" fillId="0" borderId="0"/>
    <xf numFmtId="0" fontId="50" fillId="0" borderId="0">
      <alignment vertical="center"/>
    </xf>
    <xf numFmtId="0" fontId="50" fillId="0" borderId="0">
      <alignment vertical="center"/>
    </xf>
  </cellStyleXfs>
  <cellXfs count="319">
    <xf numFmtId="0" fontId="0" fillId="0" borderId="0" xfId="0"/>
    <xf numFmtId="0" fontId="7" fillId="0" borderId="0" xfId="0" applyFont="1"/>
    <xf numFmtId="0" fontId="0" fillId="0" borderId="0" xfId="0" applyAlignment="1">
      <alignment horizontal="center" vertical="center"/>
    </xf>
    <xf numFmtId="0" fontId="36" fillId="0" borderId="0" xfId="0" applyFont="1"/>
    <xf numFmtId="0" fontId="5" fillId="0" borderId="0" xfId="0" applyFont="1"/>
    <xf numFmtId="0" fontId="37" fillId="10" borderId="8" xfId="0" applyFont="1" applyFill="1" applyBorder="1" applyAlignment="1">
      <alignment horizontal="center" vertical="center"/>
    </xf>
    <xf numFmtId="0" fontId="5" fillId="0" borderId="8" xfId="0" applyFont="1" applyBorder="1"/>
    <xf numFmtId="0" fontId="5" fillId="0" borderId="8" xfId="0" quotePrefix="1" applyFont="1" applyBorder="1"/>
    <xf numFmtId="0" fontId="5" fillId="0" borderId="8" xfId="0" applyFont="1" applyBorder="1" applyAlignment="1">
      <alignment vertical="center" wrapText="1"/>
    </xf>
    <xf numFmtId="0" fontId="7" fillId="0" borderId="0" xfId="53">
      <alignment vertical="center"/>
    </xf>
    <xf numFmtId="0" fontId="39" fillId="0" borderId="0" xfId="53" applyFont="1" applyAlignment="1">
      <alignment horizontal="left" vertical="center"/>
    </xf>
    <xf numFmtId="0" fontId="7" fillId="0" borderId="0" xfId="53" applyAlignment="1">
      <alignment horizontal="center" vertical="center"/>
    </xf>
    <xf numFmtId="0" fontId="7" fillId="11" borderId="10" xfId="53" applyFill="1" applyBorder="1" applyAlignment="1">
      <alignment horizontal="center" vertical="center"/>
    </xf>
    <xf numFmtId="0" fontId="7" fillId="11" borderId="11" xfId="53" applyFill="1" applyBorder="1" applyAlignment="1">
      <alignment horizontal="center" vertical="center"/>
    </xf>
    <xf numFmtId="0" fontId="40" fillId="0" borderId="12" xfId="53" applyFont="1" applyBorder="1" applyAlignment="1">
      <alignment horizontal="center" vertical="center"/>
    </xf>
    <xf numFmtId="0" fontId="40" fillId="0" borderId="13" xfId="53" applyFont="1" applyBorder="1" applyAlignment="1">
      <alignment horizontal="center" vertical="center"/>
    </xf>
    <xf numFmtId="0" fontId="40" fillId="0" borderId="14" xfId="53" applyFont="1" applyBorder="1" applyAlignment="1">
      <alignment horizontal="center" vertical="center"/>
    </xf>
    <xf numFmtId="0" fontId="41" fillId="0" borderId="15" xfId="53" applyFont="1" applyBorder="1" applyAlignment="1">
      <alignment horizontal="center" vertical="center"/>
    </xf>
    <xf numFmtId="0" fontId="39" fillId="0" borderId="0" xfId="53" applyFont="1">
      <alignment vertical="center"/>
    </xf>
    <xf numFmtId="0" fontId="40" fillId="0" borderId="16" xfId="53" applyFont="1" applyBorder="1" applyAlignment="1">
      <alignment horizontal="center" vertical="center"/>
    </xf>
    <xf numFmtId="0" fontId="40" fillId="0" borderId="17" xfId="53" applyFont="1" applyBorder="1" applyAlignment="1">
      <alignment horizontal="center" vertical="center"/>
    </xf>
    <xf numFmtId="0" fontId="40" fillId="0" borderId="15" xfId="53" applyFont="1" applyBorder="1" applyAlignment="1">
      <alignment horizontal="center" vertical="center"/>
    </xf>
    <xf numFmtId="0" fontId="7" fillId="0" borderId="12" xfId="53" applyBorder="1" applyAlignment="1">
      <alignment horizontal="center" vertical="center"/>
    </xf>
    <xf numFmtId="0" fontId="7" fillId="0" borderId="13" xfId="53" applyBorder="1" applyAlignment="1">
      <alignment horizontal="center" vertical="center"/>
    </xf>
    <xf numFmtId="0" fontId="7" fillId="0" borderId="16" xfId="53" applyBorder="1" applyAlignment="1">
      <alignment horizontal="center" vertical="center"/>
    </xf>
    <xf numFmtId="0" fontId="7" fillId="0" borderId="17" xfId="53" applyBorder="1" applyAlignment="1">
      <alignment horizontal="center" vertical="center"/>
    </xf>
    <xf numFmtId="0" fontId="7" fillId="0" borderId="14" xfId="53" applyBorder="1" applyAlignment="1">
      <alignment horizontal="center" vertical="center"/>
    </xf>
    <xf numFmtId="0" fontId="7" fillId="0" borderId="15" xfId="53" applyBorder="1" applyAlignment="1">
      <alignment horizontal="center" vertical="center"/>
    </xf>
    <xf numFmtId="49" fontId="41" fillId="12" borderId="15" xfId="0" applyNumberFormat="1" applyFont="1" applyFill="1" applyBorder="1" applyAlignment="1">
      <alignment horizontal="center" vertical="center"/>
    </xf>
    <xf numFmtId="49" fontId="33" fillId="12" borderId="0" xfId="56" applyNumberFormat="1" applyFont="1" applyFill="1" applyAlignment="1">
      <alignment horizontal="left" vertical="center"/>
    </xf>
    <xf numFmtId="49" fontId="33" fillId="12" borderId="0" xfId="0" applyNumberFormat="1" applyFont="1" applyFill="1" applyAlignment="1">
      <alignment horizontal="left" vertical="center"/>
    </xf>
    <xf numFmtId="176" fontId="33" fillId="12" borderId="0" xfId="0" applyNumberFormat="1" applyFont="1" applyFill="1" applyAlignment="1">
      <alignment horizontal="left" vertical="center"/>
    </xf>
    <xf numFmtId="176" fontId="33" fillId="12" borderId="0" xfId="56" applyNumberFormat="1" applyFont="1" applyFill="1" applyAlignment="1">
      <alignment horizontal="left" vertical="center"/>
    </xf>
    <xf numFmtId="0" fontId="7" fillId="0" borderId="18" xfId="53" applyBorder="1" applyAlignment="1">
      <alignment horizontal="center" vertical="center"/>
    </xf>
    <xf numFmtId="0" fontId="7" fillId="0" borderId="19" xfId="53" applyBorder="1" applyAlignment="1">
      <alignment horizontal="center" vertical="center"/>
    </xf>
    <xf numFmtId="176" fontId="7" fillId="0" borderId="0" xfId="53" applyNumberFormat="1">
      <alignment vertical="center"/>
    </xf>
    <xf numFmtId="0" fontId="42" fillId="0" borderId="0" xfId="53" applyFont="1" applyAlignment="1">
      <alignment horizontal="left" vertical="center"/>
    </xf>
    <xf numFmtId="49" fontId="5" fillId="8" borderId="8" xfId="50" applyNumberFormat="1" applyFill="1" applyBorder="1" applyAlignment="1">
      <alignment horizontal="center" vertical="center"/>
    </xf>
    <xf numFmtId="0" fontId="5" fillId="8" borderId="8" xfId="49" applyFill="1" applyBorder="1" applyAlignment="1">
      <alignment horizontal="center" vertical="center" textRotation="255" wrapText="1"/>
    </xf>
    <xf numFmtId="0" fontId="5" fillId="0" borderId="0" xfId="51" applyAlignment="1">
      <alignment horizontal="center" vertical="center"/>
    </xf>
    <xf numFmtId="0" fontId="5" fillId="0" borderId="0" xfId="52" applyAlignment="1">
      <alignment horizontal="center" vertical="center"/>
    </xf>
    <xf numFmtId="0" fontId="5" fillId="0" borderId="0" xfId="51">
      <alignment vertical="center"/>
    </xf>
    <xf numFmtId="0" fontId="5" fillId="0" borderId="23" xfId="0" applyFont="1" applyBorder="1" applyAlignment="1">
      <alignment horizontal="center" vertical="center"/>
    </xf>
    <xf numFmtId="0" fontId="0" fillId="8" borderId="24" xfId="0" applyFill="1" applyBorder="1" applyAlignment="1">
      <alignment horizontal="center" vertical="center"/>
    </xf>
    <xf numFmtId="49" fontId="0" fillId="8" borderId="8" xfId="0" applyNumberFormat="1" applyFill="1" applyBorder="1" applyAlignment="1">
      <alignment horizontal="center" vertical="center"/>
    </xf>
    <xf numFmtId="0" fontId="0" fillId="11" borderId="8" xfId="0" applyFill="1" applyBorder="1" applyAlignment="1">
      <alignment horizontal="center" vertical="center"/>
    </xf>
    <xf numFmtId="0" fontId="0" fillId="16" borderId="8" xfId="0" applyFill="1" applyBorder="1" applyAlignment="1">
      <alignment horizont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textRotation="255"/>
    </xf>
    <xf numFmtId="0" fontId="0" fillId="8" borderId="21" xfId="0" applyFill="1" applyBorder="1" applyAlignment="1">
      <alignment vertical="center" wrapText="1"/>
    </xf>
    <xf numFmtId="0" fontId="0" fillId="8" borderId="21" xfId="0" applyFill="1" applyBorder="1" applyAlignment="1">
      <alignment horizontal="center" vertical="center" wrapText="1"/>
    </xf>
    <xf numFmtId="49" fontId="0" fillId="8" borderId="21" xfId="0" applyNumberFormat="1" applyFill="1" applyBorder="1" applyAlignment="1">
      <alignment horizontal="center" vertical="center" wrapText="1"/>
    </xf>
    <xf numFmtId="0" fontId="0" fillId="8" borderId="21" xfId="0" applyFill="1" applyBorder="1" applyAlignment="1">
      <alignment horizontal="center" vertical="center" textRotation="255" wrapText="1"/>
    </xf>
    <xf numFmtId="0" fontId="0" fillId="8" borderId="8" xfId="0" applyFill="1" applyBorder="1" applyAlignment="1">
      <alignment horizontal="center" vertical="center" textRotation="255"/>
    </xf>
    <xf numFmtId="0" fontId="0" fillId="9" borderId="8" xfId="0" applyFill="1" applyBorder="1" applyAlignment="1">
      <alignment horizontal="center" vertical="center" textRotation="255" wrapText="1"/>
    </xf>
    <xf numFmtId="0" fontId="0" fillId="8" borderId="8" xfId="0" applyFill="1" applyBorder="1" applyAlignment="1">
      <alignment horizontal="center" vertical="center" textRotation="255" wrapText="1"/>
    </xf>
    <xf numFmtId="0" fontId="5" fillId="9" borderId="8" xfId="49" applyFill="1" applyBorder="1" applyAlignment="1">
      <alignment horizontal="center" vertical="center" textRotation="255" wrapText="1"/>
    </xf>
    <xf numFmtId="0" fontId="7" fillId="11" borderId="8" xfId="0" applyFont="1" applyFill="1" applyBorder="1" applyAlignment="1">
      <alignment horizontal="center" vertical="center" textRotation="255"/>
    </xf>
    <xf numFmtId="0" fontId="7" fillId="15" borderId="8" xfId="0" applyFont="1" applyFill="1" applyBorder="1" applyAlignment="1">
      <alignment horizontal="center" vertical="center" textRotation="255" wrapText="1"/>
    </xf>
    <xf numFmtId="0" fontId="7" fillId="11" borderId="8" xfId="0" applyFont="1" applyFill="1" applyBorder="1" applyAlignment="1">
      <alignment horizontal="center" vertical="center" textRotation="255" wrapText="1"/>
    </xf>
    <xf numFmtId="0" fontId="0" fillId="0" borderId="8" xfId="0" applyBorder="1" applyAlignment="1">
      <alignment horizontal="center" vertical="center" readingOrder="1"/>
    </xf>
    <xf numFmtId="0" fontId="7" fillId="11" borderId="28" xfId="0" applyFont="1" applyFill="1" applyBorder="1" applyAlignment="1">
      <alignment horizontal="center" vertical="center" textRotation="255"/>
    </xf>
    <xf numFmtId="0" fontId="7" fillId="11" borderId="29" xfId="0" applyFont="1" applyFill="1" applyBorder="1" applyAlignment="1">
      <alignment horizontal="center" vertical="center" textRotation="255"/>
    </xf>
    <xf numFmtId="0" fontId="7" fillId="16" borderId="21" xfId="0" applyFont="1" applyFill="1" applyBorder="1" applyAlignment="1">
      <alignment horizontal="center" vertical="center" textRotation="255" wrapText="1"/>
    </xf>
    <xf numFmtId="0" fontId="7" fillId="16" borderId="21" xfId="0" applyFont="1" applyFill="1" applyBorder="1" applyAlignment="1">
      <alignment horizontal="center" vertical="center" textRotation="255"/>
    </xf>
    <xf numFmtId="0" fontId="43" fillId="10" borderId="23" xfId="0" applyFont="1" applyFill="1" applyBorder="1" applyAlignment="1">
      <alignment vertical="top"/>
    </xf>
    <xf numFmtId="49" fontId="5" fillId="0" borderId="23" xfId="0" applyNumberFormat="1" applyFont="1" applyBorder="1" applyAlignment="1">
      <alignment vertical="center" wrapText="1"/>
    </xf>
    <xf numFmtId="0" fontId="5" fillId="0" borderId="23" xfId="0" applyFont="1" applyBorder="1"/>
    <xf numFmtId="49" fontId="5" fillId="0" borderId="23" xfId="0" applyNumberFormat="1" applyFont="1" applyBorder="1" applyAlignment="1">
      <alignment vertical="center"/>
    </xf>
    <xf numFmtId="49" fontId="5" fillId="0" borderId="23" xfId="0" quotePrefix="1" applyNumberFormat="1" applyFont="1" applyBorder="1" applyAlignment="1">
      <alignment vertical="center"/>
    </xf>
    <xf numFmtId="49" fontId="0" fillId="0" borderId="0" xfId="0" applyNumberFormat="1"/>
    <xf numFmtId="0" fontId="0" fillId="17" borderId="0" xfId="0" applyFill="1" applyAlignment="1">
      <alignment vertical="center"/>
    </xf>
    <xf numFmtId="0" fontId="0" fillId="0" borderId="0" xfId="0" applyAlignment="1">
      <alignment vertical="center"/>
    </xf>
    <xf numFmtId="0" fontId="0" fillId="13" borderId="0" xfId="0" applyFill="1" applyAlignment="1">
      <alignment horizontal="center" vertical="center"/>
    </xf>
    <xf numFmtId="0" fontId="0" fillId="0" borderId="0" xfId="0" applyAlignment="1">
      <alignment horizontal="center"/>
    </xf>
    <xf numFmtId="0" fontId="7" fillId="0" borderId="0" xfId="0" applyFont="1" applyAlignment="1">
      <alignment horizontal="left" vertical="top"/>
    </xf>
    <xf numFmtId="49" fontId="7" fillId="0" borderId="0" xfId="0" applyNumberFormat="1" applyFont="1" applyAlignment="1">
      <alignment horizontal="left"/>
    </xf>
    <xf numFmtId="49" fontId="7" fillId="0" borderId="23" xfId="57" applyNumberFormat="1" applyFont="1" applyBorder="1" applyAlignment="1">
      <alignment horizontal="left" vertical="center"/>
    </xf>
    <xf numFmtId="0" fontId="5" fillId="0" borderId="33" xfId="0" applyFont="1" applyBorder="1" applyAlignment="1">
      <alignment horizontal="center" vertical="center"/>
    </xf>
    <xf numFmtId="0" fontId="43" fillId="10" borderId="33" xfId="0" applyFont="1" applyFill="1" applyBorder="1" applyAlignment="1">
      <alignment vertical="top"/>
    </xf>
    <xf numFmtId="49" fontId="5" fillId="0" borderId="33" xfId="0" applyNumberFormat="1" applyFont="1" applyBorder="1" applyAlignment="1">
      <alignment vertical="center" wrapText="1"/>
    </xf>
    <xf numFmtId="0" fontId="5" fillId="0" borderId="33" xfId="0" applyFont="1" applyBorder="1"/>
    <xf numFmtId="49" fontId="5" fillId="0" borderId="33" xfId="0" applyNumberFormat="1" applyFont="1" applyBorder="1" applyAlignment="1">
      <alignment vertical="center"/>
    </xf>
    <xf numFmtId="49" fontId="5" fillId="0" borderId="33" xfId="0" quotePrefix="1" applyNumberFormat="1" applyFont="1" applyBorder="1" applyAlignment="1">
      <alignment vertical="center"/>
    </xf>
    <xf numFmtId="49" fontId="7" fillId="0" borderId="0" xfId="0" applyNumberFormat="1" applyFont="1" applyAlignment="1" applyProtection="1">
      <alignment horizontal="left"/>
      <protection locked="0"/>
    </xf>
    <xf numFmtId="49" fontId="0" fillId="18" borderId="8" xfId="0" applyNumberFormat="1" applyFill="1" applyBorder="1" applyAlignment="1">
      <alignment horizontal="center" vertical="center"/>
    </xf>
    <xf numFmtId="0" fontId="0" fillId="18" borderId="8" xfId="0" applyFill="1" applyBorder="1" applyAlignment="1">
      <alignment horizontal="center" vertical="center" textRotation="255"/>
    </xf>
    <xf numFmtId="49" fontId="7" fillId="0" borderId="0" xfId="0" applyNumberFormat="1" applyFont="1"/>
    <xf numFmtId="49" fontId="7" fillId="0" borderId="0" xfId="0" applyNumberFormat="1" applyFont="1" applyAlignment="1">
      <alignment vertical="top"/>
    </xf>
    <xf numFmtId="49" fontId="7" fillId="0" borderId="0" xfId="0" applyNumberFormat="1" applyFont="1" applyAlignment="1">
      <alignment vertical="top" wrapText="1"/>
    </xf>
    <xf numFmtId="49" fontId="7" fillId="0" borderId="0" xfId="0" applyNumberFormat="1" applyFont="1" applyAlignment="1">
      <alignment horizontal="center"/>
    </xf>
    <xf numFmtId="0" fontId="7" fillId="0" borderId="7" xfId="0" applyFont="1" applyBorder="1" applyAlignment="1">
      <alignment horizontal="center"/>
    </xf>
    <xf numFmtId="49" fontId="7" fillId="0" borderId="5" xfId="0" applyNumberFormat="1" applyFont="1" applyBorder="1" applyAlignment="1">
      <alignment horizontal="center"/>
    </xf>
    <xf numFmtId="49" fontId="7" fillId="12" borderId="5" xfId="0" applyNumberFormat="1" applyFont="1" applyFill="1" applyBorder="1" applyAlignment="1">
      <alignment horizontal="center"/>
    </xf>
    <xf numFmtId="49" fontId="7" fillId="9" borderId="5" xfId="0" applyNumberFormat="1" applyFont="1" applyFill="1" applyBorder="1" applyAlignment="1">
      <alignment horizontal="center"/>
    </xf>
    <xf numFmtId="49" fontId="7" fillId="10" borderId="5" xfId="0" applyNumberFormat="1" applyFont="1" applyFill="1" applyBorder="1" applyAlignment="1">
      <alignment horizontal="center"/>
    </xf>
    <xf numFmtId="49" fontId="7" fillId="10" borderId="5" xfId="0" applyNumberFormat="1" applyFont="1" applyFill="1" applyBorder="1" applyAlignment="1">
      <alignment horizontal="center" vertical="top" wrapText="1"/>
    </xf>
    <xf numFmtId="49" fontId="7" fillId="0" borderId="5" xfId="0" applyNumberFormat="1" applyFont="1" applyBorder="1" applyAlignment="1">
      <alignment horizontal="center" vertical="top" wrapText="1"/>
    </xf>
    <xf numFmtId="49" fontId="7" fillId="0" borderId="5" xfId="0" applyNumberFormat="1" applyFont="1" applyBorder="1" applyAlignment="1">
      <alignment horizontal="center" vertical="top"/>
    </xf>
    <xf numFmtId="49" fontId="7" fillId="0" borderId="6" xfId="0" applyNumberFormat="1" applyFont="1" applyBorder="1" applyAlignment="1">
      <alignment horizontal="center"/>
    </xf>
    <xf numFmtId="0" fontId="7" fillId="0" borderId="31" xfId="0" applyFont="1" applyBorder="1" applyAlignment="1">
      <alignment horizontal="left" vertical="center"/>
    </xf>
    <xf numFmtId="0" fontId="7" fillId="0" borderId="23" xfId="0" applyFont="1" applyBorder="1" applyAlignment="1">
      <alignment horizontal="left" vertical="center"/>
    </xf>
    <xf numFmtId="0" fontId="7" fillId="0" borderId="23" xfId="0" applyFont="1" applyBorder="1" applyAlignment="1">
      <alignment horizontal="left" vertical="center" wrapText="1"/>
    </xf>
    <xf numFmtId="49" fontId="7" fillId="0" borderId="23" xfId="0" applyNumberFormat="1" applyFont="1" applyBorder="1" applyAlignment="1">
      <alignment horizontal="left" vertical="center" wrapText="1"/>
    </xf>
    <xf numFmtId="0" fontId="7" fillId="0" borderId="37" xfId="0" applyFont="1" applyBorder="1" applyAlignment="1">
      <alignment horizontal="left" vertical="center" wrapText="1"/>
    </xf>
    <xf numFmtId="0" fontId="7" fillId="0" borderId="38" xfId="0" applyFont="1" applyBorder="1" applyAlignment="1">
      <alignment horizontal="left" vertical="center"/>
    </xf>
    <xf numFmtId="0" fontId="7" fillId="0" borderId="39" xfId="0" applyFont="1" applyBorder="1" applyAlignment="1">
      <alignment horizontal="left" vertical="center"/>
    </xf>
    <xf numFmtId="0" fontId="7" fillId="0" borderId="39" xfId="0" applyFont="1" applyBorder="1" applyAlignment="1">
      <alignment horizontal="left" vertical="center" wrapText="1"/>
    </xf>
    <xf numFmtId="0" fontId="7" fillId="0" borderId="40" xfId="0" applyFont="1" applyBorder="1" applyAlignment="1">
      <alignment horizontal="left" vertical="center" wrapText="1"/>
    </xf>
    <xf numFmtId="0" fontId="0" fillId="0" borderId="8" xfId="0" applyBorder="1"/>
    <xf numFmtId="0" fontId="0" fillId="0" borderId="8" xfId="0" applyBorder="1" applyAlignment="1">
      <alignment vertical="center" textRotation="255"/>
    </xf>
    <xf numFmtId="0" fontId="5" fillId="0" borderId="23" xfId="0" applyFont="1" applyBorder="1" applyAlignment="1">
      <alignment horizontal="center"/>
    </xf>
    <xf numFmtId="0" fontId="5" fillId="0" borderId="33" xfId="0" applyFont="1" applyBorder="1" applyAlignment="1">
      <alignment horizontal="center"/>
    </xf>
    <xf numFmtId="49" fontId="0" fillId="0" borderId="23" xfId="0" quotePrefix="1" applyNumberFormat="1" applyBorder="1" applyAlignment="1">
      <alignment vertical="center"/>
    </xf>
    <xf numFmtId="49" fontId="0" fillId="11" borderId="8" xfId="0" applyNumberFormat="1" applyFill="1" applyBorder="1" applyAlignment="1">
      <alignment horizontal="center" vertical="center"/>
    </xf>
    <xf numFmtId="0" fontId="7" fillId="0" borderId="23" xfId="0" quotePrefix="1" applyFont="1" applyBorder="1" applyAlignment="1">
      <alignment horizontal="left" vertical="center" wrapText="1"/>
    </xf>
    <xf numFmtId="0" fontId="7" fillId="8" borderId="44" xfId="0" applyFont="1" applyFill="1" applyBorder="1" applyAlignment="1">
      <alignment vertical="top"/>
    </xf>
    <xf numFmtId="0" fontId="7" fillId="8" borderId="43" xfId="0" applyFont="1" applyFill="1" applyBorder="1" applyAlignment="1">
      <alignment vertical="top" wrapText="1"/>
    </xf>
    <xf numFmtId="49" fontId="7" fillId="8" borderId="43" xfId="0" applyNumberFormat="1" applyFont="1" applyFill="1" applyBorder="1" applyAlignment="1">
      <alignment vertical="top"/>
    </xf>
    <xf numFmtId="49" fontId="7" fillId="8" borderId="43" xfId="0" applyNumberFormat="1" applyFont="1" applyFill="1" applyBorder="1" applyAlignment="1">
      <alignment vertical="top" wrapText="1"/>
    </xf>
    <xf numFmtId="49" fontId="7" fillId="8" borderId="45" xfId="0" applyNumberFormat="1" applyFont="1" applyFill="1" applyBorder="1" applyAlignment="1">
      <alignment vertical="top" wrapText="1"/>
    </xf>
    <xf numFmtId="0" fontId="7" fillId="0" borderId="39" xfId="0" quotePrefix="1" applyFont="1" applyBorder="1" applyAlignment="1">
      <alignment horizontal="left" vertical="center" wrapText="1"/>
    </xf>
    <xf numFmtId="0" fontId="0" fillId="13" borderId="46" xfId="0" applyFill="1" applyBorder="1" applyAlignment="1">
      <alignment horizontal="center" vertical="center"/>
    </xf>
    <xf numFmtId="0" fontId="0" fillId="13" borderId="47" xfId="0" applyFill="1" applyBorder="1" applyAlignment="1">
      <alignment horizontal="center" vertical="center"/>
    </xf>
    <xf numFmtId="0" fontId="0" fillId="12" borderId="48" xfId="0" applyFill="1" applyBorder="1" applyAlignment="1">
      <alignment horizontal="center" vertical="center"/>
    </xf>
    <xf numFmtId="14" fontId="0" fillId="12" borderId="49" xfId="0" applyNumberFormat="1" applyFill="1" applyBorder="1" applyProtection="1">
      <protection locked="0"/>
    </xf>
    <xf numFmtId="0" fontId="0" fillId="14" borderId="35" xfId="0" applyFill="1" applyBorder="1" applyProtection="1">
      <protection locked="0"/>
    </xf>
    <xf numFmtId="0" fontId="0" fillId="14" borderId="36" xfId="0" applyFill="1" applyBorder="1" applyProtection="1">
      <protection locked="0"/>
    </xf>
    <xf numFmtId="0" fontId="0" fillId="0" borderId="50" xfId="0" applyBorder="1"/>
    <xf numFmtId="0" fontId="0" fillId="0" borderId="22" xfId="0" applyBorder="1"/>
    <xf numFmtId="49" fontId="0" fillId="0" borderId="33" xfId="0" quotePrefix="1" applyNumberFormat="1" applyBorder="1" applyAlignment="1">
      <alignment vertical="center"/>
    </xf>
    <xf numFmtId="0" fontId="5" fillId="0" borderId="3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23" xfId="0" applyFont="1" applyBorder="1" applyAlignment="1">
      <alignment horizontal="left" vertical="center"/>
    </xf>
    <xf numFmtId="0" fontId="5" fillId="10" borderId="23" xfId="0" applyFont="1" applyFill="1" applyBorder="1" applyAlignment="1">
      <alignment vertical="center" wrapText="1"/>
    </xf>
    <xf numFmtId="0" fontId="5" fillId="10" borderId="23" xfId="0" applyFont="1" applyFill="1" applyBorder="1" applyAlignment="1">
      <alignment horizontal="left" vertical="center"/>
    </xf>
    <xf numFmtId="0" fontId="5" fillId="10" borderId="23" xfId="0" applyFont="1" applyFill="1" applyBorder="1" applyAlignment="1">
      <alignment horizontal="center" vertical="center"/>
    </xf>
    <xf numFmtId="0" fontId="5" fillId="15" borderId="23" xfId="0" applyFont="1" applyFill="1" applyBorder="1" applyAlignment="1">
      <alignment horizontal="center" vertical="center"/>
    </xf>
    <xf numFmtId="0" fontId="5"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3" xfId="0" applyFont="1" applyBorder="1" applyAlignment="1">
      <alignment horizontal="left" vertical="center"/>
    </xf>
    <xf numFmtId="0" fontId="5" fillId="10" borderId="33" xfId="0" applyFont="1" applyFill="1" applyBorder="1" applyAlignment="1">
      <alignment vertical="center" wrapText="1"/>
    </xf>
    <xf numFmtId="0" fontId="5" fillId="10" borderId="33" xfId="0" applyFont="1" applyFill="1" applyBorder="1" applyAlignment="1">
      <alignment horizontal="left" vertical="center"/>
    </xf>
    <xf numFmtId="0" fontId="5" fillId="10" borderId="33" xfId="0" applyFont="1" applyFill="1" applyBorder="1" applyAlignment="1">
      <alignment horizontal="center" vertical="center"/>
    </xf>
    <xf numFmtId="0" fontId="5" fillId="15" borderId="33" xfId="0" applyFont="1" applyFill="1" applyBorder="1" applyAlignment="1">
      <alignment horizontal="center" vertical="center"/>
    </xf>
    <xf numFmtId="49" fontId="7" fillId="0" borderId="39" xfId="0" applyNumberFormat="1" applyFont="1" applyBorder="1" applyAlignment="1">
      <alignment horizontal="left" vertical="center" wrapText="1"/>
    </xf>
    <xf numFmtId="0" fontId="7" fillId="0" borderId="0" xfId="54" applyFont="1" applyAlignment="1">
      <alignment horizontal="left" vertical="center"/>
    </xf>
    <xf numFmtId="0" fontId="7" fillId="0" borderId="0" xfId="54" applyFont="1" applyAlignment="1">
      <alignment horizontal="center" vertical="center" wrapText="1"/>
    </xf>
    <xf numFmtId="0" fontId="0" fillId="20" borderId="9" xfId="0" applyFill="1" applyBorder="1" applyAlignment="1">
      <alignment horizontal="center" vertical="center"/>
    </xf>
    <xf numFmtId="0" fontId="0" fillId="20" borderId="8" xfId="0" applyFill="1" applyBorder="1" applyAlignment="1">
      <alignment horizontal="center" vertical="center"/>
    </xf>
    <xf numFmtId="0" fontId="0" fillId="20" borderId="34" xfId="0" applyFill="1" applyBorder="1" applyAlignment="1">
      <alignment horizontal="center" vertical="center"/>
    </xf>
    <xf numFmtId="0" fontId="0" fillId="20" borderId="16" xfId="0" applyFill="1" applyBorder="1" applyAlignment="1">
      <alignment horizontal="center" vertical="center"/>
    </xf>
    <xf numFmtId="0" fontId="0" fillId="20" borderId="21" xfId="0" applyFill="1" applyBorder="1" applyAlignment="1">
      <alignment horizontal="center" vertical="center"/>
    </xf>
    <xf numFmtId="0" fontId="0" fillId="0" borderId="23" xfId="0" applyBorder="1" applyAlignment="1">
      <alignment horizontal="center" vertical="center"/>
    </xf>
    <xf numFmtId="0" fontId="0" fillId="20" borderId="17" xfId="0" applyFill="1" applyBorder="1" applyAlignment="1">
      <alignment horizontal="center" vertical="center"/>
    </xf>
    <xf numFmtId="0" fontId="0" fillId="0" borderId="8" xfId="0" applyBorder="1" applyAlignment="1">
      <alignment vertical="center"/>
    </xf>
    <xf numFmtId="0" fontId="7" fillId="18" borderId="8" xfId="0" applyFont="1" applyFill="1" applyBorder="1" applyAlignment="1">
      <alignment vertical="center" textRotation="255" wrapText="1"/>
    </xf>
    <xf numFmtId="0" fontId="0" fillId="21" borderId="8" xfId="0" applyFill="1" applyBorder="1" applyAlignment="1">
      <alignment horizontal="center" vertical="center"/>
    </xf>
    <xf numFmtId="49" fontId="0" fillId="0" borderId="8" xfId="0" applyNumberFormat="1" applyBorder="1" applyAlignment="1">
      <alignment vertical="center"/>
    </xf>
    <xf numFmtId="49" fontId="0" fillId="0" borderId="0" xfId="0" applyNumberFormat="1" applyAlignment="1">
      <alignment vertical="center"/>
    </xf>
    <xf numFmtId="0" fontId="43" fillId="10" borderId="23" xfId="0" applyFont="1" applyFill="1" applyBorder="1" applyAlignment="1">
      <alignment vertical="top" wrapText="1"/>
    </xf>
    <xf numFmtId="0" fontId="7" fillId="0" borderId="0" xfId="0" applyFont="1" applyAlignment="1">
      <alignment horizontal="center" vertical="center" wrapText="1"/>
    </xf>
    <xf numFmtId="49" fontId="7" fillId="0" borderId="0" xfId="55" applyNumberFormat="1"/>
    <xf numFmtId="0" fontId="0" fillId="20" borderId="9" xfId="0" applyFill="1" applyBorder="1" applyAlignment="1">
      <alignment horizontal="left" vertical="top" wrapText="1"/>
    </xf>
    <xf numFmtId="0" fontId="0" fillId="20" borderId="8" xfId="0" applyFill="1" applyBorder="1" applyAlignment="1">
      <alignment horizontal="left" vertical="top" wrapText="1"/>
    </xf>
    <xf numFmtId="0" fontId="0" fillId="20" borderId="34" xfId="0" applyFill="1" applyBorder="1" applyAlignment="1">
      <alignment horizontal="left" vertical="top" wrapText="1"/>
    </xf>
    <xf numFmtId="0" fontId="42" fillId="0" borderId="0" xfId="0" applyFont="1"/>
    <xf numFmtId="49" fontId="0" fillId="0" borderId="0" xfId="0" applyNumberFormat="1" applyAlignment="1">
      <alignment vertical="center" wrapText="1"/>
    </xf>
    <xf numFmtId="49" fontId="0" fillId="21" borderId="59" xfId="0" applyNumberFormat="1" applyFill="1" applyBorder="1" applyAlignment="1">
      <alignment horizontal="center" vertical="center" wrapText="1"/>
    </xf>
    <xf numFmtId="49" fontId="0" fillId="21" borderId="6" xfId="0" applyNumberFormat="1" applyFill="1" applyBorder="1" applyAlignment="1">
      <alignment horizontal="center" vertical="center" wrapText="1"/>
    </xf>
    <xf numFmtId="49" fontId="0" fillId="21" borderId="9" xfId="0" applyNumberFormat="1" applyFill="1" applyBorder="1" applyAlignment="1">
      <alignment horizontal="center" vertical="center"/>
    </xf>
    <xf numFmtId="49" fontId="0" fillId="21" borderId="8" xfId="0" applyNumberFormat="1" applyFill="1" applyBorder="1" applyAlignment="1">
      <alignment horizontal="center" vertical="center"/>
    </xf>
    <xf numFmtId="49" fontId="0" fillId="21" borderId="34" xfId="0" applyNumberFormat="1" applyFill="1" applyBorder="1" applyAlignment="1">
      <alignment horizontal="center" vertical="center"/>
    </xf>
    <xf numFmtId="49" fontId="0" fillId="24" borderId="53" xfId="0" applyNumberFormat="1" applyFill="1" applyBorder="1" applyAlignment="1">
      <alignment horizontal="center" vertical="center"/>
    </xf>
    <xf numFmtId="49" fontId="0" fillId="24" borderId="8" xfId="0" applyNumberFormat="1" applyFill="1" applyBorder="1" applyAlignment="1">
      <alignment horizontal="center" vertical="center"/>
    </xf>
    <xf numFmtId="49" fontId="0" fillId="24" borderId="22" xfId="0" applyNumberFormat="1" applyFill="1" applyBorder="1" applyAlignment="1">
      <alignment horizontal="center" vertical="center"/>
    </xf>
    <xf numFmtId="49" fontId="0" fillId="25" borderId="9" xfId="0" applyNumberFormat="1" applyFill="1" applyBorder="1" applyAlignment="1">
      <alignment horizontal="center" vertical="center"/>
    </xf>
    <xf numFmtId="49" fontId="0" fillId="25" borderId="8" xfId="0" applyNumberFormat="1" applyFill="1" applyBorder="1" applyAlignment="1">
      <alignment horizontal="center" vertical="center"/>
    </xf>
    <xf numFmtId="49" fontId="0" fillId="25" borderId="34" xfId="0" applyNumberFormat="1" applyFill="1" applyBorder="1" applyAlignment="1">
      <alignment horizontal="center" vertical="center"/>
    </xf>
    <xf numFmtId="49" fontId="0" fillId="26" borderId="53" xfId="0" applyNumberFormat="1" applyFill="1" applyBorder="1" applyAlignment="1">
      <alignment horizontal="center" vertical="center"/>
    </xf>
    <xf numFmtId="49" fontId="0" fillId="26" borderId="8" xfId="0" applyNumberFormat="1" applyFill="1" applyBorder="1" applyAlignment="1">
      <alignment horizontal="center" vertical="center"/>
    </xf>
    <xf numFmtId="49" fontId="0" fillId="26" borderId="34" xfId="0" applyNumberFormat="1" applyFill="1" applyBorder="1" applyAlignment="1">
      <alignment horizontal="center" vertical="center"/>
    </xf>
    <xf numFmtId="49" fontId="0" fillId="21" borderId="35" xfId="0" applyNumberFormat="1" applyFill="1" applyBorder="1" applyAlignment="1">
      <alignment horizontal="center" vertical="center"/>
    </xf>
    <xf numFmtId="49" fontId="0" fillId="21" borderId="51" xfId="0" applyNumberFormat="1" applyFill="1" applyBorder="1" applyAlignment="1">
      <alignment horizontal="center" vertical="center"/>
    </xf>
    <xf numFmtId="49" fontId="0" fillId="21" borderId="36" xfId="0" applyNumberFormat="1" applyFill="1" applyBorder="1" applyAlignment="1">
      <alignment horizontal="center" vertical="center"/>
    </xf>
    <xf numFmtId="49" fontId="0" fillId="24" borderId="64" xfId="0" applyNumberFormat="1" applyFill="1" applyBorder="1" applyAlignment="1">
      <alignment horizontal="center" vertical="center"/>
    </xf>
    <xf numFmtId="49" fontId="0" fillId="24" borderId="51"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25" borderId="35" xfId="0" applyNumberFormat="1" applyFill="1" applyBorder="1" applyAlignment="1">
      <alignment horizontal="center" vertical="center"/>
    </xf>
    <xf numFmtId="49" fontId="0" fillId="25" borderId="51" xfId="0" applyNumberFormat="1" applyFill="1" applyBorder="1" applyAlignment="1">
      <alignment horizontal="center" vertical="center"/>
    </xf>
    <xf numFmtId="49" fontId="0" fillId="25" borderId="36" xfId="0" applyNumberFormat="1" applyFill="1" applyBorder="1" applyAlignment="1">
      <alignment horizontal="center" vertical="center"/>
    </xf>
    <xf numFmtId="49" fontId="0" fillId="26" borderId="64" xfId="0" applyNumberFormat="1" applyFill="1" applyBorder="1" applyAlignment="1">
      <alignment horizontal="center" vertical="center"/>
    </xf>
    <xf numFmtId="49" fontId="0" fillId="26" borderId="51" xfId="0" applyNumberFormat="1" applyFill="1" applyBorder="1" applyAlignment="1">
      <alignment horizontal="center" vertical="center"/>
    </xf>
    <xf numFmtId="49" fontId="0" fillId="26" borderId="36" xfId="0" applyNumberFormat="1" applyFill="1" applyBorder="1" applyAlignment="1">
      <alignment horizontal="center" vertical="center"/>
    </xf>
    <xf numFmtId="49" fontId="0" fillId="21" borderId="65" xfId="0" applyNumberFormat="1" applyFill="1" applyBorder="1" applyAlignment="1">
      <alignment vertical="center"/>
    </xf>
    <xf numFmtId="49" fontId="0" fillId="21" borderId="58" xfId="0" applyNumberFormat="1" applyFill="1" applyBorder="1" applyAlignment="1">
      <alignment horizontal="center" vertical="center"/>
    </xf>
    <xf numFmtId="49" fontId="0" fillId="0" borderId="10" xfId="0" applyNumberFormat="1" applyBorder="1" applyAlignment="1">
      <alignment horizontal="center" vertical="center"/>
    </xf>
    <xf numFmtId="49" fontId="0" fillId="0" borderId="66" xfId="0" applyNumberFormat="1" applyBorder="1" applyAlignment="1">
      <alignment horizontal="center" vertical="center"/>
    </xf>
    <xf numFmtId="49" fontId="0" fillId="0" borderId="11" xfId="0" applyNumberFormat="1" applyBorder="1" applyAlignment="1">
      <alignment horizontal="center" vertical="center"/>
    </xf>
    <xf numFmtId="49" fontId="0" fillId="0" borderId="57" xfId="0" applyNumberFormat="1" applyBorder="1" applyAlignment="1">
      <alignment horizontal="center" vertical="center"/>
    </xf>
    <xf numFmtId="49" fontId="0" fillId="0" borderId="58" xfId="0" applyNumberFormat="1" applyBorder="1" applyAlignment="1">
      <alignment horizontal="center" vertical="center"/>
    </xf>
    <xf numFmtId="49" fontId="0" fillId="21" borderId="67" xfId="0" applyNumberFormat="1" applyFill="1" applyBorder="1" applyAlignment="1">
      <alignment vertical="center"/>
    </xf>
    <xf numFmtId="49" fontId="0" fillId="21" borderId="22" xfId="0" applyNumberFormat="1" applyFill="1" applyBorder="1" applyAlignment="1">
      <alignment horizontal="center" vertical="center"/>
    </xf>
    <xf numFmtId="49" fontId="0" fillId="0" borderId="9" xfId="0" applyNumberFormat="1" applyBorder="1" applyAlignment="1">
      <alignment horizontal="center" vertical="center"/>
    </xf>
    <xf numFmtId="49" fontId="0" fillId="0" borderId="8" xfId="0" applyNumberFormat="1" applyBorder="1" applyAlignment="1">
      <alignment horizontal="center" vertical="center"/>
    </xf>
    <xf numFmtId="49" fontId="0" fillId="0" borderId="34" xfId="0" applyNumberFormat="1" applyBorder="1" applyAlignment="1">
      <alignment horizontal="center" vertical="center"/>
    </xf>
    <xf numFmtId="49" fontId="0" fillId="0" borderId="53" xfId="0" applyNumberFormat="1" applyBorder="1" applyAlignment="1">
      <alignment horizontal="center" vertical="center"/>
    </xf>
    <xf numFmtId="49" fontId="0" fillId="0" borderId="22" xfId="0" applyNumberFormat="1" applyBorder="1" applyAlignment="1">
      <alignment horizontal="center" vertical="center"/>
    </xf>
    <xf numFmtId="49" fontId="0" fillId="21" borderId="46" xfId="0" applyNumberFormat="1" applyFill="1" applyBorder="1" applyAlignment="1">
      <alignment horizontal="center" vertical="center"/>
    </xf>
    <xf numFmtId="49" fontId="0" fillId="0" borderId="35" xfId="0" applyNumberFormat="1" applyBorder="1" applyAlignment="1">
      <alignment horizontal="center" vertical="center"/>
    </xf>
    <xf numFmtId="49" fontId="0" fillId="0" borderId="51" xfId="0" applyNumberFormat="1" applyBorder="1" applyAlignment="1">
      <alignment horizontal="center" vertical="center"/>
    </xf>
    <xf numFmtId="49" fontId="0" fillId="0" borderId="36" xfId="0" applyNumberFormat="1" applyBorder="1" applyAlignment="1">
      <alignment horizontal="center" vertical="center"/>
    </xf>
    <xf numFmtId="49" fontId="0" fillId="0" borderId="64" xfId="0" applyNumberFormat="1" applyBorder="1" applyAlignment="1">
      <alignment horizontal="center" vertical="center"/>
    </xf>
    <xf numFmtId="49" fontId="0" fillId="0" borderId="46" xfId="0" applyNumberFormat="1" applyBorder="1" applyAlignment="1">
      <alignment horizontal="center" vertical="center"/>
    </xf>
    <xf numFmtId="49" fontId="0" fillId="24" borderId="65" xfId="0" applyNumberFormat="1" applyFill="1" applyBorder="1" applyAlignment="1">
      <alignment vertical="center"/>
    </xf>
    <xf numFmtId="49" fontId="0" fillId="24" borderId="58" xfId="0" applyNumberFormat="1" applyFill="1" applyBorder="1" applyAlignment="1">
      <alignment horizontal="center" vertical="center"/>
    </xf>
    <xf numFmtId="49" fontId="0" fillId="24" borderId="67" xfId="0" applyNumberFormat="1" applyFill="1" applyBorder="1" applyAlignment="1">
      <alignment vertical="center"/>
    </xf>
    <xf numFmtId="49" fontId="0" fillId="24" borderId="67" xfId="0" applyNumberFormat="1" applyFill="1" applyBorder="1" applyAlignment="1">
      <alignment horizontal="right" vertical="center"/>
    </xf>
    <xf numFmtId="49" fontId="0" fillId="27" borderId="22" xfId="0" applyNumberFormat="1" applyFill="1" applyBorder="1" applyAlignment="1">
      <alignment horizontal="center" vertical="center"/>
    </xf>
    <xf numFmtId="49" fontId="0" fillId="24" borderId="68" xfId="0" applyNumberFormat="1" applyFill="1" applyBorder="1" applyAlignment="1">
      <alignment horizontal="right" vertical="center"/>
    </xf>
    <xf numFmtId="49" fontId="0" fillId="27" borderId="46" xfId="0" applyNumberFormat="1" applyFill="1" applyBorder="1" applyAlignment="1">
      <alignment horizontal="center" vertical="center"/>
    </xf>
    <xf numFmtId="49" fontId="0" fillId="0" borderId="67" xfId="0" applyNumberFormat="1" applyBorder="1" applyAlignment="1">
      <alignment vertical="center"/>
    </xf>
    <xf numFmtId="49" fontId="0" fillId="0" borderId="69" xfId="0" applyNumberFormat="1" applyBorder="1" applyAlignment="1">
      <alignment horizontal="center" vertical="center"/>
    </xf>
    <xf numFmtId="49" fontId="0" fillId="0" borderId="70" xfId="0" applyNumberFormat="1" applyBorder="1" applyAlignment="1">
      <alignment horizontal="center" vertical="center"/>
    </xf>
    <xf numFmtId="49" fontId="0" fillId="0" borderId="71" xfId="0" applyNumberFormat="1" applyBorder="1" applyAlignment="1">
      <alignment horizontal="center" vertical="center"/>
    </xf>
    <xf numFmtId="49" fontId="0" fillId="0" borderId="72" xfId="0" applyNumberFormat="1" applyBorder="1" applyAlignment="1">
      <alignment horizontal="center" vertical="center"/>
    </xf>
    <xf numFmtId="49" fontId="0" fillId="0" borderId="73" xfId="0" applyNumberFormat="1" applyBorder="1" applyAlignment="1">
      <alignment horizontal="center" vertical="center"/>
    </xf>
    <xf numFmtId="49" fontId="0" fillId="25" borderId="65" xfId="0" applyNumberFormat="1" applyFill="1" applyBorder="1" applyAlignment="1">
      <alignment vertical="center"/>
    </xf>
    <xf numFmtId="49" fontId="0" fillId="25" borderId="58" xfId="0" applyNumberFormat="1" applyFill="1" applyBorder="1" applyAlignment="1">
      <alignment horizontal="center" vertical="center"/>
    </xf>
    <xf numFmtId="49" fontId="0" fillId="25" borderId="67" xfId="0" applyNumberFormat="1" applyFill="1" applyBorder="1" applyAlignment="1">
      <alignment horizontal="right" vertical="center"/>
    </xf>
    <xf numFmtId="49" fontId="0" fillId="25" borderId="22" xfId="0" applyNumberFormat="1" applyFill="1" applyBorder="1" applyAlignment="1">
      <alignment horizontal="center" vertical="center"/>
    </xf>
    <xf numFmtId="49" fontId="0" fillId="25" borderId="68" xfId="0" applyNumberFormat="1" applyFill="1" applyBorder="1" applyAlignment="1">
      <alignment vertical="center"/>
    </xf>
    <xf numFmtId="49" fontId="0" fillId="25" borderId="46" xfId="0" applyNumberFormat="1" applyFill="1" applyBorder="1" applyAlignment="1">
      <alignment horizontal="center" vertical="center"/>
    </xf>
    <xf numFmtId="49" fontId="0" fillId="22" borderId="68" xfId="0" applyNumberFormat="1" applyFill="1" applyBorder="1" applyAlignment="1">
      <alignment vertical="center" wrapText="1"/>
    </xf>
    <xf numFmtId="49" fontId="0" fillId="22" borderId="69" xfId="0" applyNumberFormat="1" applyFill="1" applyBorder="1" applyAlignment="1">
      <alignment horizontal="center" vertical="center"/>
    </xf>
    <xf numFmtId="49" fontId="0" fillId="22" borderId="70" xfId="0" applyNumberFormat="1" applyFill="1" applyBorder="1" applyAlignment="1">
      <alignment horizontal="center" vertical="center"/>
    </xf>
    <xf numFmtId="49" fontId="0" fillId="22" borderId="71" xfId="0" applyNumberFormat="1" applyFill="1" applyBorder="1" applyAlignment="1">
      <alignment horizontal="center" vertical="center"/>
    </xf>
    <xf numFmtId="49" fontId="0" fillId="22" borderId="72" xfId="0" applyNumberFormat="1" applyFill="1" applyBorder="1" applyAlignment="1">
      <alignment horizontal="center" vertical="center"/>
    </xf>
    <xf numFmtId="49" fontId="0" fillId="22" borderId="73" xfId="0" applyNumberFormat="1" applyFill="1" applyBorder="1" applyAlignment="1">
      <alignment horizontal="center" vertical="center"/>
    </xf>
    <xf numFmtId="49" fontId="0" fillId="24" borderId="9" xfId="0" applyNumberFormat="1" applyFill="1" applyBorder="1" applyAlignment="1">
      <alignment horizontal="center" vertical="center"/>
    </xf>
    <xf numFmtId="49" fontId="0" fillId="24" borderId="34" xfId="0" applyNumberFormat="1" applyFill="1" applyBorder="1" applyAlignment="1">
      <alignment horizontal="center" vertical="center"/>
    </xf>
    <xf numFmtId="49" fontId="0" fillId="21" borderId="12" xfId="0" applyNumberFormat="1" applyFill="1" applyBorder="1" applyAlignment="1">
      <alignment horizontal="center" vertical="center"/>
    </xf>
    <xf numFmtId="49" fontId="0" fillId="21" borderId="24" xfId="0" applyNumberFormat="1" applyFill="1" applyBorder="1" applyAlignment="1">
      <alignment horizontal="center" vertical="center"/>
    </xf>
    <xf numFmtId="49" fontId="0" fillId="24" borderId="12" xfId="0" applyNumberFormat="1" applyFill="1" applyBorder="1" applyAlignment="1">
      <alignment horizontal="center" vertical="center"/>
    </xf>
    <xf numFmtId="49" fontId="0" fillId="24" borderId="24" xfId="0" applyNumberFormat="1" applyFill="1" applyBorder="1" applyAlignment="1">
      <alignment horizontal="center" vertical="center"/>
    </xf>
    <xf numFmtId="49" fontId="0" fillId="24" borderId="13" xfId="0" applyNumberFormat="1" applyFill="1" applyBorder="1" applyAlignment="1">
      <alignment horizontal="center" vertical="center"/>
    </xf>
    <xf numFmtId="49" fontId="0" fillId="21" borderId="4" xfId="0" applyNumberFormat="1" applyFill="1" applyBorder="1" applyAlignment="1">
      <alignment horizontal="center" vertical="center"/>
    </xf>
    <xf numFmtId="49" fontId="0" fillId="0" borderId="12" xfId="0" applyNumberFormat="1" applyBorder="1" applyAlignment="1">
      <alignment horizontal="center" vertical="center"/>
    </xf>
    <xf numFmtId="49" fontId="0" fillId="0" borderId="24" xfId="0" applyNumberFormat="1" applyBorder="1" applyAlignment="1">
      <alignment horizontal="center" vertical="center"/>
    </xf>
    <xf numFmtId="49" fontId="0" fillId="0" borderId="13" xfId="0" applyNumberFormat="1" applyBorder="1" applyAlignment="1">
      <alignment horizontal="center" vertical="center"/>
    </xf>
    <xf numFmtId="49" fontId="0" fillId="0" borderId="74" xfId="0" applyNumberFormat="1" applyBorder="1" applyAlignment="1">
      <alignment horizontal="center" vertical="center"/>
    </xf>
    <xf numFmtId="49" fontId="0" fillId="24" borderId="68" xfId="0" applyNumberFormat="1" applyFill="1" applyBorder="1" applyAlignment="1">
      <alignment vertical="center"/>
    </xf>
    <xf numFmtId="49" fontId="0" fillId="0" borderId="29" xfId="0" applyNumberFormat="1" applyBorder="1" applyAlignment="1">
      <alignment horizontal="center" vertical="center"/>
    </xf>
    <xf numFmtId="49" fontId="0" fillId="0" borderId="14" xfId="0" applyNumberFormat="1" applyBorder="1" applyAlignment="1">
      <alignment horizontal="center" vertical="center"/>
    </xf>
    <xf numFmtId="49" fontId="0" fillId="0" borderId="28" xfId="0" applyNumberFormat="1" applyBorder="1" applyAlignment="1">
      <alignment horizontal="center" vertical="center"/>
    </xf>
    <xf numFmtId="49" fontId="0" fillId="0" borderId="15" xfId="0" applyNumberFormat="1" applyBorder="1" applyAlignment="1">
      <alignment horizontal="center" vertical="center"/>
    </xf>
    <xf numFmtId="49" fontId="0" fillId="0" borderId="75" xfId="0" applyNumberFormat="1" applyBorder="1" applyAlignment="1">
      <alignment horizontal="center" vertical="center"/>
    </xf>
    <xf numFmtId="49" fontId="0" fillId="22" borderId="76" xfId="0" applyNumberFormat="1" applyFill="1" applyBorder="1" applyAlignment="1">
      <alignment horizontal="center" vertical="center"/>
    </xf>
    <xf numFmtId="49" fontId="0" fillId="22" borderId="18" xfId="0" applyNumberFormat="1" applyFill="1" applyBorder="1" applyAlignment="1">
      <alignment horizontal="center" vertical="center"/>
    </xf>
    <xf numFmtId="49" fontId="0" fillId="22" borderId="77" xfId="0" applyNumberFormat="1" applyFill="1" applyBorder="1" applyAlignment="1">
      <alignment horizontal="center" vertical="center"/>
    </xf>
    <xf numFmtId="49" fontId="0" fillId="22" borderId="19" xfId="0" applyNumberFormat="1" applyFill="1" applyBorder="1" applyAlignment="1">
      <alignment horizontal="center" vertical="center"/>
    </xf>
    <xf numFmtId="49" fontId="0" fillId="22" borderId="78" xfId="0" applyNumberFormat="1" applyFill="1" applyBorder="1" applyAlignment="1">
      <alignment horizontal="center" vertical="center"/>
    </xf>
    <xf numFmtId="49" fontId="0" fillId="0" borderId="23" xfId="0" applyNumberFormat="1" applyBorder="1" applyAlignment="1">
      <alignment vertical="center"/>
    </xf>
    <xf numFmtId="49" fontId="0" fillId="19" borderId="7" xfId="0" applyNumberFormat="1" applyFill="1" applyBorder="1" applyAlignment="1">
      <alignment horizontal="center" vertical="center" wrapText="1"/>
    </xf>
    <xf numFmtId="49" fontId="0" fillId="19" borderId="5" xfId="0" applyNumberFormat="1" applyFill="1" applyBorder="1" applyAlignment="1">
      <alignment horizontal="center" vertical="center" wrapText="1"/>
    </xf>
    <xf numFmtId="49" fontId="0" fillId="19" borderId="52" xfId="0" applyNumberFormat="1" applyFill="1" applyBorder="1" applyAlignment="1">
      <alignment horizontal="center" vertical="center" wrapText="1"/>
    </xf>
    <xf numFmtId="49" fontId="51" fillId="0" borderId="0" xfId="0" applyNumberFormat="1" applyFont="1" applyAlignment="1">
      <alignment vertical="center"/>
    </xf>
    <xf numFmtId="49" fontId="7" fillId="0" borderId="9" xfId="0" applyNumberFormat="1" applyFont="1" applyBorder="1" applyAlignment="1" applyProtection="1">
      <alignment horizontal="left"/>
      <protection locked="0"/>
    </xf>
    <xf numFmtId="49" fontId="7" fillId="0" borderId="8" xfId="0" applyNumberFormat="1" applyFont="1" applyBorder="1" applyAlignment="1" applyProtection="1">
      <alignment horizontal="left"/>
      <protection locked="0"/>
    </xf>
    <xf numFmtId="49" fontId="7" fillId="0" borderId="34" xfId="0" applyNumberFormat="1" applyFont="1" applyBorder="1" applyAlignment="1" applyProtection="1">
      <alignment horizontal="left"/>
      <protection locked="0"/>
    </xf>
    <xf numFmtId="0" fontId="0" fillId="20" borderId="12" xfId="0" applyFill="1" applyBorder="1" applyAlignment="1">
      <alignment horizontal="center" vertical="center"/>
    </xf>
    <xf numFmtId="0" fontId="0" fillId="20" borderId="24" xfId="0" applyFill="1" applyBorder="1" applyAlignment="1">
      <alignment horizontal="center" vertical="center"/>
    </xf>
    <xf numFmtId="0" fontId="0" fillId="20" borderId="13" xfId="0" applyFill="1" applyBorder="1" applyAlignment="1">
      <alignment horizontal="center" vertical="center"/>
    </xf>
    <xf numFmtId="49" fontId="7" fillId="0" borderId="35" xfId="0" applyNumberFormat="1" applyFont="1" applyBorder="1" applyAlignment="1" applyProtection="1">
      <alignment horizontal="left"/>
      <protection locked="0"/>
    </xf>
    <xf numFmtId="49" fontId="7" fillId="0" borderId="51" xfId="0" applyNumberFormat="1" applyFont="1" applyBorder="1" applyAlignment="1" applyProtection="1">
      <alignment horizontal="left"/>
      <protection locked="0"/>
    </xf>
    <xf numFmtId="49" fontId="7" fillId="0" borderId="36" xfId="0" applyNumberFormat="1" applyFont="1" applyBorder="1" applyAlignment="1" applyProtection="1">
      <alignment horizontal="left"/>
      <protection locked="0"/>
    </xf>
    <xf numFmtId="49" fontId="7" fillId="0" borderId="9" xfId="0" applyNumberFormat="1" applyFont="1" applyBorder="1" applyAlignment="1">
      <alignment horizontal="left"/>
    </xf>
    <xf numFmtId="49" fontId="7" fillId="0" borderId="8" xfId="0" applyNumberFormat="1" applyFont="1" applyBorder="1" applyAlignment="1">
      <alignment horizontal="left"/>
    </xf>
    <xf numFmtId="49" fontId="7" fillId="0" borderId="16" xfId="0" applyNumberFormat="1" applyFont="1" applyBorder="1" applyAlignment="1" applyProtection="1">
      <alignment horizontal="left"/>
      <protection locked="0"/>
    </xf>
    <xf numFmtId="49" fontId="7" fillId="0" borderId="21" xfId="0" applyNumberFormat="1" applyFont="1" applyBorder="1" applyAlignment="1" applyProtection="1">
      <alignment horizontal="left"/>
      <protection locked="0"/>
    </xf>
    <xf numFmtId="49" fontId="7" fillId="0" borderId="17" xfId="0" applyNumberFormat="1" applyFont="1" applyBorder="1" applyAlignment="1" applyProtection="1">
      <alignment horizontal="left"/>
      <protection locked="0"/>
    </xf>
    <xf numFmtId="49" fontId="7" fillId="0" borderId="0" xfId="55" applyNumberFormat="1" applyAlignment="1">
      <alignment horizontal="left"/>
    </xf>
    <xf numFmtId="49" fontId="52" fillId="0" borderId="0" xfId="55" applyNumberFormat="1" applyFont="1" applyAlignment="1">
      <alignment horizontal="left"/>
    </xf>
    <xf numFmtId="49" fontId="52" fillId="0" borderId="9" xfId="0" applyNumberFormat="1" applyFont="1" applyBorder="1" applyAlignment="1">
      <alignment horizontal="left"/>
    </xf>
    <xf numFmtId="49" fontId="52" fillId="0" borderId="8" xfId="0" applyNumberFormat="1" applyFont="1" applyBorder="1" applyAlignment="1">
      <alignment horizontal="left"/>
    </xf>
    <xf numFmtId="49" fontId="52" fillId="0" borderId="8" xfId="0" applyNumberFormat="1" applyFont="1" applyBorder="1" applyAlignment="1" applyProtection="1">
      <alignment horizontal="left"/>
      <protection locked="0"/>
    </xf>
    <xf numFmtId="49" fontId="53" fillId="0" borderId="8" xfId="0" quotePrefix="1" applyNumberFormat="1" applyFont="1" applyBorder="1" applyAlignment="1">
      <alignment horizontal="left"/>
    </xf>
    <xf numFmtId="49" fontId="52" fillId="0" borderId="34" xfId="0" applyNumberFormat="1" applyFont="1" applyBorder="1" applyAlignment="1" applyProtection="1">
      <alignment horizontal="left"/>
      <protection locked="0"/>
    </xf>
    <xf numFmtId="49" fontId="52" fillId="0" borderId="0" xfId="55" applyNumberFormat="1" applyFont="1"/>
    <xf numFmtId="49" fontId="7" fillId="11" borderId="20" xfId="0" applyNumberFormat="1" applyFont="1" applyFill="1" applyBorder="1" applyAlignment="1">
      <alignment horizontal="center"/>
    </xf>
    <xf numFmtId="49" fontId="7" fillId="11" borderId="41" xfId="0" applyNumberFormat="1" applyFont="1" applyFill="1" applyBorder="1" applyAlignment="1">
      <alignment horizontal="center"/>
    </xf>
    <xf numFmtId="49" fontId="7" fillId="11" borderId="42" xfId="0" applyNumberFormat="1" applyFont="1" applyFill="1" applyBorder="1" applyAlignment="1">
      <alignment horizontal="center"/>
    </xf>
    <xf numFmtId="49" fontId="0" fillId="11" borderId="8" xfId="0" applyNumberFormat="1" applyFill="1" applyBorder="1" applyAlignment="1">
      <alignment horizontal="center" vertical="center"/>
    </xf>
    <xf numFmtId="0" fontId="0" fillId="0" borderId="8" xfId="0" applyBorder="1" applyAlignment="1">
      <alignment vertical="center"/>
    </xf>
    <xf numFmtId="49" fontId="0" fillId="24" borderId="58" xfId="0" applyNumberFormat="1" applyFill="1" applyBorder="1" applyAlignment="1">
      <alignment horizontal="center" vertical="center" wrapText="1"/>
    </xf>
    <xf numFmtId="0" fontId="0" fillId="24" borderId="57" xfId="0" applyFill="1" applyBorder="1" applyAlignment="1">
      <alignment horizontal="center" vertical="center" wrapText="1"/>
    </xf>
    <xf numFmtId="49" fontId="0" fillId="23" borderId="54" xfId="0" applyNumberFormat="1" applyFill="1" applyBorder="1" applyAlignment="1">
      <alignment horizontal="right" vertical="center" wrapText="1"/>
    </xf>
    <xf numFmtId="0" fontId="0" fillId="0" borderId="55" xfId="0" applyBorder="1" applyAlignment="1">
      <alignment horizontal="right" vertical="center"/>
    </xf>
    <xf numFmtId="49" fontId="0" fillId="21" borderId="54" xfId="0" applyNumberFormat="1" applyFill="1" applyBorder="1" applyAlignment="1">
      <alignment horizontal="center" vertical="center" wrapText="1"/>
    </xf>
    <xf numFmtId="0" fontId="0" fillId="21" borderId="56" xfId="0" applyFill="1" applyBorder="1" applyAlignment="1">
      <alignment horizontal="center" vertical="center" wrapText="1"/>
    </xf>
    <xf numFmtId="0" fontId="0" fillId="21" borderId="57" xfId="0" applyFill="1" applyBorder="1" applyAlignment="1">
      <alignment horizontal="center" vertical="center" wrapText="1"/>
    </xf>
    <xf numFmtId="49" fontId="0" fillId="21" borderId="58" xfId="0" applyNumberFormat="1" applyFill="1" applyBorder="1" applyAlignment="1">
      <alignment horizontal="center" vertical="center" wrapText="1"/>
    </xf>
    <xf numFmtId="49" fontId="0" fillId="24" borderId="56" xfId="0" applyNumberFormat="1" applyFill="1" applyBorder="1" applyAlignment="1">
      <alignment horizontal="center" vertical="center" wrapText="1"/>
    </xf>
    <xf numFmtId="0" fontId="0" fillId="24" borderId="56" xfId="0" applyFill="1" applyBorder="1" applyAlignment="1">
      <alignment horizontal="center" vertical="center" wrapText="1"/>
    </xf>
    <xf numFmtId="49" fontId="0" fillId="26" borderId="56" xfId="0" applyNumberFormat="1" applyFill="1" applyBorder="1" applyAlignment="1">
      <alignment horizontal="center" vertical="center" wrapText="1"/>
    </xf>
    <xf numFmtId="0" fontId="0" fillId="26" borderId="56" xfId="0" applyFill="1" applyBorder="1" applyAlignment="1">
      <alignment horizontal="center" vertical="center" wrapText="1"/>
    </xf>
    <xf numFmtId="0" fontId="0" fillId="26" borderId="55" xfId="0" applyFill="1" applyBorder="1" applyAlignment="1">
      <alignment horizontal="center" vertical="center" wrapText="1"/>
    </xf>
    <xf numFmtId="49" fontId="0" fillId="23" borderId="60" xfId="0" applyNumberFormat="1" applyFill="1" applyBorder="1" applyAlignment="1">
      <alignment horizontal="right" vertical="center"/>
    </xf>
    <xf numFmtId="0" fontId="0" fillId="0" borderId="61" xfId="0" applyBorder="1" applyAlignment="1">
      <alignment horizontal="right" vertical="center"/>
    </xf>
    <xf numFmtId="49" fontId="0" fillId="23" borderId="62" xfId="0" applyNumberFormat="1" applyFill="1" applyBorder="1" applyAlignment="1">
      <alignment horizontal="right" vertical="center"/>
    </xf>
    <xf numFmtId="0" fontId="0" fillId="0" borderId="63" xfId="0" applyBorder="1" applyAlignment="1">
      <alignment horizontal="right" vertical="center"/>
    </xf>
    <xf numFmtId="49" fontId="0" fillId="25" borderId="54" xfId="0" applyNumberFormat="1" applyFill="1" applyBorder="1" applyAlignment="1">
      <alignment horizontal="center" vertical="center" wrapText="1"/>
    </xf>
    <xf numFmtId="0" fontId="0" fillId="25" borderId="56" xfId="0" applyFill="1" applyBorder="1" applyAlignment="1">
      <alignment horizontal="center" vertical="center" wrapText="1"/>
    </xf>
    <xf numFmtId="0" fontId="0" fillId="25" borderId="55" xfId="0" applyFill="1" applyBorder="1" applyAlignment="1">
      <alignment horizontal="center" vertical="center" wrapText="1"/>
    </xf>
    <xf numFmtId="49" fontId="0" fillId="21" borderId="56" xfId="0" applyNumberFormat="1" applyFill="1" applyBorder="1" applyAlignment="1">
      <alignment horizontal="center" vertical="center" wrapText="1"/>
    </xf>
    <xf numFmtId="49" fontId="0" fillId="21" borderId="57" xfId="0" applyNumberFormat="1" applyFill="1" applyBorder="1" applyAlignment="1">
      <alignment horizontal="center" vertical="center" wrapText="1"/>
    </xf>
    <xf numFmtId="49" fontId="0" fillId="24" borderId="54" xfId="0" applyNumberFormat="1" applyFill="1" applyBorder="1" applyAlignment="1">
      <alignment horizontal="center" vertical="center" wrapText="1"/>
    </xf>
    <xf numFmtId="0" fontId="0" fillId="24" borderId="55" xfId="0" applyFill="1" applyBorder="1" applyAlignment="1">
      <alignment horizontal="center" vertical="center" wrapText="1"/>
    </xf>
  </cellXfs>
  <cellStyles count="74">
    <cellStyle name="11" xfId="1" xr:uid="{00000000-0005-0000-0000-000000000000}"/>
    <cellStyle name="Calc Currency (0)" xfId="2" xr:uid="{00000000-0005-0000-0000-000001000000}"/>
    <cellStyle name="ColumnAttributeAbovePrompt" xfId="3" xr:uid="{00000000-0005-0000-0000-000002000000}"/>
    <cellStyle name="ColumnAttributePrompt" xfId="4" xr:uid="{00000000-0005-0000-0000-000003000000}"/>
    <cellStyle name="ColumnAttributeValue" xfId="5" xr:uid="{00000000-0005-0000-0000-000004000000}"/>
    <cellStyle name="ColumnHeadingPrompt" xfId="6" xr:uid="{00000000-0005-0000-0000-000005000000}"/>
    <cellStyle name="ColumnHeadingValue" xfId="7" xr:uid="{00000000-0005-0000-0000-000006000000}"/>
    <cellStyle name="entry" xfId="8" xr:uid="{00000000-0005-0000-0000-000007000000}"/>
    <cellStyle name="Header1" xfId="9" xr:uid="{00000000-0005-0000-0000-000008000000}"/>
    <cellStyle name="Header2" xfId="10" xr:uid="{00000000-0005-0000-0000-000009000000}"/>
    <cellStyle name="LineItemPrompt" xfId="11" xr:uid="{00000000-0005-0000-0000-00000A000000}"/>
    <cellStyle name="LineItemValue" xfId="12" xr:uid="{00000000-0005-0000-0000-00000B000000}"/>
    <cellStyle name="Normal - Style1" xfId="13" xr:uid="{00000000-0005-0000-0000-00000C000000}"/>
    <cellStyle name="Normal_#18-Internet" xfId="14" xr:uid="{00000000-0005-0000-0000-00000D000000}"/>
    <cellStyle name="OUTPUT AMOUNTS" xfId="15" xr:uid="{00000000-0005-0000-0000-00000E000000}"/>
    <cellStyle name="OUTPUT COLUMN HEADINGS" xfId="16" xr:uid="{00000000-0005-0000-0000-00000F000000}"/>
    <cellStyle name="OUTPUT LINE ITEMS" xfId="17" xr:uid="{00000000-0005-0000-0000-000010000000}"/>
    <cellStyle name="OUTPUT REPORT HEADING" xfId="18" xr:uid="{00000000-0005-0000-0000-000011000000}"/>
    <cellStyle name="OUTPUT REPORT TITLE" xfId="19" xr:uid="{00000000-0005-0000-0000-000012000000}"/>
    <cellStyle name="price" xfId="20" xr:uid="{00000000-0005-0000-0000-000013000000}"/>
    <cellStyle name="ReportTitlePrompt" xfId="21" xr:uid="{00000000-0005-0000-0000-000014000000}"/>
    <cellStyle name="ReportTitleValue" xfId="22" xr:uid="{00000000-0005-0000-0000-000015000000}"/>
    <cellStyle name="revised" xfId="23" xr:uid="{00000000-0005-0000-0000-000016000000}"/>
    <cellStyle name="RowAcctAbovePrompt" xfId="24" xr:uid="{00000000-0005-0000-0000-000017000000}"/>
    <cellStyle name="RowAcctSOBAbovePrompt" xfId="25" xr:uid="{00000000-0005-0000-0000-000018000000}"/>
    <cellStyle name="RowAcctSOBValue" xfId="26" xr:uid="{00000000-0005-0000-0000-000019000000}"/>
    <cellStyle name="RowAcctValue" xfId="27" xr:uid="{00000000-0005-0000-0000-00001A000000}"/>
    <cellStyle name="RowAttrAbovePrompt" xfId="28" xr:uid="{00000000-0005-0000-0000-00001B000000}"/>
    <cellStyle name="RowAttrValue" xfId="29" xr:uid="{00000000-0005-0000-0000-00001C000000}"/>
    <cellStyle name="RowColSetAbovePrompt" xfId="30" xr:uid="{00000000-0005-0000-0000-00001D000000}"/>
    <cellStyle name="RowColSetLeftPrompt" xfId="31" xr:uid="{00000000-0005-0000-0000-00001E000000}"/>
    <cellStyle name="RowColSetValue" xfId="32" xr:uid="{00000000-0005-0000-0000-00001F000000}"/>
    <cellStyle name="RowLeftPrompt" xfId="33" xr:uid="{00000000-0005-0000-0000-000020000000}"/>
    <cellStyle name="SampleUsingFormatMask" xfId="34" xr:uid="{00000000-0005-0000-0000-000021000000}"/>
    <cellStyle name="SampleWithNoFormatMask" xfId="35" xr:uid="{00000000-0005-0000-0000-000022000000}"/>
    <cellStyle name="section" xfId="36" xr:uid="{00000000-0005-0000-0000-000023000000}"/>
    <cellStyle name="subhead" xfId="37" xr:uid="{00000000-0005-0000-0000-000024000000}"/>
    <cellStyle name="TEMP" xfId="38" xr:uid="{00000000-0005-0000-0000-000025000000}"/>
    <cellStyle name="title" xfId="39" xr:uid="{00000000-0005-0000-0000-000026000000}"/>
    <cellStyle name="UploadThisRowValue" xfId="40" xr:uid="{00000000-0005-0000-0000-000027000000}"/>
    <cellStyle name="基本フォーム" xfId="41" xr:uid="{00000000-0005-0000-0000-000028000000}"/>
    <cellStyle name="詳細" xfId="42" xr:uid="{00000000-0005-0000-0000-000029000000}"/>
    <cellStyle name="標準" xfId="0" builtinId="0"/>
    <cellStyle name="標準 10" xfId="68" xr:uid="{00000000-0005-0000-0000-00002B000000}"/>
    <cellStyle name="標準 114" xfId="71" xr:uid="{00000000-0005-0000-0000-00002C000000}"/>
    <cellStyle name="標準 14" xfId="70" xr:uid="{00000000-0005-0000-0000-00002D000000}"/>
    <cellStyle name="標準 2" xfId="43" xr:uid="{00000000-0005-0000-0000-00002E000000}"/>
    <cellStyle name="標準 2 2 2" xfId="73" xr:uid="{00000000-0005-0000-0000-00002F000000}"/>
    <cellStyle name="標準 2 3" xfId="59" xr:uid="{00000000-0005-0000-0000-000030000000}"/>
    <cellStyle name="標準 2 3 2" xfId="64" xr:uid="{00000000-0005-0000-0000-000031000000}"/>
    <cellStyle name="標準 2 3 2 2" xfId="66" xr:uid="{00000000-0005-0000-0000-000032000000}"/>
    <cellStyle name="標準 2 4" xfId="65" xr:uid="{00000000-0005-0000-0000-000033000000}"/>
    <cellStyle name="標準 3" xfId="44" xr:uid="{00000000-0005-0000-0000-000034000000}"/>
    <cellStyle name="標準 4" xfId="45" xr:uid="{00000000-0005-0000-0000-000035000000}"/>
    <cellStyle name="標準 5" xfId="46" xr:uid="{00000000-0005-0000-0000-000036000000}"/>
    <cellStyle name="標準 6" xfId="60" xr:uid="{00000000-0005-0000-0000-000037000000}"/>
    <cellStyle name="標準 7" xfId="61" xr:uid="{00000000-0005-0000-0000-000038000000}"/>
    <cellStyle name="標準 8" xfId="62" xr:uid="{00000000-0005-0000-0000-000039000000}"/>
    <cellStyle name="標準 8 2" xfId="67" xr:uid="{00000000-0005-0000-0000-00003A000000}"/>
    <cellStyle name="標準 8 3" xfId="72" xr:uid="{00000000-0005-0000-0000-00003B000000}"/>
    <cellStyle name="標準 9" xfId="63" xr:uid="{00000000-0005-0000-0000-00003C000000}"/>
    <cellStyle name="標準 9 2" xfId="69" xr:uid="{00000000-0005-0000-0000-00003D000000}"/>
    <cellStyle name="標準:銀行別入金表" xfId="47" xr:uid="{00000000-0005-0000-0000-00003E000000}"/>
    <cellStyle name="標準:料金" xfId="48" xr:uid="{00000000-0005-0000-0000-00003F000000}"/>
    <cellStyle name="標準_0003_チェック定義シート（事業所）v1.00" xfId="49" xr:uid="{00000000-0005-0000-0000-000040000000}"/>
    <cellStyle name="標準_0007_チェック定義シート（補助科目マスタ）v1.00" xfId="50" xr:uid="{00000000-0005-0000-0000-000041000000}"/>
    <cellStyle name="標準_0034_チェック定義シート（クレジット・カードコーポレートカード種別）v1.00" xfId="51" xr:uid="{00000000-0005-0000-0000-000042000000}"/>
    <cellStyle name="標準_0039_チェック定義シート（出納取引マスタ）v1.00" xfId="52" xr:uid="{00000000-0005-0000-0000-000043000000}"/>
    <cellStyle name="標準_Book1" xfId="53" xr:uid="{00000000-0005-0000-0000-000044000000}"/>
    <cellStyle name="標準_Sheet1" xfId="54" xr:uid="{00000000-0005-0000-0000-000045000000}"/>
    <cellStyle name="標準_移行データ入力シート" xfId="55" xr:uid="{00000000-0005-0000-0000-000046000000}"/>
    <cellStyle name="標準_植木コメント_共通関数外部設計書_XXFND_共通関数外部設計書（XxfndString）" xfId="56" xr:uid="{00000000-0005-0000-0000-000047000000}"/>
    <cellStyle name="標準_値セット(値)●" xfId="57" xr:uid="{00000000-0005-0000-0000-000048000000}"/>
    <cellStyle name="未定義" xfId="58" xr:uid="{00000000-0005-0000-0000-000049000000}"/>
  </cellStyles>
  <dxfs count="0"/>
  <tableStyles count="0" defaultTableStyle="TableStyleMedium9"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8" name="Group">
          <a:extLst>
            <a:ext uri="{FF2B5EF4-FFF2-40B4-BE49-F238E27FC236}">
              <a16:creationId xmlns:a16="http://schemas.microsoft.com/office/drawing/2014/main" id="{4DE8336A-56CA-057D-87CB-42881B5703EF}"/>
            </a:ext>
          </a:extLst>
        </xdr:cNvPr>
        <xdr:cNvGrpSpPr/>
      </xdr:nvGrpSpPr>
      <xdr:grpSpPr>
        <a:xfrm>
          <a:off x="734291" y="485775"/>
          <a:ext cx="9161945" cy="1057275"/>
          <a:chOff x="757238" y="485775"/>
          <a:chExt cx="9495320" cy="1057275"/>
        </a:xfrm>
      </xdr:grpSpPr>
      <xdr:sp macro="" textlink="">
        <xdr:nvSpPr>
          <xdr:cNvPr id="15366" name="Rectangle 6">
            <a:extLst>
              <a:ext uri="{FF2B5EF4-FFF2-40B4-BE49-F238E27FC236}">
                <a16:creationId xmlns:a16="http://schemas.microsoft.com/office/drawing/2014/main" id="{00000000-0008-0000-0000-0000063C000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100" name="SheetNum">
            <a:extLst>
              <a:ext uri="{FF2B5EF4-FFF2-40B4-BE49-F238E27FC236}">
                <a16:creationId xmlns:a16="http://schemas.microsoft.com/office/drawing/2014/main" id="{00000000-0008-0000-0000-000004100000}"/>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4101" name="Rectangle 5">
            <a:extLst>
              <a:ext uri="{FF2B5EF4-FFF2-40B4-BE49-F238E27FC236}">
                <a16:creationId xmlns:a16="http://schemas.microsoft.com/office/drawing/2014/main" id="{00000000-0008-0000-0000-000005100000}"/>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4103" name="Rectangle 7">
            <a:extLst>
              <a:ext uri="{FF2B5EF4-FFF2-40B4-BE49-F238E27FC236}">
                <a16:creationId xmlns:a16="http://schemas.microsoft.com/office/drawing/2014/main" id="{00000000-0008-0000-0000-000007100000}"/>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4104" name="Rectangle 8">
            <a:extLst>
              <a:ext uri="{FF2B5EF4-FFF2-40B4-BE49-F238E27FC236}">
                <a16:creationId xmlns:a16="http://schemas.microsoft.com/office/drawing/2014/main" id="{00000000-0008-0000-0000-000008100000}"/>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4105" name="Rectangle 9">
            <a:extLst>
              <a:ext uri="{FF2B5EF4-FFF2-40B4-BE49-F238E27FC236}">
                <a16:creationId xmlns:a16="http://schemas.microsoft.com/office/drawing/2014/main" id="{00000000-0008-0000-0000-000009100000}"/>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15371" name="Rectangle 6">
            <a:extLst>
              <a:ext uri="{FF2B5EF4-FFF2-40B4-BE49-F238E27FC236}">
                <a16:creationId xmlns:a16="http://schemas.microsoft.com/office/drawing/2014/main" id="{00000000-0008-0000-0000-00000B3C0000}"/>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20" name="companyCode">
          <a:extLst>
            <a:ext uri="{FF2B5EF4-FFF2-40B4-BE49-F238E27FC236}">
              <a16:creationId xmlns:a16="http://schemas.microsoft.com/office/drawing/2014/main" id="{00000000-0008-0000-0000-000014000000}"/>
            </a:ext>
          </a:extLst>
        </xdr:cNvPr>
        <xdr:cNvSpPr txBox="1"/>
      </xdr:nvSpPr>
      <xdr:spPr>
        <a:xfrm>
          <a:off x="1567953" y="1206500"/>
          <a:ext cx="792130"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9" name="companyName">
          <a:extLst>
            <a:ext uri="{FF2B5EF4-FFF2-40B4-BE49-F238E27FC236}">
              <a16:creationId xmlns:a16="http://schemas.microsoft.com/office/drawing/2014/main" id="{00000000-0008-0000-0000-000015000000}"/>
            </a:ext>
          </a:extLst>
        </xdr:cNvPr>
        <xdr:cNvSpPr txBox="1"/>
      </xdr:nvSpPr>
      <xdr:spPr>
        <a:xfrm>
          <a:off x="4789613" y="1212476"/>
          <a:ext cx="18870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000-0000043D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2" name="lbl_Save">
          <a:extLst>
            <a:ext uri="{FF2B5EF4-FFF2-40B4-BE49-F238E27FC236}">
              <a16:creationId xmlns:a16="http://schemas.microsoft.com/office/drawing/2014/main" id="{7CCDDFB5-AAAD-4ED0-955D-995C62814899}"/>
            </a:ext>
          </a:extLst>
        </xdr:cNvPr>
        <xdr:cNvSpPr>
          <a:spLocks/>
        </xdr:cNvSpPr>
      </xdr:nvSpPr>
      <xdr:spPr>
        <a:xfrm>
          <a:off x="4807322" y="561975"/>
          <a:ext cx="2038351"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3" name="グループ化 2">
          <a:extLst>
            <a:ext uri="{FF2B5EF4-FFF2-40B4-BE49-F238E27FC236}">
              <a16:creationId xmlns:a16="http://schemas.microsoft.com/office/drawing/2014/main" id="{EAD5568E-C9DE-41F2-AC16-F3A9D8FA746B}"/>
            </a:ext>
          </a:extLst>
        </xdr:cNvPr>
        <xdr:cNvGrpSpPr/>
      </xdr:nvGrpSpPr>
      <xdr:grpSpPr>
        <a:xfrm>
          <a:off x="6443024" y="0"/>
          <a:ext cx="3546764" cy="1009649"/>
          <a:chOff x="3762375" y="2647950"/>
          <a:chExt cx="3914775" cy="1009649"/>
        </a:xfrm>
      </xdr:grpSpPr>
      <xdr:sp macro="" textlink="">
        <xdr:nvSpPr>
          <xdr:cNvPr id="4" name="lbl_FileVer">
            <a:extLst>
              <a:ext uri="{FF2B5EF4-FFF2-40B4-BE49-F238E27FC236}">
                <a16:creationId xmlns:a16="http://schemas.microsoft.com/office/drawing/2014/main" id="{33BA2478-FB79-4E6E-B976-0AB1B5371423}"/>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5" name="lbl_LastChkDate">
            <a:extLst>
              <a:ext uri="{FF2B5EF4-FFF2-40B4-BE49-F238E27FC236}">
                <a16:creationId xmlns:a16="http://schemas.microsoft.com/office/drawing/2014/main" id="{29F3776E-C8E4-A70E-C091-FDFE8EB101E2}"/>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6" name="lbl_ManageNo">
            <a:extLst>
              <a:ext uri="{FF2B5EF4-FFF2-40B4-BE49-F238E27FC236}">
                <a16:creationId xmlns:a16="http://schemas.microsoft.com/office/drawing/2014/main" id="{E590380D-A5E2-9283-C5ED-38DD521D22B8}"/>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7" name="lbl_DataCnt">
            <a:extLst>
              <a:ext uri="{FF2B5EF4-FFF2-40B4-BE49-F238E27FC236}">
                <a16:creationId xmlns:a16="http://schemas.microsoft.com/office/drawing/2014/main" id="{C450CE9B-6600-EF5B-3A14-34989262DA7F}"/>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1057275</xdr:colOff>
      <xdr:row>27</xdr:row>
      <xdr:rowOff>0</xdr:rowOff>
    </xdr:from>
    <xdr:to>
      <xdr:col>2</xdr:col>
      <xdr:colOff>1152525</xdr:colOff>
      <xdr:row>27</xdr:row>
      <xdr:rowOff>238125</xdr:rowOff>
    </xdr:to>
    <xdr:sp macro="" textlink="">
      <xdr:nvSpPr>
        <xdr:cNvPr id="13373" name="Text Box 12">
          <a:extLst>
            <a:ext uri="{FF2B5EF4-FFF2-40B4-BE49-F238E27FC236}">
              <a16:creationId xmlns:a16="http://schemas.microsoft.com/office/drawing/2014/main" id="{00000000-0008-0000-0800-00003D340000}"/>
            </a:ext>
          </a:extLst>
        </xdr:cNvPr>
        <xdr:cNvSpPr txBox="1">
          <a:spLocks noChangeArrowheads="1"/>
        </xdr:cNvSpPr>
      </xdr:nvSpPr>
      <xdr:spPr bwMode="auto">
        <a:xfrm>
          <a:off x="4200525" y="6400800"/>
          <a:ext cx="952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2419350</xdr:colOff>
      <xdr:row>0</xdr:row>
      <xdr:rowOff>609600</xdr:rowOff>
    </xdr:to>
    <xdr:grpSp>
      <xdr:nvGrpSpPr>
        <xdr:cNvPr id="13374" name="Group 39">
          <a:extLst>
            <a:ext uri="{FF2B5EF4-FFF2-40B4-BE49-F238E27FC236}">
              <a16:creationId xmlns:a16="http://schemas.microsoft.com/office/drawing/2014/main" id="{00000000-0008-0000-0800-00003E340000}"/>
            </a:ext>
          </a:extLst>
        </xdr:cNvPr>
        <xdr:cNvGrpSpPr>
          <a:grpSpLocks/>
        </xdr:cNvGrpSpPr>
      </xdr:nvGrpSpPr>
      <xdr:grpSpPr bwMode="auto">
        <a:xfrm>
          <a:off x="0" y="0"/>
          <a:ext cx="2218092" cy="320040"/>
          <a:chOff x="0" y="0"/>
          <a:chExt cx="299" cy="64"/>
        </a:xfrm>
      </xdr:grpSpPr>
      <xdr:sp macro="" textlink="">
        <xdr:nvSpPr>
          <xdr:cNvPr id="1064" name="Rectangle 40">
            <a:extLst>
              <a:ext uri="{FF2B5EF4-FFF2-40B4-BE49-F238E27FC236}">
                <a16:creationId xmlns:a16="http://schemas.microsoft.com/office/drawing/2014/main" id="{00000000-0008-0000-0800-000028040000}"/>
              </a:ext>
            </a:extLst>
          </xdr:cNvPr>
          <xdr:cNvSpPr>
            <a:spLocks noChangeArrowheads="1"/>
          </xdr:cNvSpPr>
        </xdr:nvSpPr>
        <xdr:spPr bwMode="auto">
          <a:xfrm>
            <a:off x="0" y="0"/>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シート</a:t>
            </a:r>
            <a:r>
              <a:rPr lang="en-US" altLang="ja-JP" sz="1100" b="0" i="0" strike="noStrike">
                <a:solidFill>
                  <a:srgbClr val="000000"/>
                </a:solidFill>
                <a:latin typeface="ＭＳ Ｐゴシック"/>
                <a:ea typeface="ＭＳ Ｐゴシック"/>
              </a:rPr>
              <a:t>No:0250</a:t>
            </a:r>
          </a:p>
        </xdr:txBody>
      </xdr:sp>
      <xdr:sp macro="" textlink="">
        <xdr:nvSpPr>
          <xdr:cNvPr id="1065" name="Rectangle 41">
            <a:extLst>
              <a:ext uri="{FF2B5EF4-FFF2-40B4-BE49-F238E27FC236}">
                <a16:creationId xmlns:a16="http://schemas.microsoft.com/office/drawing/2014/main" id="{00000000-0008-0000-0800-000029040000}"/>
              </a:ext>
            </a:extLst>
          </xdr:cNvPr>
          <xdr:cNvSpPr>
            <a:spLocks noChangeArrowheads="1"/>
          </xdr:cNvSpPr>
        </xdr:nvSpPr>
        <xdr:spPr bwMode="auto">
          <a:xfrm>
            <a:off x="0" y="32"/>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サービスコードマスタ</a:t>
            </a:r>
          </a:p>
        </xdr:txBody>
      </xdr:sp>
    </xdr:grpSp>
    <xdr:clientData/>
  </xdr:twoCellAnchor>
  <xdr:twoCellAnchor>
    <xdr:from>
      <xdr:col>13</xdr:col>
      <xdr:colOff>295275</xdr:colOff>
      <xdr:row>0</xdr:row>
      <xdr:rowOff>28575</xdr:rowOff>
    </xdr:from>
    <xdr:to>
      <xdr:col>15</xdr:col>
      <xdr:colOff>1009650</xdr:colOff>
      <xdr:row>2</xdr:row>
      <xdr:rowOff>57150</xdr:rowOff>
    </xdr:to>
    <xdr:sp macro="" textlink="">
      <xdr:nvSpPr>
        <xdr:cNvPr id="13317" name="AutoShape 5">
          <a:extLst>
            <a:ext uri="{FF2B5EF4-FFF2-40B4-BE49-F238E27FC236}">
              <a16:creationId xmlns:a16="http://schemas.microsoft.com/office/drawing/2014/main" id="{00000000-0008-0000-0800-000005340000}"/>
            </a:ext>
          </a:extLst>
        </xdr:cNvPr>
        <xdr:cNvSpPr>
          <a:spLocks noChangeArrowheads="1"/>
        </xdr:cNvSpPr>
      </xdr:nvSpPr>
      <xdr:spPr bwMode="auto">
        <a:xfrm>
          <a:off x="25536525" y="28575"/>
          <a:ext cx="2886075" cy="962025"/>
        </a:xfrm>
        <a:prstGeom prst="wedgeRectCallout">
          <a:avLst>
            <a:gd name="adj1" fmla="val -1755"/>
            <a:gd name="adj2" fmla="val 81579"/>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対象項目を当該シート外で参照している場合、「参照先入力シート№」、「参照先入力シート名」、「条件詳細」が記載されています。</a:t>
          </a:r>
        </a:p>
      </xdr:txBody>
    </xdr:sp>
    <xdr:clientData/>
  </xdr:twoCellAnchor>
  <xdr:twoCellAnchor>
    <xdr:from>
      <xdr:col>6</xdr:col>
      <xdr:colOff>657225</xdr:colOff>
      <xdr:row>0</xdr:row>
      <xdr:rowOff>28575</xdr:rowOff>
    </xdr:from>
    <xdr:to>
      <xdr:col>8</xdr:col>
      <xdr:colOff>962025</xdr:colOff>
      <xdr:row>1</xdr:row>
      <xdr:rowOff>171450</xdr:rowOff>
    </xdr:to>
    <xdr:sp macro="" textlink="">
      <xdr:nvSpPr>
        <xdr:cNvPr id="13320" name="AutoShape 8">
          <a:extLst>
            <a:ext uri="{FF2B5EF4-FFF2-40B4-BE49-F238E27FC236}">
              <a16:creationId xmlns:a16="http://schemas.microsoft.com/office/drawing/2014/main" id="{00000000-0008-0000-0800-000008340000}"/>
            </a:ext>
          </a:extLst>
        </xdr:cNvPr>
        <xdr:cNvSpPr>
          <a:spLocks noChangeArrowheads="1"/>
        </xdr:cNvSpPr>
      </xdr:nvSpPr>
      <xdr:spPr bwMode="auto">
        <a:xfrm>
          <a:off x="9115425" y="28575"/>
          <a:ext cx="3295650" cy="904875"/>
        </a:xfrm>
        <a:prstGeom prst="wedgeRectCallout">
          <a:avLst>
            <a:gd name="adj1" fmla="val 7514"/>
            <a:gd name="adj2" fmla="val 92106"/>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「①が条件付き必須、②が重複チェックあり、③項目相関チェックあり」のいずれかに該当する場合は、それぞれの番号に対しての詳細が記載されています。</a:t>
          </a:r>
        </a:p>
      </xdr:txBody>
    </xdr:sp>
    <xdr:clientData/>
  </xdr:twoCellAnchor>
  <xdr:twoCellAnchor>
    <xdr:from>
      <xdr:col>2</xdr:col>
      <xdr:colOff>0</xdr:colOff>
      <xdr:row>0</xdr:row>
      <xdr:rowOff>0</xdr:rowOff>
    </xdr:from>
    <xdr:to>
      <xdr:col>6</xdr:col>
      <xdr:colOff>488950</xdr:colOff>
      <xdr:row>3</xdr:row>
      <xdr:rowOff>37646</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2223247" y="0"/>
          <a:ext cx="5276103" cy="1005834"/>
          <a:chOff x="-57150" y="1714500"/>
          <a:chExt cx="5810250" cy="1155246"/>
        </a:xfrm>
      </xdr:grpSpPr>
      <xdr:sp macro="" textlink="">
        <xdr:nvSpPr>
          <xdr:cNvPr id="12" name="AutoShape 8">
            <a:extLst>
              <a:ext uri="{FF2B5EF4-FFF2-40B4-BE49-F238E27FC236}">
                <a16:creationId xmlns:a16="http://schemas.microsoft.com/office/drawing/2014/main" id="{00000000-0008-0000-0800-00000C000000}"/>
              </a:ext>
            </a:extLst>
          </xdr:cNvPr>
          <xdr:cNvSpPr>
            <a:spLocks noChangeArrowheads="1"/>
          </xdr:cNvSpPr>
        </xdr:nvSpPr>
        <xdr:spPr bwMode="auto">
          <a:xfrm>
            <a:off x="-57150" y="1714500"/>
            <a:ext cx="5810250" cy="1155246"/>
          </a:xfrm>
          <a:prstGeom prst="wedgeRectCallout">
            <a:avLst>
              <a:gd name="adj1" fmla="val -20698"/>
              <a:gd name="adj2" fmla="val 62625"/>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r>
              <a:rPr lang="ja-JP" altLang="en-US" sz="1100">
                <a:latin typeface="+mn-lt"/>
                <a:ea typeface="+mn-ea"/>
                <a:cs typeface="+mn-cs"/>
              </a:rPr>
              <a:t>バイト数は、</a:t>
            </a:r>
          </a:p>
          <a:p>
            <a:r>
              <a:rPr lang="ja-JP" altLang="en-US" sz="1100">
                <a:latin typeface="+mn-lt"/>
                <a:ea typeface="+mn-ea"/>
                <a:cs typeface="+mn-cs"/>
              </a:rPr>
              <a:t>半角英数字１文字は、</a:t>
            </a:r>
            <a:r>
              <a:rPr lang="en-US" altLang="ja-JP" sz="1100">
                <a:latin typeface="+mn-lt"/>
                <a:ea typeface="+mn-ea"/>
                <a:cs typeface="+mn-cs"/>
              </a:rPr>
              <a:t>1</a:t>
            </a:r>
            <a:r>
              <a:rPr lang="ja-JP" altLang="en-US" sz="1100">
                <a:latin typeface="+mn-lt"/>
                <a:ea typeface="+mn-ea"/>
                <a:cs typeface="+mn-cs"/>
              </a:rPr>
              <a:t>バイト</a:t>
            </a:r>
          </a:p>
          <a:p>
            <a:r>
              <a:rPr lang="ja-JP" altLang="en-US" sz="1100">
                <a:latin typeface="+mn-lt"/>
                <a:ea typeface="+mn-ea"/>
                <a:cs typeface="+mn-cs"/>
              </a:rPr>
              <a:t>全角文字１文字は、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半角カナ１文字（濁音・鼻濁音を含まない）は、</a:t>
            </a:r>
            <a:r>
              <a:rPr lang="en-US" altLang="ja-JP" sz="1100">
                <a:latin typeface="+mn-lt"/>
                <a:ea typeface="+mn-ea"/>
                <a:cs typeface="+mn-cs"/>
              </a:rPr>
              <a:t>3</a:t>
            </a:r>
            <a:r>
              <a:rPr lang="ja-JP" altLang="en-US" sz="1100">
                <a:latin typeface="+mn-lt"/>
                <a:ea typeface="+mn-ea"/>
                <a:cs typeface="+mn-cs"/>
              </a:rPr>
              <a:t>バイト</a:t>
            </a:r>
            <a:endParaRPr lang="en-US" altLang="ja-JP" sz="1100">
              <a:latin typeface="+mn-lt"/>
              <a:ea typeface="+mn-ea"/>
              <a:cs typeface="+mn-cs"/>
            </a:endParaRPr>
          </a:p>
          <a:p>
            <a:r>
              <a:rPr lang="ja-JP" altLang="en-US" sz="1100">
                <a:latin typeface="+mn-lt"/>
                <a:ea typeface="+mn-ea"/>
                <a:cs typeface="+mn-cs"/>
              </a:rPr>
              <a:t>半角カナ１文字の濁音・鼻濁音は、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となります。</a:t>
            </a:r>
            <a:endParaRPr lang="ja-JP" altLang="en-US" sz="1100" b="0" i="0" u="none" strike="noStrike" baseline="0">
              <a:solidFill>
                <a:srgbClr val="000000"/>
              </a:solidFill>
              <a:latin typeface="ＭＳ Ｐゴシック"/>
              <a:ea typeface="ＭＳ Ｐゴシック"/>
            </a:endParaRPr>
          </a:p>
        </xdr:txBody>
      </xdr:sp>
      <xdr:sp macro="" textlink="">
        <xdr:nvSpPr>
          <xdr:cNvPr id="13" name="Rectangle 9">
            <a:extLst>
              <a:ext uri="{FF2B5EF4-FFF2-40B4-BE49-F238E27FC236}">
                <a16:creationId xmlns:a16="http://schemas.microsoft.com/office/drawing/2014/main" id="{00000000-0008-0000-0800-00000D000000}"/>
              </a:ext>
            </a:extLst>
          </xdr:cNvPr>
          <xdr:cNvSpPr>
            <a:spLocks noChangeArrowheads="1"/>
          </xdr:cNvSpPr>
        </xdr:nvSpPr>
        <xdr:spPr bwMode="auto">
          <a:xfrm>
            <a:off x="3116035" y="1779814"/>
            <a:ext cx="2592161" cy="99604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文字長は下記の様に表現しています。</a:t>
            </a:r>
          </a:p>
          <a:p>
            <a:pPr algn="l" rtl="0">
              <a:defRPr sz="1000"/>
            </a:pPr>
            <a:r>
              <a:rPr lang="ja-JP" altLang="en-US" sz="1100" b="0" i="0" u="none" strike="noStrike" baseline="0">
                <a:solidFill>
                  <a:srgbClr val="000000"/>
                </a:solidFill>
                <a:latin typeface="ＭＳ Ｐゴシック"/>
                <a:ea typeface="ＭＳ Ｐゴシック"/>
              </a:rPr>
              <a:t>【最小、最大バイト数指定あり】：</a:t>
            </a:r>
            <a:r>
              <a:rPr lang="ja-JP" altLang="en-US" sz="1100" b="1" i="0" u="none" strike="noStrike" baseline="0">
                <a:solidFill>
                  <a:srgbClr val="000000"/>
                </a:solidFill>
                <a:latin typeface="ＭＳ Ｐゴシック"/>
                <a:ea typeface="ＭＳ Ｐゴシック"/>
              </a:rPr>
              <a:t>1～10</a:t>
            </a:r>
          </a:p>
          <a:p>
            <a:pPr algn="l" rtl="0">
              <a:defRPr sz="1000"/>
            </a:pPr>
            <a:r>
              <a:rPr lang="ja-JP" altLang="en-US" sz="1100" b="0" i="0" u="none" strike="noStrike" baseline="0">
                <a:solidFill>
                  <a:srgbClr val="000000"/>
                </a:solidFill>
                <a:latin typeface="ＭＳ Ｐゴシック"/>
                <a:ea typeface="ＭＳ Ｐゴシック"/>
              </a:rPr>
              <a:t>【最小バイト数指定あり】：</a:t>
            </a:r>
            <a:r>
              <a:rPr lang="ja-JP" altLang="en-US" sz="1100" b="1" i="0" u="none" strike="noStrike" baseline="0">
                <a:solidFill>
                  <a:srgbClr val="000000"/>
                </a:solidFill>
                <a:latin typeface="ＭＳ Ｐゴシック"/>
                <a:ea typeface="ＭＳ Ｐゴシック"/>
              </a:rPr>
              <a:t>1～</a:t>
            </a:r>
          </a:p>
          <a:p>
            <a:pPr algn="l" rtl="0">
              <a:lnSpc>
                <a:spcPts val="1300"/>
              </a:lnSpc>
              <a:defRPr sz="1000"/>
            </a:pPr>
            <a:r>
              <a:rPr lang="ja-JP" altLang="en-US" sz="1100" b="0" i="0" u="none" strike="noStrike" baseline="0">
                <a:solidFill>
                  <a:srgbClr val="000000"/>
                </a:solidFill>
                <a:latin typeface="ＭＳ Ｐゴシック"/>
                <a:ea typeface="ＭＳ Ｐゴシック"/>
              </a:rPr>
              <a:t>【最大バイト数指定あり】：</a:t>
            </a:r>
            <a:r>
              <a:rPr lang="ja-JP" altLang="en-US" sz="1100" b="1" i="0" u="none" strike="noStrike" baseline="0">
                <a:solidFill>
                  <a:srgbClr val="000000"/>
                </a:solidFill>
                <a:latin typeface="ＭＳ Ｐゴシック"/>
                <a:ea typeface="ＭＳ Ｐゴシック"/>
              </a:rPr>
              <a:t>～10</a:t>
            </a:r>
          </a:p>
          <a:p>
            <a:pPr algn="l" rtl="0">
              <a:lnSpc>
                <a:spcPts val="1300"/>
              </a:lnSpc>
              <a:defRPr sz="1000"/>
            </a:pPr>
            <a:r>
              <a:rPr lang="ja-JP" altLang="en-US" sz="1100" b="0" i="0" u="none" strike="noStrike" baseline="0">
                <a:solidFill>
                  <a:srgbClr val="000000"/>
                </a:solidFill>
                <a:latin typeface="ＭＳ Ｐゴシック"/>
                <a:ea typeface="ＭＳ Ｐゴシック"/>
              </a:rPr>
              <a:t>【固定長】：</a:t>
            </a:r>
            <a:r>
              <a:rPr lang="ja-JP" altLang="en-US" sz="1100" b="1"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  (波文字なし)</a:t>
            </a:r>
          </a:p>
        </xdr:txBody>
      </xdr:sp>
    </xdr:grpSp>
    <xdr:clientData/>
  </xdr:twoCellAnchor>
  <xdr:twoCellAnchor>
    <xdr:from>
      <xdr:col>0</xdr:col>
      <xdr:colOff>419100</xdr:colOff>
      <xdr:row>29</xdr:row>
      <xdr:rowOff>0</xdr:rowOff>
    </xdr:from>
    <xdr:to>
      <xdr:col>6</xdr:col>
      <xdr:colOff>806450</xdr:colOff>
      <xdr:row>55</xdr:row>
      <xdr:rowOff>127000</xdr:rowOff>
    </xdr:to>
    <xdr:sp macro="" textlink="">
      <xdr:nvSpPr>
        <xdr:cNvPr id="14" name="Rectangle 10">
          <a:extLst>
            <a:ext uri="{FF2B5EF4-FFF2-40B4-BE49-F238E27FC236}">
              <a16:creationId xmlns:a16="http://schemas.microsoft.com/office/drawing/2014/main" id="{00000000-0008-0000-0800-00000E000000}"/>
            </a:ext>
          </a:extLst>
        </xdr:cNvPr>
        <xdr:cNvSpPr>
          <a:spLocks noChangeArrowheads="1"/>
        </xdr:cNvSpPr>
      </xdr:nvSpPr>
      <xdr:spPr bwMode="auto">
        <a:xfrm>
          <a:off x="419100" y="14147800"/>
          <a:ext cx="8858250" cy="4089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＜属性の説明＞</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数値　　　：　半角数字であること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通貨　　　：　金額として扱う数値</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　　：　全ての入力形式を許可（属性指定なし）</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　　　：　全角文字であること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　：　全角英数文字であること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　　　：　半角文字であること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　：　半角英数文字であること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郵便番号　：　999-9999の形式であること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電話番号　：　半角数値または、ハイフン(-)であること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日付（スラッシュなし）　　　：　スラッシュなしYYYYMMDD形式であること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半角英数大文字・半角スペース　　　　：　半角英大文字、数値または、半角スペースであること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半角英数・半角ハイフン　　　　　　　：　半角英数または、半角ハイフンであること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全半角英数カナ　　　　　　　　　　　：　（全角・半角混在可能）英数カナ文字であること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全角英数カナ　　　　　　　　　　　　：　全角英数カナ文字であること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半角英数カナ　　　　　　　　　　　　：　半角英数カナ文字であること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全角カナ　　　：　全角カナ文字または【「　」[全角スペース]、「（」、「）」、「・」、「ー」】であること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半角カナ　　　：　半角カナ文字</a:t>
          </a:r>
          <a:r>
            <a:rPr lang="ja-JP" altLang="ja-JP" sz="1100" b="0" i="0" baseline="0">
              <a:effectLst/>
              <a:latin typeface="ＭＳ ゴシック" panose="020B0609070205080204" pitchFamily="49" charset="-128"/>
              <a:ea typeface="ＭＳ ゴシック" panose="020B0609070205080204" pitchFamily="49" charset="-128"/>
              <a:cs typeface="+mn-cs"/>
            </a:rPr>
            <a:t>または【「</a:t>
          </a:r>
          <a:r>
            <a:rPr lang="en-US" altLang="ja-JP" sz="1100" b="0" i="0" baseline="0">
              <a:effectLst/>
              <a:latin typeface="ＭＳ ゴシック" panose="020B0609070205080204" pitchFamily="49" charset="-128"/>
              <a:ea typeface="ＭＳ ゴシック" panose="020B0609070205080204" pitchFamily="49" charset="-128"/>
              <a:cs typeface="+mn-cs"/>
            </a:rPr>
            <a:t> </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半</a:t>
          </a:r>
          <a:r>
            <a:rPr lang="ja-JP" altLang="ja-JP" sz="1100" b="0" i="0" baseline="0">
              <a:effectLst/>
              <a:latin typeface="ＭＳ ゴシック" panose="020B0609070205080204" pitchFamily="49" charset="-128"/>
              <a:ea typeface="ＭＳ ゴシック" panose="020B0609070205080204" pitchFamily="49" charset="-128"/>
              <a:cs typeface="+mn-cs"/>
            </a:rPr>
            <a:t>角スペース]、「</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全銀協　　　　：　全銀協許容文字であること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事業所コード　：　事業所コード体系であること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半角英数・半角アンダーバー　：　半角英数または、半角アンダーバーであること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日付（スラッシュあり）　　　：　スラッシュあり</a:t>
          </a: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YYYY/MM/DD</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形式であること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19</xdr:col>
      <xdr:colOff>57150</xdr:colOff>
      <xdr:row>1</xdr:row>
      <xdr:rowOff>2162175</xdr:rowOff>
    </xdr:from>
    <xdr:to>
      <xdr:col>19</xdr:col>
      <xdr:colOff>1000125</xdr:colOff>
      <xdr:row>1</xdr:row>
      <xdr:rowOff>2733675</xdr:rowOff>
    </xdr:to>
    <xdr:sp macro="" textlink="">
      <xdr:nvSpPr>
        <xdr:cNvPr id="14337" name="Text Box 1">
          <a:extLst>
            <a:ext uri="{FF2B5EF4-FFF2-40B4-BE49-F238E27FC236}">
              <a16:creationId xmlns:a16="http://schemas.microsoft.com/office/drawing/2014/main" id="{00000000-0008-0000-0900-000001380000}"/>
            </a:ext>
          </a:extLst>
        </xdr:cNvPr>
        <xdr:cNvSpPr txBox="1">
          <a:spLocks noChangeArrowheads="1"/>
        </xdr:cNvSpPr>
      </xdr:nvSpPr>
      <xdr:spPr bwMode="auto">
        <a:xfrm>
          <a:off x="13096875" y="2343150"/>
          <a:ext cx="942975" cy="571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値間は「,」以外のスペース等を</a:t>
          </a:r>
        </a:p>
        <a:p>
          <a:pPr algn="l" rtl="0">
            <a:defRPr sz="1000"/>
          </a:pPr>
          <a:r>
            <a:rPr lang="ja-JP" altLang="en-US" sz="900" b="0" i="0" u="none" strike="noStrike" baseline="0">
              <a:solidFill>
                <a:srgbClr val="000000"/>
              </a:solidFill>
              <a:latin typeface="ＭＳ Ｐゴシック"/>
              <a:ea typeface="ＭＳ Ｐゴシック"/>
            </a:rPr>
            <a:t>入れないよう注意</a:t>
          </a:r>
        </a:p>
        <a:p>
          <a:pPr algn="l" rtl="0">
            <a:defRPr sz="1000"/>
          </a:pPr>
          <a:endParaRPr lang="ja-JP" altLang="en-US" sz="900" b="0" i="0" u="none" strike="noStrike" baseline="0">
            <a:solidFill>
              <a:srgbClr val="000000"/>
            </a:solidFill>
            <a:latin typeface="ＭＳ Ｐゴシック"/>
            <a:ea typeface="ＭＳ Ｐゴシック"/>
          </a:endParaRPr>
        </a:p>
      </xdr:txBody>
    </xdr:sp>
    <xdr:clientData/>
  </xdr:twoCellAnchor>
  <xdr:oneCellAnchor>
    <xdr:from>
      <xdr:col>42</xdr:col>
      <xdr:colOff>247650</xdr:colOff>
      <xdr:row>1</xdr:row>
      <xdr:rowOff>1514475</xdr:rowOff>
    </xdr:from>
    <xdr:ext cx="3018262" cy="201850"/>
    <xdr:sp macro="" textlink="">
      <xdr:nvSpPr>
        <xdr:cNvPr id="14338" name="Text Box 2">
          <a:extLst>
            <a:ext uri="{FF2B5EF4-FFF2-40B4-BE49-F238E27FC236}">
              <a16:creationId xmlns:a16="http://schemas.microsoft.com/office/drawing/2014/main" id="{00000000-0008-0000-0900-000002380000}"/>
            </a:ext>
          </a:extLst>
        </xdr:cNvPr>
        <xdr:cNvSpPr txBox="1">
          <a:spLocks noChangeArrowheads="1"/>
        </xdr:cNvSpPr>
      </xdr:nvSpPr>
      <xdr:spPr bwMode="auto">
        <a:xfrm>
          <a:off x="24318686" y="1691368"/>
          <a:ext cx="3018262" cy="2018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重複チェックは、値が未入力時にはチェックしない。</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896471</xdr:colOff>
      <xdr:row>92</xdr:row>
      <xdr:rowOff>156882</xdr:rowOff>
    </xdr:from>
    <xdr:to>
      <xdr:col>1</xdr:col>
      <xdr:colOff>1996327</xdr:colOff>
      <xdr:row>96</xdr:row>
      <xdr:rowOff>156882</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1144121" y="16349382"/>
          <a:ext cx="1099856" cy="68580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896476</xdr:colOff>
      <xdr:row>93</xdr:row>
      <xdr:rowOff>0</xdr:rowOff>
    </xdr:from>
    <xdr:to>
      <xdr:col>1</xdr:col>
      <xdr:colOff>1996332</xdr:colOff>
      <xdr:row>96</xdr:row>
      <xdr:rowOff>168089</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1125076" y="16325850"/>
          <a:ext cx="1099856" cy="682439"/>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20\share\WINDOWS\Temporary%20Internet%20Files\Content.IE5\LLTWW692\file002(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queen.tk.lca\maccom\My%20Documents\&#19979;&#26399;&#26041;&#37341;&#30330;&#34920;&#20250;\&#20303;&#23429;&#12539;&#20184;&#21152;&#20385;&#20516;\7&#26376;\7&#65374;9&#26376;&#19978;&#26041;&#20462;&#27491;&#35336;&#30011;\&#20303;&#23429;&#12539;&#20184;&#21152;&#20385;&#20516;\6&#26376;\Desktop%20Folder\&#20303;&#23429;&#12539;&#20184;&#21152;&#20385;&#20516;\6&#26376;\32&#26399;&#12521;&#12452;&#12531;&#37096;&#3827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１．InfoCube (YKCH0010)案１"/>
      <sheetName val="１．InfoCube (YKCH0010) 案２"/>
      <sheetName val="属性一覧"/>
      <sheetName val="Sheet1"/>
      <sheetName val="リスト"/>
      <sheetName val="リスト値"/>
      <sheetName val="入力規則"/>
      <sheetName val="リスト（変更不可）"/>
      <sheetName val="パターン"/>
      <sheetName val="共通コード_SalesRegion"/>
      <sheetName val="Exchange rate list"/>
      <sheetName val="CompanyList_ComGroup"/>
      <sheetName val="master"/>
      <sheetName val="exchange_rate"/>
      <sheetName val="CompanyList"/>
      <sheetName val="CoA_list"/>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西ﾏｰｹ 事業部報告 "/>
      <sheetName val="濱村ﾁｰﾑ"/>
      <sheetName val="桐原ﾁｰﾑ"/>
      <sheetName val="大島チーム"/>
      <sheetName val="　東ﾏｰｹ　5月度"/>
      <sheetName val="西改善　総括"/>
      <sheetName val="久保A"/>
      <sheetName val="久保B"/>
      <sheetName val="新谷"/>
      <sheetName val="嶋寺"/>
      <sheetName val="坂本"/>
      <sheetName val="湯野川"/>
      <sheetName val="酒井"/>
      <sheetName val=" 田中"/>
      <sheetName val="EK-1 東改善部門報告"/>
      <sheetName val="EK-2 チーム報告"/>
      <sheetName val="EK-5 中経・計画値"/>
      <sheetName val="5-1-1 西支援 総括"/>
      <sheetName val="5-1-2西支援　数値実績"/>
      <sheetName val="REF"/>
      <sheetName val="プルダウンリスト"/>
      <sheetName val="(ワーク)リストボックスデータ"/>
      <sheetName val="【編集禁止】データシート"/>
      <sheetName val="list"/>
      <sheetName val="言語メニュー"/>
      <sheetName val="Sheet1"/>
      <sheetName val="Sheet2"/>
      <sheetName val="リスト"/>
      <sheetName val="14年度委託料一覧"/>
      <sheetName val="(Appendix)screen List"/>
      <sheetName val="Bill periods"/>
      <sheetName val="Sheet5"/>
      <sheetName val="会社コード一覧"/>
      <sheetName val="権限パターンリスト"/>
      <sheetName val="選択候補"/>
      <sheetName val="参考_プルダウン項目一覧"/>
      <sheetName val="プルダウン項目"/>
      <sheetName val="参考_選択候補"/>
      <sheetName val="プルダウン回答"/>
      <sheetName val="プルダウン"/>
      <sheetName val="hiddenSheet"/>
      <sheetName val="work"/>
      <sheetName val="【MST】"/>
      <sheetName val="プルダインメニュー"/>
      <sheetName val="【成果・支払・請求】使用者区分一覧"/>
      <sheetName val="【新MARS】使用者区分一覧"/>
      <sheetName val="【情機SYS】各種区分等一覧"/>
      <sheetName val="区分"/>
      <sheetName val="集計用振分区分"/>
      <sheetName val="売上集計"/>
      <sheetName val="Sheet3"/>
      <sheetName val="5_1_2西支援_数値実績"/>
      <sheetName val="西ﾏｰｹ 事業部報呈 "/>
      <sheetName val="濱村ﾁ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W1550"/>
  <sheetViews>
    <sheetView tabSelected="1" topLeftCell="A2" zoomScale="55" zoomScaleNormal="55" zoomScaleSheetLayoutView="100" workbookViewId="0">
      <selection activeCell="W7" sqref="W7:W29"/>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757</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289" customFormat="1" ht="17.399999999999999">
      <c r="A7" s="283" t="s">
        <v>493</v>
      </c>
      <c r="B7" s="284" t="s">
        <v>756</v>
      </c>
      <c r="C7" s="285" t="s">
        <v>758</v>
      </c>
      <c r="D7" s="286" t="s">
        <v>759</v>
      </c>
      <c r="E7" s="286" t="s">
        <v>194</v>
      </c>
      <c r="F7" s="286" t="s">
        <v>760</v>
      </c>
      <c r="G7" s="286"/>
      <c r="H7" s="286" t="s">
        <v>753</v>
      </c>
      <c r="I7" s="286"/>
      <c r="J7" s="286"/>
      <c r="K7" s="286"/>
      <c r="L7" s="286"/>
      <c r="M7" s="286" t="s">
        <v>758</v>
      </c>
      <c r="N7" s="287" t="s">
        <v>761</v>
      </c>
      <c r="O7" s="286" t="s">
        <v>194</v>
      </c>
      <c r="P7" s="286"/>
      <c r="Q7" s="286"/>
      <c r="R7" s="286" t="s">
        <v>194</v>
      </c>
      <c r="S7" s="286" t="s">
        <v>264</v>
      </c>
      <c r="T7" s="286" t="s">
        <v>194</v>
      </c>
      <c r="U7" s="286"/>
      <c r="V7" s="286"/>
      <c r="W7" s="288" t="s">
        <v>806</v>
      </c>
    </row>
    <row r="8" spans="1:23" s="289" customFormat="1" ht="14.4">
      <c r="A8" s="283" t="s">
        <v>493</v>
      </c>
      <c r="B8" s="284" t="s">
        <v>756</v>
      </c>
      <c r="C8" s="285" t="s">
        <v>762</v>
      </c>
      <c r="D8" s="286" t="s">
        <v>763</v>
      </c>
      <c r="E8" s="286" t="s">
        <v>194</v>
      </c>
      <c r="F8" s="286" t="s">
        <v>760</v>
      </c>
      <c r="G8" s="286"/>
      <c r="H8" s="286" t="s">
        <v>194</v>
      </c>
      <c r="I8" s="286" t="s">
        <v>754</v>
      </c>
      <c r="J8" s="286" t="s">
        <v>201</v>
      </c>
      <c r="K8" s="286" t="s">
        <v>762</v>
      </c>
      <c r="L8" s="286" t="s">
        <v>764</v>
      </c>
      <c r="M8" s="286"/>
      <c r="N8" s="286"/>
      <c r="O8" s="286"/>
      <c r="P8" s="286"/>
      <c r="Q8" s="286"/>
      <c r="R8" s="286"/>
      <c r="S8" s="286"/>
      <c r="T8" s="286" t="s">
        <v>194</v>
      </c>
      <c r="U8" s="286"/>
      <c r="V8" s="286"/>
      <c r="W8" s="288" t="s">
        <v>806</v>
      </c>
    </row>
    <row r="9" spans="1:23" s="289" customFormat="1" ht="17.399999999999999">
      <c r="A9" s="283" t="s">
        <v>493</v>
      </c>
      <c r="B9" s="284" t="s">
        <v>756</v>
      </c>
      <c r="C9" s="285" t="s">
        <v>765</v>
      </c>
      <c r="D9" s="286" t="s">
        <v>766</v>
      </c>
      <c r="E9" s="286" t="s">
        <v>194</v>
      </c>
      <c r="F9" s="286" t="s">
        <v>760</v>
      </c>
      <c r="G9" s="286"/>
      <c r="H9" s="286" t="s">
        <v>753</v>
      </c>
      <c r="I9" s="286"/>
      <c r="J9" s="286"/>
      <c r="K9" s="286"/>
      <c r="L9" s="286"/>
      <c r="M9" s="286" t="s">
        <v>767</v>
      </c>
      <c r="N9" s="287" t="s">
        <v>761</v>
      </c>
      <c r="O9" s="286" t="s">
        <v>194</v>
      </c>
      <c r="P9" s="286"/>
      <c r="Q9" s="286"/>
      <c r="R9" s="286"/>
      <c r="S9" s="286" t="s">
        <v>264</v>
      </c>
      <c r="T9" s="286" t="s">
        <v>194</v>
      </c>
      <c r="U9" s="286"/>
      <c r="V9" s="286"/>
      <c r="W9" s="288" t="s">
        <v>806</v>
      </c>
    </row>
    <row r="10" spans="1:23" s="289" customFormat="1" ht="17.399999999999999">
      <c r="A10" s="283" t="s">
        <v>493</v>
      </c>
      <c r="B10" s="284" t="s">
        <v>756</v>
      </c>
      <c r="C10" s="287" t="s">
        <v>761</v>
      </c>
      <c r="D10" s="286" t="s">
        <v>768</v>
      </c>
      <c r="E10" s="286" t="s">
        <v>194</v>
      </c>
      <c r="F10" s="286" t="s">
        <v>760</v>
      </c>
      <c r="G10" s="286"/>
      <c r="H10" s="286" t="s">
        <v>753</v>
      </c>
      <c r="I10" s="286"/>
      <c r="J10" s="286"/>
      <c r="K10" s="286"/>
      <c r="L10" s="286"/>
      <c r="M10" s="286" t="s">
        <v>769</v>
      </c>
      <c r="N10" s="286"/>
      <c r="O10" s="286"/>
      <c r="P10" s="286" t="s">
        <v>194</v>
      </c>
      <c r="Q10" s="286"/>
      <c r="R10" s="286"/>
      <c r="S10" s="286"/>
      <c r="T10" s="286" t="s">
        <v>194</v>
      </c>
      <c r="U10" s="286"/>
      <c r="V10" s="286"/>
      <c r="W10" s="288" t="s">
        <v>806</v>
      </c>
    </row>
    <row r="11" spans="1:23" s="289" customFormat="1" ht="17.399999999999999">
      <c r="A11" s="283" t="s">
        <v>493</v>
      </c>
      <c r="B11" s="284" t="s">
        <v>756</v>
      </c>
      <c r="C11" s="287" t="s">
        <v>761</v>
      </c>
      <c r="D11" s="286" t="s">
        <v>770</v>
      </c>
      <c r="E11" s="286" t="s">
        <v>194</v>
      </c>
      <c r="F11" s="286" t="s">
        <v>760</v>
      </c>
      <c r="G11" s="286"/>
      <c r="H11" s="286" t="s">
        <v>753</v>
      </c>
      <c r="I11" s="286"/>
      <c r="J11" s="286"/>
      <c r="K11" s="286"/>
      <c r="L11" s="286"/>
      <c r="M11" s="287" t="s">
        <v>761</v>
      </c>
      <c r="N11" s="286" t="s">
        <v>769</v>
      </c>
      <c r="O11" s="286"/>
      <c r="P11" s="286" t="s">
        <v>194</v>
      </c>
      <c r="Q11" s="286"/>
      <c r="R11" s="286"/>
      <c r="S11" s="286"/>
      <c r="T11" s="286" t="s">
        <v>194</v>
      </c>
      <c r="U11" s="286"/>
      <c r="V11" s="286"/>
      <c r="W11" s="288" t="s">
        <v>806</v>
      </c>
    </row>
    <row r="12" spans="1:23" s="289" customFormat="1" ht="17.399999999999999">
      <c r="A12" s="283" t="s">
        <v>493</v>
      </c>
      <c r="B12" s="284" t="s">
        <v>756</v>
      </c>
      <c r="C12" s="287" t="s">
        <v>761</v>
      </c>
      <c r="D12" s="286" t="s">
        <v>771</v>
      </c>
      <c r="E12" s="286" t="s">
        <v>194</v>
      </c>
      <c r="F12" s="286" t="s">
        <v>760</v>
      </c>
      <c r="G12" s="286"/>
      <c r="H12" s="286" t="s">
        <v>753</v>
      </c>
      <c r="I12" s="286"/>
      <c r="J12" s="286"/>
      <c r="K12" s="286"/>
      <c r="L12" s="286"/>
      <c r="M12" s="287" t="s">
        <v>761</v>
      </c>
      <c r="N12" s="286"/>
      <c r="O12" s="286" t="s">
        <v>194</v>
      </c>
      <c r="P12" s="286" t="s">
        <v>194</v>
      </c>
      <c r="Q12" s="286"/>
      <c r="R12" s="286"/>
      <c r="S12" s="286"/>
      <c r="T12" s="286" t="s">
        <v>194</v>
      </c>
      <c r="U12" s="286"/>
      <c r="V12" s="286"/>
      <c r="W12" s="288" t="s">
        <v>806</v>
      </c>
    </row>
    <row r="13" spans="1:23" s="289" customFormat="1" ht="17.399999999999999">
      <c r="A13" s="283" t="s">
        <v>493</v>
      </c>
      <c r="B13" s="284" t="s">
        <v>756</v>
      </c>
      <c r="C13" s="287" t="s">
        <v>761</v>
      </c>
      <c r="D13" s="286" t="s">
        <v>772</v>
      </c>
      <c r="E13" s="286" t="s">
        <v>194</v>
      </c>
      <c r="F13" s="286" t="s">
        <v>760</v>
      </c>
      <c r="G13" s="286"/>
      <c r="H13" s="286" t="s">
        <v>753</v>
      </c>
      <c r="I13" s="286"/>
      <c r="J13" s="286"/>
      <c r="K13" s="286"/>
      <c r="L13" s="286"/>
      <c r="M13" s="287" t="s">
        <v>761</v>
      </c>
      <c r="N13" s="286"/>
      <c r="O13" s="286"/>
      <c r="P13" s="286" t="s">
        <v>753</v>
      </c>
      <c r="Q13" s="286"/>
      <c r="R13" s="286"/>
      <c r="S13" s="286"/>
      <c r="T13" s="286" t="s">
        <v>194</v>
      </c>
      <c r="U13" s="286"/>
      <c r="V13" s="286"/>
      <c r="W13" s="288" t="s">
        <v>806</v>
      </c>
    </row>
    <row r="14" spans="1:23" s="289" customFormat="1" ht="17.399999999999999">
      <c r="A14" s="283" t="s">
        <v>493</v>
      </c>
      <c r="B14" s="284" t="s">
        <v>756</v>
      </c>
      <c r="C14" s="287" t="s">
        <v>761</v>
      </c>
      <c r="D14" s="286" t="s">
        <v>773</v>
      </c>
      <c r="E14" s="286" t="s">
        <v>194</v>
      </c>
      <c r="F14" s="286" t="s">
        <v>760</v>
      </c>
      <c r="G14" s="286"/>
      <c r="H14" s="286" t="s">
        <v>753</v>
      </c>
      <c r="I14" s="286"/>
      <c r="J14" s="286"/>
      <c r="K14" s="286"/>
      <c r="L14" s="286"/>
      <c r="M14" s="287" t="s">
        <v>761</v>
      </c>
      <c r="N14" s="286"/>
      <c r="O14" s="286"/>
      <c r="P14" s="286" t="s">
        <v>194</v>
      </c>
      <c r="Q14" s="286" t="s">
        <v>194</v>
      </c>
      <c r="R14" s="286"/>
      <c r="S14" s="286"/>
      <c r="T14" s="286" t="s">
        <v>194</v>
      </c>
      <c r="U14" s="286"/>
      <c r="V14" s="286"/>
      <c r="W14" s="288" t="s">
        <v>806</v>
      </c>
    </row>
    <row r="15" spans="1:23" s="289" customFormat="1" ht="17.399999999999999">
      <c r="A15" s="283" t="s">
        <v>493</v>
      </c>
      <c r="B15" s="284" t="s">
        <v>756</v>
      </c>
      <c r="C15" s="287" t="s">
        <v>761</v>
      </c>
      <c r="D15" s="286" t="s">
        <v>774</v>
      </c>
      <c r="E15" s="286" t="s">
        <v>194</v>
      </c>
      <c r="F15" s="286" t="s">
        <v>760</v>
      </c>
      <c r="G15" s="286"/>
      <c r="H15" s="286" t="s">
        <v>753</v>
      </c>
      <c r="I15" s="286"/>
      <c r="J15" s="286"/>
      <c r="K15" s="286"/>
      <c r="L15" s="286"/>
      <c r="M15" s="287" t="s">
        <v>761</v>
      </c>
      <c r="N15" s="286"/>
      <c r="O15" s="286"/>
      <c r="P15" s="286" t="s">
        <v>194</v>
      </c>
      <c r="Q15" s="286"/>
      <c r="R15" s="286" t="s">
        <v>194</v>
      </c>
      <c r="S15" s="286"/>
      <c r="T15" s="286" t="s">
        <v>194</v>
      </c>
      <c r="U15" s="286"/>
      <c r="V15" s="286"/>
      <c r="W15" s="288" t="s">
        <v>806</v>
      </c>
    </row>
    <row r="16" spans="1:23" s="289" customFormat="1" ht="17.399999999999999">
      <c r="A16" s="283" t="s">
        <v>493</v>
      </c>
      <c r="B16" s="284" t="s">
        <v>756</v>
      </c>
      <c r="C16" s="287" t="s">
        <v>761</v>
      </c>
      <c r="D16" s="286" t="s">
        <v>775</v>
      </c>
      <c r="E16" s="286" t="s">
        <v>194</v>
      </c>
      <c r="F16" s="286" t="s">
        <v>760</v>
      </c>
      <c r="G16" s="286"/>
      <c r="H16" s="286" t="s">
        <v>753</v>
      </c>
      <c r="I16" s="286"/>
      <c r="J16" s="286"/>
      <c r="K16" s="286"/>
      <c r="L16" s="286"/>
      <c r="M16" s="287" t="s">
        <v>761</v>
      </c>
      <c r="N16" s="286"/>
      <c r="O16" s="286"/>
      <c r="P16" s="286" t="s">
        <v>194</v>
      </c>
      <c r="Q16" s="286"/>
      <c r="R16" s="286"/>
      <c r="S16" s="286" t="s">
        <v>264</v>
      </c>
      <c r="T16" s="286" t="s">
        <v>194</v>
      </c>
      <c r="U16" s="286"/>
      <c r="V16" s="286"/>
      <c r="W16" s="288" t="s">
        <v>806</v>
      </c>
    </row>
    <row r="17" spans="1:23" s="289" customFormat="1" ht="17.399999999999999">
      <c r="A17" s="283" t="s">
        <v>493</v>
      </c>
      <c r="B17" s="284" t="s">
        <v>756</v>
      </c>
      <c r="C17" s="287" t="s">
        <v>761</v>
      </c>
      <c r="D17" s="286" t="s">
        <v>776</v>
      </c>
      <c r="E17" s="286" t="s">
        <v>194</v>
      </c>
      <c r="F17" s="286" t="s">
        <v>760</v>
      </c>
      <c r="G17" s="286"/>
      <c r="H17" s="286" t="s">
        <v>753</v>
      </c>
      <c r="I17" s="286"/>
      <c r="J17" s="286"/>
      <c r="K17" s="286"/>
      <c r="L17" s="286"/>
      <c r="M17" s="287" t="s">
        <v>761</v>
      </c>
      <c r="N17" s="286"/>
      <c r="O17" s="286"/>
      <c r="P17" s="286" t="s">
        <v>194</v>
      </c>
      <c r="Q17" s="286"/>
      <c r="R17" s="286"/>
      <c r="S17" s="286"/>
      <c r="T17" s="286" t="s">
        <v>753</v>
      </c>
      <c r="U17" s="286"/>
      <c r="V17" s="286"/>
      <c r="W17" s="288" t="s">
        <v>806</v>
      </c>
    </row>
    <row r="18" spans="1:23" s="289" customFormat="1" ht="14.4">
      <c r="A18" s="283" t="s">
        <v>493</v>
      </c>
      <c r="B18" s="284" t="s">
        <v>777</v>
      </c>
      <c r="C18" s="285" t="s">
        <v>778</v>
      </c>
      <c r="D18" s="286" t="s">
        <v>779</v>
      </c>
      <c r="E18" s="286" t="s">
        <v>194</v>
      </c>
      <c r="F18" s="286" t="s">
        <v>760</v>
      </c>
      <c r="G18" s="286"/>
      <c r="H18" s="286" t="s">
        <v>753</v>
      </c>
      <c r="I18" s="286"/>
      <c r="J18" s="286"/>
      <c r="K18" s="286"/>
      <c r="L18" s="286"/>
      <c r="M18" s="286" t="s">
        <v>778</v>
      </c>
      <c r="N18" s="286" t="s">
        <v>778</v>
      </c>
      <c r="O18" s="286"/>
      <c r="P18" s="286"/>
      <c r="Q18" s="286" t="s">
        <v>194</v>
      </c>
      <c r="R18" s="286" t="s">
        <v>753</v>
      </c>
      <c r="S18" s="286"/>
      <c r="T18" s="286" t="s">
        <v>194</v>
      </c>
      <c r="U18" s="286"/>
      <c r="V18" s="286"/>
      <c r="W18" s="288" t="s">
        <v>806</v>
      </c>
    </row>
    <row r="19" spans="1:23" s="289" customFormat="1" ht="14.4">
      <c r="A19" s="283" t="s">
        <v>493</v>
      </c>
      <c r="B19" s="284" t="s">
        <v>780</v>
      </c>
      <c r="C19" s="285" t="s">
        <v>781</v>
      </c>
      <c r="D19" s="286" t="s">
        <v>782</v>
      </c>
      <c r="E19" s="286" t="s">
        <v>194</v>
      </c>
      <c r="F19" s="286" t="s">
        <v>760</v>
      </c>
      <c r="G19" s="286"/>
      <c r="H19" s="286" t="s">
        <v>753</v>
      </c>
      <c r="I19" s="286"/>
      <c r="J19" s="286"/>
      <c r="K19" s="286"/>
      <c r="L19" s="286"/>
      <c r="M19" s="286" t="s">
        <v>781</v>
      </c>
      <c r="N19" s="286" t="s">
        <v>767</v>
      </c>
      <c r="O19" s="286"/>
      <c r="P19" s="286"/>
      <c r="Q19" s="286" t="s">
        <v>194</v>
      </c>
      <c r="R19" s="286" t="s">
        <v>194</v>
      </c>
      <c r="S19" s="286"/>
      <c r="T19" s="286" t="s">
        <v>194</v>
      </c>
      <c r="U19" s="286"/>
      <c r="V19" s="286"/>
      <c r="W19" s="288" t="s">
        <v>806</v>
      </c>
    </row>
    <row r="20" spans="1:23" s="289" customFormat="1" ht="17.399999999999999">
      <c r="A20" s="283" t="s">
        <v>493</v>
      </c>
      <c r="B20" s="284" t="s">
        <v>783</v>
      </c>
      <c r="C20" s="285" t="s">
        <v>784</v>
      </c>
      <c r="D20" s="286" t="s">
        <v>785</v>
      </c>
      <c r="E20" s="286" t="s">
        <v>194</v>
      </c>
      <c r="F20" s="286" t="s">
        <v>760</v>
      </c>
      <c r="G20" s="286"/>
      <c r="H20" s="286" t="s">
        <v>753</v>
      </c>
      <c r="I20" s="286"/>
      <c r="J20" s="286"/>
      <c r="K20" s="286"/>
      <c r="L20" s="286"/>
      <c r="M20" s="286" t="s">
        <v>784</v>
      </c>
      <c r="N20" s="287" t="s">
        <v>761</v>
      </c>
      <c r="O20" s="286"/>
      <c r="P20" s="286"/>
      <c r="Q20" s="286" t="s">
        <v>194</v>
      </c>
      <c r="R20" s="286" t="s">
        <v>194</v>
      </c>
      <c r="S20" s="286"/>
      <c r="T20" s="286" t="s">
        <v>194</v>
      </c>
      <c r="U20" s="286"/>
      <c r="V20" s="286"/>
      <c r="W20" s="288" t="s">
        <v>806</v>
      </c>
    </row>
    <row r="21" spans="1:23" s="289" customFormat="1" ht="17.399999999999999">
      <c r="A21" s="283" t="s">
        <v>493</v>
      </c>
      <c r="B21" s="284" t="s">
        <v>783</v>
      </c>
      <c r="C21" s="285" t="s">
        <v>786</v>
      </c>
      <c r="D21" s="286" t="s">
        <v>787</v>
      </c>
      <c r="E21" s="286" t="s">
        <v>194</v>
      </c>
      <c r="F21" s="286" t="s">
        <v>760</v>
      </c>
      <c r="G21" s="286"/>
      <c r="H21" s="286" t="s">
        <v>753</v>
      </c>
      <c r="I21" s="286"/>
      <c r="J21" s="286"/>
      <c r="K21" s="286"/>
      <c r="L21" s="286"/>
      <c r="M21" s="286" t="s">
        <v>786</v>
      </c>
      <c r="N21" s="287" t="s">
        <v>761</v>
      </c>
      <c r="O21" s="286"/>
      <c r="P21" s="286"/>
      <c r="Q21" s="286" t="s">
        <v>194</v>
      </c>
      <c r="R21" s="286"/>
      <c r="S21" s="286"/>
      <c r="T21" s="286" t="s">
        <v>194</v>
      </c>
      <c r="U21" s="286"/>
      <c r="V21" s="286"/>
      <c r="W21" s="288" t="s">
        <v>806</v>
      </c>
    </row>
    <row r="22" spans="1:23" s="289" customFormat="1" ht="17.399999999999999">
      <c r="A22" s="283" t="s">
        <v>493</v>
      </c>
      <c r="B22" s="284" t="s">
        <v>756</v>
      </c>
      <c r="C22" s="285" t="s">
        <v>788</v>
      </c>
      <c r="D22" s="286" t="s">
        <v>789</v>
      </c>
      <c r="E22" s="286" t="s">
        <v>194</v>
      </c>
      <c r="F22" s="286" t="s">
        <v>760</v>
      </c>
      <c r="G22" s="286"/>
      <c r="H22" s="286" t="s">
        <v>753</v>
      </c>
      <c r="I22" s="286"/>
      <c r="J22" s="286"/>
      <c r="K22" s="286"/>
      <c r="L22" s="286"/>
      <c r="M22" s="286" t="s">
        <v>788</v>
      </c>
      <c r="N22" s="287" t="s">
        <v>761</v>
      </c>
      <c r="O22" s="286"/>
      <c r="P22" s="286" t="s">
        <v>194</v>
      </c>
      <c r="Q22" s="286"/>
      <c r="R22" s="286"/>
      <c r="S22" s="286" t="s">
        <v>264</v>
      </c>
      <c r="T22" s="286" t="s">
        <v>194</v>
      </c>
      <c r="U22" s="286"/>
      <c r="V22" s="286"/>
      <c r="W22" s="288" t="s">
        <v>806</v>
      </c>
    </row>
    <row r="23" spans="1:23" s="289" customFormat="1" ht="17.399999999999999">
      <c r="A23" s="283" t="s">
        <v>493</v>
      </c>
      <c r="B23" s="284" t="s">
        <v>756</v>
      </c>
      <c r="C23" s="285" t="s">
        <v>790</v>
      </c>
      <c r="D23" s="286" t="s">
        <v>791</v>
      </c>
      <c r="E23" s="286" t="s">
        <v>194</v>
      </c>
      <c r="F23" s="286" t="s">
        <v>760</v>
      </c>
      <c r="G23" s="286"/>
      <c r="H23" s="286" t="s">
        <v>753</v>
      </c>
      <c r="I23" s="286"/>
      <c r="J23" s="286"/>
      <c r="K23" s="286"/>
      <c r="L23" s="286"/>
      <c r="M23" s="286" t="s">
        <v>790</v>
      </c>
      <c r="N23" s="287" t="s">
        <v>761</v>
      </c>
      <c r="O23" s="286"/>
      <c r="P23" s="286" t="s">
        <v>194</v>
      </c>
      <c r="Q23" s="286"/>
      <c r="R23" s="286"/>
      <c r="S23" s="286"/>
      <c r="T23" s="286" t="s">
        <v>753</v>
      </c>
      <c r="U23" s="286"/>
      <c r="V23" s="286"/>
      <c r="W23" s="288" t="s">
        <v>806</v>
      </c>
    </row>
    <row r="24" spans="1:23" s="289" customFormat="1" ht="17.399999999999999">
      <c r="A24" s="283" t="s">
        <v>493</v>
      </c>
      <c r="B24" s="284" t="s">
        <v>756</v>
      </c>
      <c r="C24" s="285" t="s">
        <v>792</v>
      </c>
      <c r="D24" s="286" t="s">
        <v>793</v>
      </c>
      <c r="E24" s="286" t="s">
        <v>194</v>
      </c>
      <c r="F24" s="286" t="s">
        <v>760</v>
      </c>
      <c r="G24" s="286"/>
      <c r="H24" s="286" t="s">
        <v>753</v>
      </c>
      <c r="I24" s="286"/>
      <c r="J24" s="286"/>
      <c r="K24" s="286"/>
      <c r="L24" s="286"/>
      <c r="M24" s="286" t="s">
        <v>792</v>
      </c>
      <c r="N24" s="287" t="s">
        <v>761</v>
      </c>
      <c r="O24" s="286" t="s">
        <v>194</v>
      </c>
      <c r="P24" s="286"/>
      <c r="Q24" s="286"/>
      <c r="R24" s="286"/>
      <c r="S24" s="286" t="s">
        <v>794</v>
      </c>
      <c r="T24" s="286" t="s">
        <v>194</v>
      </c>
      <c r="U24" s="286"/>
      <c r="V24" s="286"/>
      <c r="W24" s="288" t="s">
        <v>806</v>
      </c>
    </row>
    <row r="25" spans="1:23" s="289" customFormat="1" ht="17.399999999999999">
      <c r="A25" s="283" t="s">
        <v>493</v>
      </c>
      <c r="B25" s="284" t="s">
        <v>756</v>
      </c>
      <c r="C25" s="285" t="s">
        <v>795</v>
      </c>
      <c r="D25" s="286" t="s">
        <v>796</v>
      </c>
      <c r="E25" s="286" t="s">
        <v>194</v>
      </c>
      <c r="F25" s="286" t="s">
        <v>760</v>
      </c>
      <c r="G25" s="286"/>
      <c r="H25" s="286" t="s">
        <v>753</v>
      </c>
      <c r="I25" s="286"/>
      <c r="J25" s="286"/>
      <c r="K25" s="286"/>
      <c r="L25" s="286"/>
      <c r="M25" s="286" t="s">
        <v>795</v>
      </c>
      <c r="N25" s="287" t="s">
        <v>761</v>
      </c>
      <c r="O25" s="286" t="s">
        <v>194</v>
      </c>
      <c r="P25" s="286"/>
      <c r="Q25" s="286"/>
      <c r="R25" s="286"/>
      <c r="S25" s="286" t="s">
        <v>264</v>
      </c>
      <c r="T25" s="286" t="s">
        <v>753</v>
      </c>
      <c r="U25" s="286"/>
      <c r="V25" s="286"/>
      <c r="W25" s="288" t="s">
        <v>806</v>
      </c>
    </row>
    <row r="26" spans="1:23" s="289" customFormat="1" ht="17.399999999999999">
      <c r="A26" s="283" t="s">
        <v>493</v>
      </c>
      <c r="B26" s="284" t="s">
        <v>756</v>
      </c>
      <c r="C26" s="285" t="s">
        <v>797</v>
      </c>
      <c r="D26" s="286" t="s">
        <v>798</v>
      </c>
      <c r="E26" s="286" t="s">
        <v>194</v>
      </c>
      <c r="F26" s="286" t="s">
        <v>760</v>
      </c>
      <c r="G26" s="286"/>
      <c r="H26" s="286" t="s">
        <v>753</v>
      </c>
      <c r="I26" s="286"/>
      <c r="J26" s="286"/>
      <c r="K26" s="286"/>
      <c r="L26" s="286"/>
      <c r="M26" s="286" t="s">
        <v>797</v>
      </c>
      <c r="N26" s="287" t="s">
        <v>761</v>
      </c>
      <c r="O26" s="286" t="s">
        <v>753</v>
      </c>
      <c r="P26" s="286"/>
      <c r="Q26" s="286"/>
      <c r="R26" s="286"/>
      <c r="S26" s="286" t="s">
        <v>264</v>
      </c>
      <c r="T26" s="286" t="s">
        <v>194</v>
      </c>
      <c r="U26" s="286"/>
      <c r="V26" s="286"/>
      <c r="W26" s="288" t="s">
        <v>806</v>
      </c>
    </row>
    <row r="27" spans="1:23" s="289" customFormat="1" ht="14.4">
      <c r="A27" s="283" t="s">
        <v>493</v>
      </c>
      <c r="B27" s="284" t="s">
        <v>783</v>
      </c>
      <c r="C27" s="285" t="s">
        <v>799</v>
      </c>
      <c r="D27" s="286" t="s">
        <v>800</v>
      </c>
      <c r="E27" s="286" t="s">
        <v>194</v>
      </c>
      <c r="F27" s="286" t="s">
        <v>760</v>
      </c>
      <c r="G27" s="286"/>
      <c r="H27" s="286" t="s">
        <v>753</v>
      </c>
      <c r="I27" s="286"/>
      <c r="J27" s="286"/>
      <c r="K27" s="286"/>
      <c r="L27" s="286"/>
      <c r="M27" s="286" t="s">
        <v>799</v>
      </c>
      <c r="N27" s="286" t="s">
        <v>769</v>
      </c>
      <c r="O27" s="286" t="s">
        <v>194</v>
      </c>
      <c r="P27" s="286"/>
      <c r="Q27" s="286"/>
      <c r="R27" s="286"/>
      <c r="S27" s="286" t="s">
        <v>264</v>
      </c>
      <c r="T27" s="286" t="s">
        <v>194</v>
      </c>
      <c r="U27" s="286"/>
      <c r="V27" s="286"/>
      <c r="W27" s="288" t="s">
        <v>806</v>
      </c>
    </row>
    <row r="28" spans="1:23" s="289" customFormat="1" ht="17.399999999999999">
      <c r="A28" s="283" t="s">
        <v>493</v>
      </c>
      <c r="B28" s="284" t="s">
        <v>756</v>
      </c>
      <c r="C28" s="285" t="s">
        <v>801</v>
      </c>
      <c r="D28" s="286" t="s">
        <v>802</v>
      </c>
      <c r="E28" s="286" t="s">
        <v>194</v>
      </c>
      <c r="F28" s="286" t="s">
        <v>760</v>
      </c>
      <c r="G28" s="286"/>
      <c r="H28" s="286" t="s">
        <v>753</v>
      </c>
      <c r="I28" s="286"/>
      <c r="J28" s="286"/>
      <c r="K28" s="286"/>
      <c r="L28" s="286"/>
      <c r="M28" s="286" t="s">
        <v>801</v>
      </c>
      <c r="N28" s="287" t="s">
        <v>761</v>
      </c>
      <c r="O28" s="286"/>
      <c r="P28" s="286"/>
      <c r="Q28" s="286"/>
      <c r="R28" s="286" t="s">
        <v>753</v>
      </c>
      <c r="S28" s="286"/>
      <c r="T28" s="286"/>
      <c r="U28" s="286"/>
      <c r="V28" s="286"/>
      <c r="W28" s="288" t="s">
        <v>806</v>
      </c>
    </row>
    <row r="29" spans="1:23" s="289" customFormat="1" ht="14.4">
      <c r="A29" s="283" t="s">
        <v>493</v>
      </c>
      <c r="B29" s="284" t="s">
        <v>803</v>
      </c>
      <c r="C29" s="285" t="s">
        <v>804</v>
      </c>
      <c r="D29" s="286" t="s">
        <v>805</v>
      </c>
      <c r="E29" s="286" t="s">
        <v>194</v>
      </c>
      <c r="F29" s="286" t="s">
        <v>760</v>
      </c>
      <c r="G29" s="286"/>
      <c r="H29" s="286" t="s">
        <v>753</v>
      </c>
      <c r="I29" s="286"/>
      <c r="J29" s="286"/>
      <c r="K29" s="286"/>
      <c r="L29" s="286"/>
      <c r="M29" s="286" t="s">
        <v>804</v>
      </c>
      <c r="N29" s="286" t="s">
        <v>804</v>
      </c>
      <c r="O29" s="286"/>
      <c r="P29" s="286"/>
      <c r="Q29" s="286"/>
      <c r="R29" s="286" t="s">
        <v>194</v>
      </c>
      <c r="S29" s="286"/>
      <c r="T29" s="286"/>
      <c r="U29" s="286"/>
      <c r="V29" s="286"/>
      <c r="W29" s="288" t="s">
        <v>806</v>
      </c>
    </row>
    <row r="30" spans="1:23" s="163" customFormat="1">
      <c r="A30" s="282"/>
      <c r="B30" s="277"/>
      <c r="C30" s="278"/>
      <c r="D30" s="269"/>
      <c r="E30" s="269"/>
      <c r="F30" s="269"/>
      <c r="G30" s="269"/>
      <c r="H30" s="269"/>
      <c r="I30" s="269"/>
      <c r="J30" s="269"/>
      <c r="K30" s="269"/>
      <c r="L30" s="269"/>
      <c r="M30" s="269"/>
      <c r="N30" s="269"/>
      <c r="O30" s="269"/>
      <c r="P30" s="269"/>
      <c r="Q30" s="269"/>
      <c r="R30" s="269"/>
      <c r="S30" s="269"/>
      <c r="T30" s="269"/>
      <c r="U30" s="269"/>
      <c r="V30" s="269"/>
      <c r="W30" s="270"/>
    </row>
    <row r="31" spans="1:23" s="163" customFormat="1">
      <c r="A31" s="282"/>
      <c r="B31" s="277"/>
      <c r="C31" s="278"/>
      <c r="D31" s="269"/>
      <c r="E31" s="269"/>
      <c r="F31" s="269"/>
      <c r="G31" s="269"/>
      <c r="H31" s="269"/>
      <c r="I31" s="269"/>
      <c r="J31" s="269"/>
      <c r="K31" s="269"/>
      <c r="L31" s="269"/>
      <c r="M31" s="269"/>
      <c r="N31" s="269"/>
      <c r="O31" s="269"/>
      <c r="P31" s="269"/>
      <c r="Q31" s="269"/>
      <c r="R31" s="269"/>
      <c r="S31" s="269"/>
      <c r="T31" s="269"/>
      <c r="U31" s="269"/>
      <c r="V31" s="269"/>
      <c r="W31" s="270"/>
    </row>
    <row r="32" spans="1:23" s="163" customFormat="1">
      <c r="A32" s="282"/>
      <c r="B32" s="277"/>
      <c r="C32" s="278"/>
      <c r="D32" s="269"/>
      <c r="E32" s="269"/>
      <c r="F32" s="269"/>
      <c r="G32" s="269"/>
      <c r="H32" s="269"/>
      <c r="I32" s="269"/>
      <c r="J32" s="269"/>
      <c r="K32" s="269"/>
      <c r="L32" s="269"/>
      <c r="M32" s="269"/>
      <c r="N32" s="269"/>
      <c r="O32" s="269"/>
      <c r="P32" s="269"/>
      <c r="Q32" s="269"/>
      <c r="R32" s="269"/>
      <c r="S32" s="269"/>
      <c r="T32" s="269"/>
      <c r="U32" s="269"/>
      <c r="V32" s="269"/>
      <c r="W32" s="270"/>
    </row>
    <row r="33" spans="1:23" s="163" customFormat="1">
      <c r="A33" s="282"/>
      <c r="B33" s="277"/>
      <c r="C33" s="278"/>
      <c r="D33" s="269"/>
      <c r="E33" s="269"/>
      <c r="F33" s="269"/>
      <c r="G33" s="269"/>
      <c r="H33" s="269"/>
      <c r="I33" s="269"/>
      <c r="J33" s="269"/>
      <c r="K33" s="269"/>
      <c r="L33" s="269"/>
      <c r="M33" s="269"/>
      <c r="N33" s="269"/>
      <c r="O33" s="269"/>
      <c r="P33" s="269"/>
      <c r="Q33" s="269"/>
      <c r="R33" s="269"/>
      <c r="S33" s="269"/>
      <c r="T33" s="269"/>
      <c r="U33" s="269"/>
      <c r="V33" s="269"/>
      <c r="W33" s="270"/>
    </row>
    <row r="34" spans="1:23" s="163" customFormat="1">
      <c r="A34" s="282"/>
      <c r="B34" s="277"/>
      <c r="C34" s="278"/>
      <c r="D34" s="269"/>
      <c r="E34" s="269"/>
      <c r="F34" s="269"/>
      <c r="G34" s="269"/>
      <c r="H34" s="269"/>
      <c r="I34" s="269"/>
      <c r="J34" s="269"/>
      <c r="K34" s="269"/>
      <c r="L34" s="269"/>
      <c r="M34" s="269"/>
      <c r="N34" s="269"/>
      <c r="O34" s="269"/>
      <c r="P34" s="269"/>
      <c r="Q34" s="269"/>
      <c r="R34" s="269"/>
      <c r="S34" s="269"/>
      <c r="T34" s="269"/>
      <c r="U34" s="269"/>
      <c r="V34" s="269"/>
      <c r="W34" s="270"/>
    </row>
    <row r="35" spans="1:23" s="163" customFormat="1">
      <c r="A35" s="282"/>
      <c r="B35" s="277"/>
      <c r="C35" s="278"/>
      <c r="D35" s="269"/>
      <c r="E35" s="269"/>
      <c r="F35" s="269"/>
      <c r="G35" s="269"/>
      <c r="H35" s="269"/>
      <c r="I35" s="269"/>
      <c r="J35" s="269"/>
      <c r="K35" s="269"/>
      <c r="L35" s="269"/>
      <c r="M35" s="269"/>
      <c r="N35" s="269"/>
      <c r="O35" s="269"/>
      <c r="P35" s="269"/>
      <c r="Q35" s="269"/>
      <c r="R35" s="269"/>
      <c r="S35" s="269"/>
      <c r="T35" s="269"/>
      <c r="U35" s="269"/>
      <c r="V35" s="269"/>
      <c r="W35" s="270"/>
    </row>
    <row r="36" spans="1:23" s="163" customFormat="1">
      <c r="A36" s="282"/>
      <c r="B36" s="277"/>
      <c r="C36" s="278"/>
      <c r="D36" s="269"/>
      <c r="E36" s="269"/>
      <c r="F36" s="269"/>
      <c r="G36" s="269"/>
      <c r="H36" s="269"/>
      <c r="I36" s="269"/>
      <c r="J36" s="269"/>
      <c r="K36" s="269"/>
      <c r="L36" s="269"/>
      <c r="M36" s="269"/>
      <c r="N36" s="269"/>
      <c r="O36" s="269"/>
      <c r="P36" s="269"/>
      <c r="Q36" s="269"/>
      <c r="R36" s="269"/>
      <c r="S36" s="269"/>
      <c r="T36" s="269"/>
      <c r="U36" s="269"/>
      <c r="V36" s="269"/>
      <c r="W36" s="270"/>
    </row>
    <row r="37" spans="1:23" s="163" customFormat="1">
      <c r="A37" s="282"/>
      <c r="B37" s="277"/>
      <c r="C37" s="278"/>
      <c r="D37" s="269"/>
      <c r="E37" s="269"/>
      <c r="F37" s="269"/>
      <c r="G37" s="269"/>
      <c r="H37" s="269"/>
      <c r="I37" s="269"/>
      <c r="J37" s="269"/>
      <c r="K37" s="269"/>
      <c r="L37" s="269"/>
      <c r="M37" s="269"/>
      <c r="N37" s="269"/>
      <c r="O37" s="269"/>
      <c r="P37" s="269"/>
      <c r="Q37" s="269"/>
      <c r="R37" s="269"/>
      <c r="S37" s="269"/>
      <c r="T37" s="269"/>
      <c r="U37" s="269"/>
      <c r="V37" s="269"/>
      <c r="W37" s="270"/>
    </row>
    <row r="38" spans="1:23" s="163" customFormat="1">
      <c r="A38" s="282"/>
      <c r="B38" s="277"/>
      <c r="C38" s="278"/>
      <c r="D38" s="269"/>
      <c r="E38" s="269"/>
      <c r="F38" s="269"/>
      <c r="G38" s="269"/>
      <c r="H38" s="269"/>
      <c r="I38" s="269"/>
      <c r="J38" s="269"/>
      <c r="K38" s="269"/>
      <c r="L38" s="269"/>
      <c r="M38" s="269"/>
      <c r="N38" s="269"/>
      <c r="O38" s="269"/>
      <c r="P38" s="269"/>
      <c r="Q38" s="269"/>
      <c r="R38" s="269"/>
      <c r="S38" s="269"/>
      <c r="T38" s="269"/>
      <c r="U38" s="269"/>
      <c r="V38" s="269"/>
      <c r="W38" s="270"/>
    </row>
    <row r="39" spans="1:23" s="163" customFormat="1">
      <c r="A39" s="282"/>
      <c r="B39" s="277"/>
      <c r="C39" s="278"/>
      <c r="D39" s="269"/>
      <c r="E39" s="269"/>
      <c r="F39" s="269"/>
      <c r="G39" s="269"/>
      <c r="H39" s="269"/>
      <c r="I39" s="269"/>
      <c r="J39" s="269"/>
      <c r="K39" s="269"/>
      <c r="L39" s="269"/>
      <c r="M39" s="269"/>
      <c r="N39" s="269"/>
      <c r="O39" s="269"/>
      <c r="P39" s="269"/>
      <c r="Q39" s="269"/>
      <c r="R39" s="269"/>
      <c r="S39" s="269"/>
      <c r="T39" s="269"/>
      <c r="U39" s="269"/>
      <c r="V39" s="269"/>
      <c r="W39" s="270"/>
    </row>
    <row r="40" spans="1:23" s="163" customFormat="1">
      <c r="A40" s="282"/>
      <c r="B40" s="277"/>
      <c r="C40" s="278"/>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2"/>
      <c r="B41" s="277"/>
      <c r="C41" s="278"/>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2"/>
      <c r="B42" s="277"/>
      <c r="C42" s="278"/>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2"/>
      <c r="B43" s="277"/>
      <c r="C43" s="278"/>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2"/>
      <c r="B44" s="277"/>
      <c r="C44" s="278"/>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2"/>
      <c r="B45" s="277"/>
      <c r="C45" s="278"/>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2"/>
      <c r="B46" s="277"/>
      <c r="C46" s="278"/>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2"/>
      <c r="B47" s="277"/>
      <c r="C47" s="278"/>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2"/>
      <c r="B48" s="277"/>
      <c r="C48" s="278"/>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2"/>
      <c r="B49" s="277"/>
      <c r="C49" s="278"/>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2"/>
      <c r="B50" s="277"/>
      <c r="C50" s="278"/>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2"/>
      <c r="B51" s="277"/>
      <c r="C51" s="278"/>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2"/>
      <c r="B52" s="277"/>
      <c r="C52" s="278"/>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2"/>
      <c r="B53" s="277"/>
      <c r="C53" s="278"/>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2"/>
      <c r="B54" s="277"/>
      <c r="C54" s="278"/>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2"/>
      <c r="B55" s="277"/>
      <c r="C55" s="278"/>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2"/>
      <c r="B56" s="277"/>
      <c r="C56" s="278"/>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2"/>
      <c r="B57" s="277"/>
      <c r="C57" s="278"/>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2"/>
      <c r="B58" s="277"/>
      <c r="C58" s="278"/>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2"/>
      <c r="B59" s="277"/>
      <c r="C59" s="278"/>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2"/>
      <c r="B60" s="277"/>
      <c r="C60" s="278"/>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2"/>
      <c r="B61" s="277"/>
      <c r="C61" s="278"/>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2"/>
      <c r="B62" s="277"/>
      <c r="C62" s="278"/>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2"/>
      <c r="B63" s="277"/>
      <c r="C63" s="278"/>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2"/>
      <c r="B64" s="277"/>
      <c r="C64" s="278"/>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2"/>
      <c r="B65" s="277"/>
      <c r="C65" s="278"/>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2"/>
      <c r="B66" s="277"/>
      <c r="C66" s="278"/>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2"/>
      <c r="B67" s="277"/>
      <c r="C67" s="278"/>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2"/>
      <c r="B68" s="277"/>
      <c r="C68" s="278"/>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2"/>
      <c r="B69" s="277"/>
      <c r="C69" s="278"/>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2"/>
      <c r="B70" s="277"/>
      <c r="C70" s="278"/>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2"/>
      <c r="B71" s="277"/>
      <c r="C71" s="278"/>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2"/>
      <c r="B72" s="277"/>
      <c r="C72" s="278"/>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2"/>
      <c r="B73" s="277"/>
      <c r="C73" s="278"/>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2"/>
      <c r="B74" s="277"/>
      <c r="C74" s="278"/>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2"/>
      <c r="B75" s="277"/>
      <c r="C75" s="278"/>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2"/>
      <c r="B76" s="277"/>
      <c r="C76" s="278"/>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2"/>
      <c r="B77" s="277"/>
      <c r="C77" s="278"/>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2"/>
      <c r="B78" s="277"/>
      <c r="C78" s="278"/>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2"/>
      <c r="B79" s="277"/>
      <c r="C79" s="278"/>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2"/>
      <c r="B80" s="277"/>
      <c r="C80" s="278"/>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2"/>
      <c r="B81" s="277"/>
      <c r="C81" s="278"/>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2"/>
      <c r="B82" s="277"/>
      <c r="C82" s="278"/>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2"/>
      <c r="B83" s="277"/>
      <c r="C83" s="278"/>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2"/>
      <c r="B84" s="277"/>
      <c r="C84" s="278"/>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2"/>
      <c r="B85" s="277"/>
      <c r="C85" s="278"/>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2"/>
      <c r="B86" s="277"/>
      <c r="C86" s="278"/>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2"/>
      <c r="B87" s="277"/>
      <c r="C87" s="278"/>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2"/>
      <c r="B88" s="277"/>
      <c r="C88" s="278"/>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2"/>
      <c r="B89" s="277"/>
      <c r="C89" s="278"/>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2"/>
      <c r="B90" s="277"/>
      <c r="C90" s="278"/>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2"/>
      <c r="B91" s="277"/>
      <c r="C91" s="278"/>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2"/>
      <c r="B92" s="277"/>
      <c r="C92" s="278"/>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2"/>
      <c r="B93" s="277"/>
      <c r="C93" s="278"/>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2"/>
      <c r="B94" s="277"/>
      <c r="C94" s="278"/>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2"/>
      <c r="B95" s="277"/>
      <c r="C95" s="278"/>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2"/>
      <c r="B96" s="277"/>
      <c r="C96" s="278"/>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2"/>
      <c r="B97" s="277"/>
      <c r="C97" s="278"/>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2"/>
      <c r="B98" s="277"/>
      <c r="C98" s="278"/>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2"/>
      <c r="B99" s="277"/>
      <c r="C99" s="278"/>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2"/>
      <c r="B100" s="277"/>
      <c r="C100" s="278"/>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2"/>
      <c r="B101" s="277"/>
      <c r="C101" s="278"/>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2"/>
      <c r="B102" s="277"/>
      <c r="C102" s="278"/>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2"/>
      <c r="B103" s="277"/>
      <c r="C103" s="278"/>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2"/>
      <c r="B104" s="277"/>
      <c r="C104" s="278"/>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2"/>
      <c r="B105" s="277"/>
      <c r="C105" s="278"/>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2"/>
      <c r="B106" s="277"/>
      <c r="C106" s="278"/>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2"/>
      <c r="B107" s="277"/>
      <c r="C107" s="278"/>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2"/>
      <c r="B108" s="277"/>
      <c r="C108" s="278"/>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2"/>
      <c r="B109" s="277"/>
      <c r="C109" s="278"/>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2"/>
      <c r="B110" s="277"/>
      <c r="C110" s="278"/>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2"/>
      <c r="B111" s="277"/>
      <c r="C111" s="278"/>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2"/>
      <c r="B112" s="277"/>
      <c r="C112" s="278"/>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2"/>
      <c r="B113" s="277"/>
      <c r="C113" s="278"/>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2"/>
      <c r="B114" s="277"/>
      <c r="C114" s="278"/>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2"/>
      <c r="B115" s="277"/>
      <c r="C115" s="278"/>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2"/>
      <c r="B116" s="277"/>
      <c r="C116" s="278"/>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2"/>
      <c r="B117" s="277"/>
      <c r="C117" s="278"/>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2"/>
      <c r="B118" s="277"/>
      <c r="C118" s="278"/>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2"/>
      <c r="B119" s="277"/>
      <c r="C119" s="278"/>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2"/>
      <c r="B120" s="277"/>
      <c r="C120" s="278"/>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2"/>
      <c r="B121" s="277"/>
      <c r="C121" s="278"/>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2"/>
      <c r="B122" s="277"/>
      <c r="C122" s="278"/>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2"/>
      <c r="B123" s="277"/>
      <c r="C123" s="278"/>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2"/>
      <c r="B124" s="277"/>
      <c r="C124" s="278"/>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2"/>
      <c r="B125" s="277"/>
      <c r="C125" s="278"/>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2"/>
      <c r="B126" s="277"/>
      <c r="C126" s="278"/>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2"/>
      <c r="B127" s="277"/>
      <c r="C127" s="278"/>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2"/>
      <c r="B128" s="277"/>
      <c r="C128" s="278"/>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2"/>
      <c r="B129" s="277"/>
      <c r="C129" s="278"/>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2"/>
      <c r="B130" s="277"/>
      <c r="C130" s="278"/>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2"/>
      <c r="B131" s="277"/>
      <c r="C131" s="278"/>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2"/>
      <c r="B132" s="277"/>
      <c r="C132" s="278"/>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2"/>
      <c r="B133" s="277"/>
      <c r="C133" s="278"/>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2"/>
      <c r="B134" s="277"/>
      <c r="C134" s="278"/>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2"/>
      <c r="B135" s="277"/>
      <c r="C135" s="278"/>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2"/>
      <c r="B136" s="277"/>
      <c r="C136" s="278"/>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2"/>
      <c r="B137" s="277"/>
      <c r="C137" s="278"/>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2"/>
      <c r="B138" s="277"/>
      <c r="C138" s="278"/>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2"/>
      <c r="B139" s="277"/>
      <c r="C139" s="278"/>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2"/>
      <c r="B140" s="277"/>
      <c r="C140" s="278"/>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2"/>
      <c r="B141" s="277"/>
      <c r="C141" s="278"/>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2"/>
      <c r="B142" s="277"/>
      <c r="C142" s="278"/>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2"/>
      <c r="B143" s="277"/>
      <c r="C143" s="278"/>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2"/>
      <c r="B144" s="277"/>
      <c r="C144" s="278"/>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2"/>
      <c r="B145" s="277"/>
      <c r="C145" s="278"/>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2"/>
      <c r="B146" s="277"/>
      <c r="C146" s="278"/>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2"/>
      <c r="B147" s="277"/>
      <c r="C147" s="278"/>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2"/>
      <c r="B148" s="277"/>
      <c r="C148" s="278"/>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2"/>
      <c r="B149" s="277"/>
      <c r="C149" s="278"/>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2"/>
      <c r="B150" s="277"/>
      <c r="C150" s="278"/>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2"/>
      <c r="B151" s="277"/>
      <c r="C151" s="278"/>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2"/>
      <c r="B152" s="277"/>
      <c r="C152" s="278"/>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2"/>
      <c r="B153" s="277"/>
      <c r="C153" s="278"/>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2"/>
      <c r="B154" s="277"/>
      <c r="C154" s="278"/>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2"/>
      <c r="B155" s="277"/>
      <c r="C155" s="278"/>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2"/>
      <c r="B156" s="277"/>
      <c r="C156" s="278"/>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2"/>
      <c r="B157" s="277"/>
      <c r="C157" s="278"/>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2"/>
      <c r="B158" s="277"/>
      <c r="C158" s="278"/>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2"/>
      <c r="B159" s="277"/>
      <c r="C159" s="278"/>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2"/>
      <c r="B160" s="277"/>
      <c r="C160" s="278"/>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2"/>
      <c r="B161" s="277"/>
      <c r="C161" s="278"/>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2"/>
      <c r="B162" s="277"/>
      <c r="C162" s="278"/>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2"/>
      <c r="B163" s="277"/>
      <c r="C163" s="278"/>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2"/>
      <c r="B164" s="277"/>
      <c r="C164" s="278"/>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2"/>
      <c r="B165" s="277"/>
      <c r="C165" s="278"/>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2"/>
      <c r="B166" s="277"/>
      <c r="C166" s="278"/>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2"/>
      <c r="B167" s="277"/>
      <c r="C167" s="278"/>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2"/>
      <c r="B168" s="277"/>
      <c r="C168" s="278"/>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2"/>
      <c r="B169" s="277"/>
      <c r="C169" s="278"/>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2"/>
      <c r="B170" s="277"/>
      <c r="C170" s="278"/>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2"/>
      <c r="B171" s="277"/>
      <c r="C171" s="278"/>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2"/>
      <c r="B172" s="277"/>
      <c r="C172" s="278"/>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2"/>
      <c r="B173" s="277"/>
      <c r="C173" s="278"/>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2"/>
      <c r="B174" s="277"/>
      <c r="C174" s="278"/>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2"/>
      <c r="B175" s="277"/>
      <c r="C175" s="278"/>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2"/>
      <c r="B176" s="277"/>
      <c r="C176" s="278"/>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2"/>
      <c r="B177" s="277"/>
      <c r="C177" s="278"/>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2"/>
      <c r="B178" s="277"/>
      <c r="C178" s="278"/>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2"/>
      <c r="B179" s="277"/>
      <c r="C179" s="278"/>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2"/>
      <c r="B180" s="277"/>
      <c r="C180" s="278"/>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2"/>
      <c r="B181" s="277"/>
      <c r="C181" s="278"/>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2"/>
      <c r="B182" s="277"/>
      <c r="C182" s="278"/>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2"/>
      <c r="B183" s="277"/>
      <c r="C183" s="278"/>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2"/>
      <c r="B184" s="277"/>
      <c r="C184" s="278"/>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2"/>
      <c r="B185" s="277"/>
      <c r="C185" s="278"/>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2"/>
      <c r="B186" s="277"/>
      <c r="C186" s="278"/>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2"/>
      <c r="B187" s="277"/>
      <c r="C187" s="278"/>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2"/>
      <c r="B188" s="277"/>
      <c r="C188" s="278"/>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2"/>
      <c r="B189" s="277"/>
      <c r="C189" s="278"/>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2"/>
      <c r="B190" s="277"/>
      <c r="C190" s="278"/>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2"/>
      <c r="B191" s="277"/>
      <c r="C191" s="278"/>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2"/>
      <c r="B192" s="277"/>
      <c r="C192" s="278"/>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2"/>
      <c r="B193" s="277"/>
      <c r="C193" s="278"/>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2"/>
      <c r="B194" s="277"/>
      <c r="C194" s="278"/>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2"/>
      <c r="B195" s="277"/>
      <c r="C195" s="278"/>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2"/>
      <c r="B196" s="277"/>
      <c r="C196" s="278"/>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2"/>
      <c r="B197" s="277"/>
      <c r="C197" s="278"/>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2"/>
      <c r="B198" s="277"/>
      <c r="C198" s="278"/>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2"/>
      <c r="B199" s="277"/>
      <c r="C199" s="278"/>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2"/>
      <c r="B200" s="277"/>
      <c r="C200" s="278"/>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2"/>
      <c r="B201" s="277"/>
      <c r="C201" s="278"/>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2"/>
      <c r="B202" s="277"/>
      <c r="C202" s="278"/>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2"/>
      <c r="B203" s="277"/>
      <c r="C203" s="278"/>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2"/>
      <c r="B204" s="277"/>
      <c r="C204" s="278"/>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2"/>
      <c r="B205" s="277"/>
      <c r="C205" s="278"/>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2"/>
      <c r="B206" s="277"/>
      <c r="C206" s="278"/>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2"/>
      <c r="B207" s="277"/>
      <c r="C207" s="278"/>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2"/>
      <c r="B208" s="277"/>
      <c r="C208" s="278"/>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2"/>
      <c r="B209" s="277"/>
      <c r="C209" s="278"/>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2"/>
      <c r="B210" s="277"/>
      <c r="C210" s="278"/>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2"/>
      <c r="B211" s="277"/>
      <c r="C211" s="278"/>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2"/>
      <c r="B212" s="277"/>
      <c r="C212" s="278"/>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2"/>
      <c r="B213" s="277"/>
      <c r="C213" s="278"/>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2"/>
      <c r="B214" s="277"/>
      <c r="C214" s="278"/>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2"/>
      <c r="B215" s="277"/>
      <c r="C215" s="278"/>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2"/>
      <c r="B216" s="277"/>
      <c r="C216" s="278"/>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2"/>
      <c r="B217" s="277"/>
      <c r="C217" s="278"/>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2"/>
      <c r="B218" s="277"/>
      <c r="C218" s="278"/>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2"/>
      <c r="B219" s="277"/>
      <c r="C219" s="278"/>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2"/>
      <c r="B220" s="277"/>
      <c r="C220" s="278"/>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2"/>
      <c r="B221" s="277"/>
      <c r="C221" s="278"/>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2"/>
      <c r="B222" s="277"/>
      <c r="C222" s="278"/>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2"/>
      <c r="B223" s="277"/>
      <c r="C223" s="278"/>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2"/>
      <c r="B224" s="277"/>
      <c r="C224" s="278"/>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2"/>
      <c r="B225" s="277"/>
      <c r="C225" s="278"/>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2"/>
      <c r="B226" s="277"/>
      <c r="C226" s="278"/>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2"/>
      <c r="B227" s="277"/>
      <c r="C227" s="278"/>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2"/>
      <c r="B228" s="277"/>
      <c r="C228" s="278"/>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2"/>
      <c r="B229" s="277"/>
      <c r="C229" s="278"/>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2"/>
      <c r="B230" s="277"/>
      <c r="C230" s="278"/>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2"/>
      <c r="B231" s="277"/>
      <c r="C231" s="278"/>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2"/>
      <c r="B232" s="277"/>
      <c r="C232" s="278"/>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2"/>
      <c r="B233" s="277"/>
      <c r="C233" s="278"/>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2"/>
      <c r="B234" s="277"/>
      <c r="C234" s="278"/>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2"/>
      <c r="B235" s="277"/>
      <c r="C235" s="278"/>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2"/>
      <c r="B236" s="277"/>
      <c r="C236" s="278"/>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2"/>
      <c r="B237" s="277"/>
      <c r="C237" s="278"/>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2"/>
      <c r="B238" s="277"/>
      <c r="C238" s="278"/>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2"/>
      <c r="B239" s="277"/>
      <c r="C239" s="278"/>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2"/>
      <c r="B240" s="277"/>
      <c r="C240" s="278"/>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2"/>
      <c r="B241" s="277"/>
      <c r="C241" s="278"/>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2"/>
      <c r="B242" s="277"/>
      <c r="C242" s="278"/>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2"/>
      <c r="B243" s="277"/>
      <c r="C243" s="278"/>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2"/>
      <c r="B244" s="277"/>
      <c r="C244" s="278"/>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2"/>
      <c r="B245" s="277"/>
      <c r="C245" s="278"/>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2"/>
      <c r="B246" s="277"/>
      <c r="C246" s="278"/>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2"/>
      <c r="B247" s="277"/>
      <c r="C247" s="278"/>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2"/>
      <c r="B248" s="277"/>
      <c r="C248" s="278"/>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2"/>
      <c r="B249" s="277"/>
      <c r="C249" s="278"/>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2"/>
      <c r="B250" s="277"/>
      <c r="C250" s="278"/>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2"/>
      <c r="B251" s="277"/>
      <c r="C251" s="278"/>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2"/>
      <c r="B252" s="277"/>
      <c r="C252" s="278"/>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2"/>
      <c r="B253" s="277"/>
      <c r="C253" s="278"/>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2"/>
      <c r="B254" s="277"/>
      <c r="C254" s="278"/>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2"/>
      <c r="B255" s="277"/>
      <c r="C255" s="278"/>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2"/>
      <c r="B256" s="277"/>
      <c r="C256" s="278"/>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2"/>
      <c r="B257" s="277"/>
      <c r="C257" s="278"/>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2"/>
      <c r="B258" s="277"/>
      <c r="C258" s="278"/>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2"/>
      <c r="B259" s="277"/>
      <c r="C259" s="278"/>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2"/>
      <c r="B260" s="277"/>
      <c r="C260" s="278"/>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2"/>
      <c r="B261" s="277"/>
      <c r="C261" s="278"/>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2"/>
      <c r="B262" s="277"/>
      <c r="C262" s="278"/>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2"/>
      <c r="B263" s="277"/>
      <c r="C263" s="278"/>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2"/>
      <c r="B264" s="277"/>
      <c r="C264" s="278"/>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2"/>
      <c r="B265" s="277"/>
      <c r="C265" s="278"/>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2"/>
      <c r="B266" s="277"/>
      <c r="C266" s="278"/>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2"/>
      <c r="B267" s="277"/>
      <c r="C267" s="278"/>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2"/>
      <c r="B268" s="277"/>
      <c r="C268" s="278"/>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2"/>
      <c r="B269" s="277"/>
      <c r="C269" s="278"/>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2"/>
      <c r="B270" s="277"/>
      <c r="C270" s="278"/>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2"/>
      <c r="B271" s="277"/>
      <c r="C271" s="278"/>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2"/>
      <c r="B272" s="277"/>
      <c r="C272" s="278"/>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2"/>
      <c r="B273" s="277"/>
      <c r="C273" s="278"/>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2"/>
      <c r="B274" s="277"/>
      <c r="C274" s="278"/>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2"/>
      <c r="B275" s="277"/>
      <c r="C275" s="278"/>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2"/>
      <c r="B276" s="277"/>
      <c r="C276" s="278"/>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2"/>
      <c r="B277" s="277"/>
      <c r="C277" s="278"/>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2"/>
      <c r="B278" s="277"/>
      <c r="C278" s="278"/>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2"/>
      <c r="B279" s="277"/>
      <c r="C279" s="278"/>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2"/>
      <c r="B280" s="277"/>
      <c r="C280" s="278"/>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2"/>
      <c r="B281" s="277"/>
      <c r="C281" s="278"/>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2"/>
      <c r="B282" s="277"/>
      <c r="C282" s="278"/>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2"/>
      <c r="B283" s="277"/>
      <c r="C283" s="278"/>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2"/>
      <c r="B284" s="277"/>
      <c r="C284" s="278"/>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2"/>
      <c r="B285" s="277"/>
      <c r="C285" s="278"/>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2"/>
      <c r="B286" s="277"/>
      <c r="C286" s="278"/>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2"/>
      <c r="B287" s="277"/>
      <c r="C287" s="278"/>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2"/>
      <c r="B288" s="277"/>
      <c r="C288" s="278"/>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2"/>
      <c r="B289" s="277"/>
      <c r="C289" s="278"/>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2"/>
      <c r="B290" s="277"/>
      <c r="C290" s="278"/>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2"/>
      <c r="B291" s="277"/>
      <c r="C291" s="278"/>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2"/>
      <c r="B292" s="277"/>
      <c r="C292" s="278"/>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2"/>
      <c r="B293" s="277"/>
      <c r="C293" s="278"/>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2"/>
      <c r="B294" s="277"/>
      <c r="C294" s="278"/>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2"/>
      <c r="B295" s="277"/>
      <c r="C295" s="278"/>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2"/>
      <c r="B296" s="277"/>
      <c r="C296" s="278"/>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2"/>
      <c r="B297" s="277"/>
      <c r="C297" s="278"/>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2"/>
      <c r="B298" s="277"/>
      <c r="C298" s="278"/>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2"/>
      <c r="B299" s="277"/>
      <c r="C299" s="278"/>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2"/>
      <c r="B300" s="277"/>
      <c r="C300" s="278"/>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2"/>
      <c r="B301" s="277"/>
      <c r="C301" s="278"/>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2"/>
      <c r="B302" s="277"/>
      <c r="C302" s="278"/>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2"/>
      <c r="B303" s="277"/>
      <c r="C303" s="278"/>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2"/>
      <c r="B304" s="277"/>
      <c r="C304" s="278"/>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2"/>
      <c r="B305" s="277"/>
      <c r="C305" s="278"/>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2"/>
      <c r="B306" s="277"/>
      <c r="C306" s="278"/>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2"/>
      <c r="B307" s="277"/>
      <c r="C307" s="278"/>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2"/>
      <c r="B308" s="277"/>
      <c r="C308" s="278"/>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2"/>
      <c r="B309" s="277"/>
      <c r="C309" s="278"/>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2"/>
      <c r="B310" s="277"/>
      <c r="C310" s="278"/>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2"/>
      <c r="B311" s="277"/>
      <c r="C311" s="278"/>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2"/>
      <c r="B312" s="277"/>
      <c r="C312" s="278"/>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2"/>
      <c r="B313" s="277"/>
      <c r="C313" s="278"/>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2"/>
      <c r="B314" s="277"/>
      <c r="C314" s="278"/>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2"/>
      <c r="B315" s="277"/>
      <c r="C315" s="278"/>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2"/>
      <c r="B316" s="277"/>
      <c r="C316" s="278"/>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2"/>
      <c r="B317" s="277"/>
      <c r="C317" s="278"/>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2"/>
      <c r="B318" s="277"/>
      <c r="C318" s="278"/>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2"/>
      <c r="B319" s="277"/>
      <c r="C319" s="278"/>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2"/>
      <c r="B320" s="277"/>
      <c r="C320" s="278"/>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2"/>
      <c r="B321" s="277"/>
      <c r="C321" s="278"/>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2"/>
      <c r="B322" s="277"/>
      <c r="C322" s="278"/>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2"/>
      <c r="B323" s="277"/>
      <c r="C323" s="278"/>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2"/>
      <c r="B324" s="277"/>
      <c r="C324" s="278"/>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2"/>
      <c r="B325" s="277"/>
      <c r="C325" s="278"/>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2"/>
      <c r="B326" s="277"/>
      <c r="C326" s="278"/>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2"/>
      <c r="B327" s="277"/>
      <c r="C327" s="278"/>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2"/>
      <c r="B328" s="277"/>
      <c r="C328" s="278"/>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2"/>
      <c r="B329" s="277"/>
      <c r="C329" s="278"/>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2"/>
      <c r="B330" s="277"/>
      <c r="C330" s="278"/>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2"/>
      <c r="B331" s="277"/>
      <c r="C331" s="278"/>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2"/>
      <c r="B332" s="277"/>
      <c r="C332" s="278"/>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2"/>
      <c r="B333" s="277"/>
      <c r="C333" s="278"/>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2"/>
      <c r="B334" s="277"/>
      <c r="C334" s="278"/>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2"/>
      <c r="B335" s="277"/>
      <c r="C335" s="278"/>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2"/>
      <c r="B336" s="277"/>
      <c r="C336" s="278"/>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2"/>
      <c r="B337" s="277"/>
      <c r="C337" s="278"/>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2"/>
      <c r="B338" s="277"/>
      <c r="C338" s="278"/>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2"/>
      <c r="B339" s="277"/>
      <c r="C339" s="278"/>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2"/>
      <c r="B340" s="277"/>
      <c r="C340" s="278"/>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2"/>
      <c r="B341" s="277"/>
      <c r="C341" s="278"/>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2"/>
      <c r="B342" s="277"/>
      <c r="C342" s="278"/>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2"/>
      <c r="B343" s="277"/>
      <c r="C343" s="278"/>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2"/>
      <c r="B344" s="277"/>
      <c r="C344" s="278"/>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2"/>
      <c r="B345" s="277"/>
      <c r="C345" s="278"/>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2"/>
      <c r="B346" s="277"/>
      <c r="C346" s="278"/>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2"/>
      <c r="B347" s="277"/>
      <c r="C347" s="278"/>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2"/>
      <c r="B348" s="277"/>
      <c r="C348" s="278"/>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2"/>
      <c r="B349" s="277"/>
      <c r="C349" s="278"/>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2"/>
      <c r="B350" s="277"/>
      <c r="C350" s="278"/>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2"/>
      <c r="B351" s="277"/>
      <c r="C351" s="278"/>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2"/>
      <c r="B352" s="277"/>
      <c r="C352" s="278"/>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2"/>
      <c r="B353" s="277"/>
      <c r="C353" s="278"/>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2"/>
      <c r="B354" s="277"/>
      <c r="C354" s="278"/>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2"/>
      <c r="B355" s="277"/>
      <c r="C355" s="278"/>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2"/>
      <c r="B356" s="277"/>
      <c r="C356" s="278"/>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2"/>
      <c r="B357" s="277"/>
      <c r="C357" s="278"/>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2"/>
      <c r="B358" s="277"/>
      <c r="C358" s="278"/>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2"/>
      <c r="B359" s="277"/>
      <c r="C359" s="278"/>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2"/>
      <c r="B360" s="277"/>
      <c r="C360" s="278"/>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2"/>
      <c r="B361" s="277"/>
      <c r="C361" s="278"/>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2"/>
      <c r="B362" s="277"/>
      <c r="C362" s="278"/>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2"/>
      <c r="B363" s="277"/>
      <c r="C363" s="278"/>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2"/>
      <c r="B364" s="277"/>
      <c r="C364" s="278"/>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2"/>
      <c r="B365" s="277"/>
      <c r="C365" s="278"/>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2"/>
      <c r="B366" s="277"/>
      <c r="C366" s="278"/>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2"/>
      <c r="B367" s="277"/>
      <c r="C367" s="278"/>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2"/>
      <c r="B368" s="277"/>
      <c r="C368" s="278"/>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2"/>
      <c r="B369" s="277"/>
      <c r="C369" s="278"/>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2"/>
      <c r="B370" s="277"/>
      <c r="C370" s="278"/>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2"/>
      <c r="B371" s="277"/>
      <c r="C371" s="278"/>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2"/>
      <c r="B372" s="277"/>
      <c r="C372" s="278"/>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2"/>
      <c r="B373" s="277"/>
      <c r="C373" s="278"/>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2"/>
      <c r="B374" s="277"/>
      <c r="C374" s="278"/>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2"/>
      <c r="B375" s="277"/>
      <c r="C375" s="278"/>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2"/>
      <c r="B376" s="277"/>
      <c r="C376" s="278"/>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2"/>
      <c r="B377" s="277"/>
      <c r="C377" s="278"/>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2"/>
      <c r="B378" s="277"/>
      <c r="C378" s="278"/>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2"/>
      <c r="B379" s="277"/>
      <c r="C379" s="278"/>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2"/>
      <c r="B380" s="277"/>
      <c r="C380" s="278"/>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2"/>
      <c r="B381" s="277"/>
      <c r="C381" s="278"/>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2"/>
      <c r="B382" s="277"/>
      <c r="C382" s="278"/>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2"/>
      <c r="B383" s="277"/>
      <c r="C383" s="278"/>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2"/>
      <c r="B384" s="277"/>
      <c r="C384" s="278"/>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2"/>
      <c r="B385" s="277"/>
      <c r="C385" s="278"/>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2"/>
      <c r="B386" s="277"/>
      <c r="C386" s="278"/>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2"/>
      <c r="B387" s="277"/>
      <c r="C387" s="278"/>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2"/>
      <c r="B388" s="277"/>
      <c r="C388" s="278"/>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2"/>
      <c r="B389" s="277"/>
      <c r="C389" s="278"/>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2"/>
      <c r="B390" s="277"/>
      <c r="C390" s="278"/>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2"/>
      <c r="B391" s="277"/>
      <c r="C391" s="278"/>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2"/>
      <c r="B392" s="277"/>
      <c r="C392" s="278"/>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2"/>
      <c r="B393" s="277"/>
      <c r="C393" s="278"/>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2"/>
      <c r="B394" s="277"/>
      <c r="C394" s="278"/>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2"/>
      <c r="B395" s="277"/>
      <c r="C395" s="278"/>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2"/>
      <c r="B396" s="277"/>
      <c r="C396" s="278"/>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2"/>
      <c r="B397" s="277"/>
      <c r="C397" s="278"/>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2"/>
      <c r="B398" s="277"/>
      <c r="C398" s="278"/>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2"/>
      <c r="B399" s="277"/>
      <c r="C399" s="278"/>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2"/>
      <c r="B400" s="277"/>
      <c r="C400" s="278"/>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2"/>
      <c r="B401" s="277"/>
      <c r="C401" s="278"/>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2"/>
      <c r="B402" s="277"/>
      <c r="C402" s="278"/>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2"/>
      <c r="B403" s="277"/>
      <c r="C403" s="278"/>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2"/>
      <c r="B404" s="277"/>
      <c r="C404" s="278"/>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2"/>
      <c r="B405" s="277"/>
      <c r="C405" s="278"/>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2"/>
      <c r="B406" s="277"/>
      <c r="C406" s="278"/>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2"/>
      <c r="B407" s="277"/>
      <c r="C407" s="278"/>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2"/>
      <c r="B408" s="277"/>
      <c r="C408" s="278"/>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2"/>
      <c r="B409" s="277"/>
      <c r="C409" s="278"/>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2"/>
      <c r="B410" s="277"/>
      <c r="C410" s="278"/>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2"/>
      <c r="B411" s="277"/>
      <c r="C411" s="278"/>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2"/>
      <c r="B412" s="277"/>
      <c r="C412" s="278"/>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2"/>
      <c r="B413" s="277"/>
      <c r="C413" s="278"/>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2"/>
      <c r="B414" s="277"/>
      <c r="C414" s="278"/>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2"/>
      <c r="B415" s="277"/>
      <c r="C415" s="278"/>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2"/>
      <c r="B416" s="277"/>
      <c r="C416" s="278"/>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2"/>
      <c r="B417" s="277"/>
      <c r="C417" s="278"/>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2"/>
      <c r="B418" s="277"/>
      <c r="C418" s="278"/>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2"/>
      <c r="B419" s="277"/>
      <c r="C419" s="278"/>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2"/>
      <c r="B420" s="277"/>
      <c r="C420" s="278"/>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2"/>
      <c r="B421" s="277"/>
      <c r="C421" s="278"/>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2"/>
      <c r="B422" s="277"/>
      <c r="C422" s="278"/>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2"/>
      <c r="B423" s="277"/>
      <c r="C423" s="278"/>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2"/>
      <c r="B424" s="277"/>
      <c r="C424" s="278"/>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2"/>
      <c r="B425" s="277"/>
      <c r="C425" s="278"/>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2"/>
      <c r="B426" s="277"/>
      <c r="C426" s="278"/>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2"/>
      <c r="B427" s="277"/>
      <c r="C427" s="278"/>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2"/>
      <c r="B428" s="277"/>
      <c r="C428" s="278"/>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2"/>
      <c r="B429" s="277"/>
      <c r="C429" s="278"/>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2"/>
      <c r="B430" s="277"/>
      <c r="C430" s="278"/>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2"/>
      <c r="B431" s="277"/>
      <c r="C431" s="278"/>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2"/>
      <c r="B432" s="277"/>
      <c r="C432" s="278"/>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2"/>
      <c r="B433" s="277"/>
      <c r="C433" s="278"/>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2"/>
      <c r="B434" s="277"/>
      <c r="C434" s="278"/>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2"/>
      <c r="B435" s="277"/>
      <c r="C435" s="278"/>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2"/>
      <c r="B436" s="277"/>
      <c r="C436" s="278"/>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2"/>
      <c r="B437" s="277"/>
      <c r="C437" s="278"/>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2"/>
      <c r="B438" s="277"/>
      <c r="C438" s="278"/>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2"/>
      <c r="B439" s="277"/>
      <c r="C439" s="278"/>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2"/>
      <c r="B440" s="277"/>
      <c r="C440" s="278"/>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2"/>
      <c r="B441" s="277"/>
      <c r="C441" s="278"/>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2"/>
      <c r="B442" s="277"/>
      <c r="C442" s="278"/>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2"/>
      <c r="B443" s="277"/>
      <c r="C443" s="278"/>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2"/>
      <c r="B444" s="277"/>
      <c r="C444" s="278"/>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2"/>
      <c r="B445" s="277"/>
      <c r="C445" s="278"/>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2"/>
      <c r="B446" s="277"/>
      <c r="C446" s="278"/>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2"/>
      <c r="B447" s="277"/>
      <c r="C447" s="278"/>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2"/>
      <c r="B448" s="277"/>
      <c r="C448" s="278"/>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2"/>
      <c r="B449" s="277"/>
      <c r="C449" s="278"/>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2"/>
      <c r="B450" s="277"/>
      <c r="C450" s="278"/>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2"/>
      <c r="B451" s="277"/>
      <c r="C451" s="278"/>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2"/>
      <c r="B452" s="277"/>
      <c r="C452" s="278"/>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2"/>
      <c r="B453" s="277"/>
      <c r="C453" s="278"/>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2"/>
      <c r="B454" s="277"/>
      <c r="C454" s="278"/>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2"/>
      <c r="B455" s="277"/>
      <c r="C455" s="278"/>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2"/>
      <c r="B456" s="277"/>
      <c r="C456" s="278"/>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2"/>
      <c r="B457" s="277"/>
      <c r="C457" s="278"/>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2"/>
      <c r="B458" s="277"/>
      <c r="C458" s="278"/>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2"/>
      <c r="B459" s="277"/>
      <c r="C459" s="278"/>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2"/>
      <c r="B460" s="277"/>
      <c r="C460" s="278"/>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2"/>
      <c r="B461" s="277"/>
      <c r="C461" s="278"/>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2"/>
      <c r="B462" s="277"/>
      <c r="C462" s="278"/>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2"/>
      <c r="B463" s="277"/>
      <c r="C463" s="278"/>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2"/>
      <c r="B464" s="277"/>
      <c r="C464" s="278"/>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2"/>
      <c r="B465" s="277"/>
      <c r="C465" s="278"/>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2"/>
      <c r="B466" s="277"/>
      <c r="C466" s="278"/>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2"/>
      <c r="B467" s="277"/>
      <c r="C467" s="278"/>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2"/>
      <c r="B468" s="277"/>
      <c r="C468" s="278"/>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2"/>
      <c r="B469" s="277"/>
      <c r="C469" s="278"/>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2"/>
      <c r="B470" s="277"/>
      <c r="C470" s="278"/>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2"/>
      <c r="B471" s="277"/>
      <c r="C471" s="278"/>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2"/>
      <c r="B472" s="277"/>
      <c r="C472" s="278"/>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2"/>
      <c r="B473" s="277"/>
      <c r="C473" s="278"/>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2"/>
      <c r="B474" s="277"/>
      <c r="C474" s="278"/>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2"/>
      <c r="B475" s="277"/>
      <c r="C475" s="278"/>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2"/>
      <c r="B476" s="277"/>
      <c r="C476" s="278"/>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2"/>
      <c r="B477" s="277"/>
      <c r="C477" s="278"/>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2"/>
      <c r="B478" s="277"/>
      <c r="C478" s="278"/>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2"/>
      <c r="B479" s="277"/>
      <c r="C479" s="278"/>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2"/>
      <c r="B480" s="277"/>
      <c r="C480" s="278"/>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2"/>
      <c r="B481" s="277"/>
      <c r="C481" s="278"/>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2"/>
      <c r="B482" s="277"/>
      <c r="C482" s="278"/>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2"/>
      <c r="B483" s="277"/>
      <c r="C483" s="278"/>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2"/>
      <c r="B484" s="277"/>
      <c r="C484" s="278"/>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2"/>
      <c r="B485" s="277"/>
      <c r="C485" s="278"/>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2"/>
      <c r="B486" s="277"/>
      <c r="C486" s="278"/>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2"/>
      <c r="B487" s="277"/>
      <c r="C487" s="278"/>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2"/>
      <c r="B488" s="277"/>
      <c r="C488" s="278"/>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2"/>
      <c r="B489" s="277"/>
      <c r="C489" s="278"/>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2"/>
      <c r="B490" s="277"/>
      <c r="C490" s="278"/>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2"/>
      <c r="B491" s="277"/>
      <c r="C491" s="278"/>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2"/>
      <c r="B492" s="277"/>
      <c r="C492" s="278"/>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2"/>
      <c r="B493" s="277"/>
      <c r="C493" s="278"/>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2"/>
      <c r="B494" s="277"/>
      <c r="C494" s="278"/>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2"/>
      <c r="B495" s="277"/>
      <c r="C495" s="278"/>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2"/>
      <c r="B496" s="277"/>
      <c r="C496" s="278"/>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2"/>
      <c r="B497" s="277"/>
      <c r="C497" s="278"/>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2"/>
      <c r="B498" s="277"/>
      <c r="C498" s="278"/>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2"/>
      <c r="B499" s="277"/>
      <c r="C499" s="278"/>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2"/>
      <c r="B500" s="277"/>
      <c r="C500" s="278"/>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2"/>
      <c r="B501" s="277"/>
      <c r="C501" s="278"/>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2"/>
      <c r="B502" s="277"/>
      <c r="C502" s="278"/>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2"/>
      <c r="B503" s="277"/>
      <c r="C503" s="278"/>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2"/>
      <c r="B504" s="277"/>
      <c r="C504" s="278"/>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2"/>
      <c r="B505" s="277"/>
      <c r="C505" s="278"/>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2"/>
      <c r="B506" s="277"/>
      <c r="C506" s="278"/>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2"/>
      <c r="B507" s="277"/>
      <c r="C507" s="278"/>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2"/>
      <c r="B508" s="277"/>
      <c r="C508" s="278"/>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2"/>
      <c r="B509" s="277"/>
      <c r="C509" s="278"/>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2"/>
      <c r="B510" s="277"/>
      <c r="C510" s="278"/>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2"/>
      <c r="B511" s="277"/>
      <c r="C511" s="278"/>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2"/>
      <c r="B512" s="277"/>
      <c r="C512" s="278"/>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2"/>
      <c r="B513" s="277"/>
      <c r="C513" s="278"/>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2"/>
      <c r="B514" s="277"/>
      <c r="C514" s="278"/>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2"/>
      <c r="B515" s="277"/>
      <c r="C515" s="278"/>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2"/>
      <c r="B516" s="277"/>
      <c r="C516" s="278"/>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2"/>
      <c r="B517" s="277"/>
      <c r="C517" s="278"/>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2"/>
      <c r="B518" s="277"/>
      <c r="C518" s="278"/>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2"/>
      <c r="B519" s="277"/>
      <c r="C519" s="278"/>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2"/>
      <c r="B520" s="277"/>
      <c r="C520" s="278"/>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2"/>
      <c r="B521" s="277"/>
      <c r="C521" s="278"/>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2"/>
      <c r="B522" s="277"/>
      <c r="C522" s="278"/>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2"/>
      <c r="B523" s="277"/>
      <c r="C523" s="278"/>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2"/>
      <c r="B524" s="277"/>
      <c r="C524" s="278"/>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2"/>
      <c r="B525" s="277"/>
      <c r="C525" s="278"/>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2"/>
      <c r="B526" s="277"/>
      <c r="C526" s="278"/>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2"/>
      <c r="B527" s="277"/>
      <c r="C527" s="278"/>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2"/>
      <c r="B528" s="277"/>
      <c r="C528" s="278"/>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2"/>
      <c r="B529" s="277"/>
      <c r="C529" s="278"/>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2"/>
      <c r="B530" s="277"/>
      <c r="C530" s="278"/>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2"/>
      <c r="B531" s="277"/>
      <c r="C531" s="278"/>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2"/>
      <c r="B532" s="277"/>
      <c r="C532" s="278"/>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2"/>
      <c r="B533" s="277"/>
      <c r="C533" s="278"/>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2"/>
      <c r="B534" s="277"/>
      <c r="C534" s="278"/>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2"/>
      <c r="B535" s="277"/>
      <c r="C535" s="278"/>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2"/>
      <c r="B536" s="277"/>
      <c r="C536" s="278"/>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2"/>
      <c r="B537" s="277"/>
      <c r="C537" s="278"/>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2"/>
      <c r="B538" s="277"/>
      <c r="C538" s="278"/>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2"/>
      <c r="B539" s="277"/>
      <c r="C539" s="278"/>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2"/>
      <c r="B540" s="277"/>
      <c r="C540" s="278"/>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2"/>
      <c r="B541" s="277"/>
      <c r="C541" s="278"/>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2"/>
      <c r="B542" s="277"/>
      <c r="C542" s="278"/>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2"/>
      <c r="B543" s="277"/>
      <c r="C543" s="278"/>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2"/>
      <c r="B544" s="277"/>
      <c r="C544" s="278"/>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2"/>
      <c r="B545" s="277"/>
      <c r="C545" s="278"/>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2"/>
      <c r="B546" s="277"/>
      <c r="C546" s="278"/>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2"/>
      <c r="B547" s="277"/>
      <c r="C547" s="278"/>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2"/>
      <c r="B548" s="277"/>
      <c r="C548" s="278"/>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2"/>
      <c r="B549" s="277"/>
      <c r="C549" s="278"/>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2"/>
      <c r="B550" s="277"/>
      <c r="C550" s="278"/>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2"/>
      <c r="B551" s="277"/>
      <c r="C551" s="278"/>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2"/>
      <c r="B552" s="277"/>
      <c r="C552" s="278"/>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2"/>
      <c r="B553" s="277"/>
      <c r="C553" s="278"/>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2"/>
      <c r="B554" s="277"/>
      <c r="C554" s="278"/>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2"/>
      <c r="B555" s="277"/>
      <c r="C555" s="278"/>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2"/>
      <c r="B556" s="277"/>
      <c r="C556" s="278"/>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2"/>
      <c r="B557" s="277"/>
      <c r="C557" s="278"/>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2"/>
      <c r="B558" s="277"/>
      <c r="C558" s="278"/>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2"/>
      <c r="B559" s="277"/>
      <c r="C559" s="278"/>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2"/>
      <c r="B560" s="277"/>
      <c r="C560" s="278"/>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2"/>
      <c r="B561" s="277"/>
      <c r="C561" s="278"/>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2"/>
      <c r="B562" s="277"/>
      <c r="C562" s="278"/>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2"/>
      <c r="B563" s="277"/>
      <c r="C563" s="278"/>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2"/>
      <c r="B564" s="277"/>
      <c r="C564" s="278"/>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2"/>
      <c r="B565" s="277"/>
      <c r="C565" s="278"/>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2"/>
      <c r="B566" s="277"/>
      <c r="C566" s="278"/>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2"/>
      <c r="B567" s="277"/>
      <c r="C567" s="278"/>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2"/>
      <c r="B568" s="277"/>
      <c r="C568" s="278"/>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2"/>
      <c r="B569" s="277"/>
      <c r="C569" s="278"/>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2"/>
      <c r="B570" s="277"/>
      <c r="C570" s="278"/>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2"/>
      <c r="B571" s="277"/>
      <c r="C571" s="278"/>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2"/>
      <c r="B572" s="277"/>
      <c r="C572" s="278"/>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2"/>
      <c r="B573" s="277"/>
      <c r="C573" s="278"/>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2"/>
      <c r="B574" s="277"/>
      <c r="C574" s="278"/>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2"/>
      <c r="B575" s="277"/>
      <c r="C575" s="278"/>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2"/>
      <c r="B576" s="277"/>
      <c r="C576" s="278"/>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2"/>
      <c r="B577" s="277"/>
      <c r="C577" s="278"/>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2"/>
      <c r="B578" s="277"/>
      <c r="C578" s="278"/>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2"/>
      <c r="B579" s="277"/>
      <c r="C579" s="278"/>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2"/>
      <c r="B580" s="277"/>
      <c r="C580" s="278"/>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2"/>
      <c r="B581" s="277"/>
      <c r="C581" s="278"/>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2"/>
      <c r="B582" s="277"/>
      <c r="C582" s="278"/>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2"/>
      <c r="B583" s="277"/>
      <c r="C583" s="278"/>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2"/>
      <c r="B584" s="277"/>
      <c r="C584" s="278"/>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2"/>
      <c r="B585" s="277"/>
      <c r="C585" s="278"/>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2"/>
      <c r="B586" s="277"/>
      <c r="C586" s="278"/>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2"/>
      <c r="B587" s="277"/>
      <c r="C587" s="278"/>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2"/>
      <c r="B588" s="277"/>
      <c r="C588" s="278"/>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2"/>
      <c r="B589" s="277"/>
      <c r="C589" s="278"/>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2"/>
      <c r="B590" s="277"/>
      <c r="C590" s="278"/>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2"/>
      <c r="B591" s="277"/>
      <c r="C591" s="278"/>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2"/>
      <c r="B592" s="277"/>
      <c r="C592" s="278"/>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2"/>
      <c r="B593" s="277"/>
      <c r="C593" s="278"/>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2"/>
      <c r="B594" s="277"/>
      <c r="C594" s="278"/>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2"/>
      <c r="B595" s="277"/>
      <c r="C595" s="278"/>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2"/>
      <c r="B596" s="277"/>
      <c r="C596" s="278"/>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2"/>
      <c r="B597" s="277"/>
      <c r="C597" s="278"/>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2"/>
      <c r="B598" s="277"/>
      <c r="C598" s="278"/>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2"/>
      <c r="B599" s="277"/>
      <c r="C599" s="278"/>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2"/>
      <c r="B600" s="277"/>
      <c r="C600" s="278"/>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2"/>
      <c r="B601" s="277"/>
      <c r="C601" s="278"/>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2"/>
      <c r="B602" s="277"/>
      <c r="C602" s="278"/>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2"/>
      <c r="B603" s="277"/>
      <c r="C603" s="278"/>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2"/>
      <c r="B604" s="277"/>
      <c r="C604" s="278"/>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2"/>
      <c r="B605" s="277"/>
      <c r="C605" s="278"/>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2"/>
      <c r="B606" s="277"/>
      <c r="C606" s="278"/>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2"/>
      <c r="B607" s="277"/>
      <c r="C607" s="278"/>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2"/>
      <c r="B608" s="277"/>
      <c r="C608" s="278"/>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2"/>
      <c r="B609" s="277"/>
      <c r="C609" s="278"/>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2"/>
      <c r="B610" s="277"/>
      <c r="C610" s="278"/>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2"/>
      <c r="B611" s="277"/>
      <c r="C611" s="278"/>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2"/>
      <c r="B612" s="277"/>
      <c r="C612" s="278"/>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2"/>
      <c r="B613" s="277"/>
      <c r="C613" s="278"/>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2"/>
      <c r="B614" s="277"/>
      <c r="C614" s="278"/>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2"/>
      <c r="B615" s="277"/>
      <c r="C615" s="278"/>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2"/>
      <c r="B616" s="277"/>
      <c r="C616" s="278"/>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2"/>
      <c r="B617" s="277"/>
      <c r="C617" s="278"/>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2"/>
      <c r="B618" s="277"/>
      <c r="C618" s="278"/>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2"/>
      <c r="B619" s="277"/>
      <c r="C619" s="278"/>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2"/>
      <c r="B620" s="277"/>
      <c r="C620" s="278"/>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2"/>
      <c r="B621" s="277"/>
      <c r="C621" s="278"/>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2"/>
      <c r="B622" s="277"/>
      <c r="C622" s="278"/>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2"/>
      <c r="B623" s="277"/>
      <c r="C623" s="278"/>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2"/>
      <c r="B624" s="277"/>
      <c r="C624" s="278"/>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2"/>
      <c r="B625" s="277"/>
      <c r="C625" s="278"/>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2"/>
      <c r="B626" s="277"/>
      <c r="C626" s="278"/>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2"/>
      <c r="B627" s="277"/>
      <c r="C627" s="278"/>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2"/>
      <c r="B628" s="277"/>
      <c r="C628" s="278"/>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2"/>
      <c r="B629" s="277"/>
      <c r="C629" s="278"/>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2"/>
      <c r="B630" s="277"/>
      <c r="C630" s="278"/>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2"/>
      <c r="B631" s="277"/>
      <c r="C631" s="278"/>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2"/>
      <c r="B632" s="277"/>
      <c r="C632" s="278"/>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2"/>
      <c r="B633" s="277"/>
      <c r="C633" s="278"/>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2"/>
      <c r="B634" s="277"/>
      <c r="C634" s="278"/>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2"/>
      <c r="B635" s="277"/>
      <c r="C635" s="278"/>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2"/>
      <c r="B636" s="277"/>
      <c r="C636" s="278"/>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2"/>
      <c r="B637" s="277"/>
      <c r="C637" s="278"/>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2"/>
      <c r="B638" s="277"/>
      <c r="C638" s="278"/>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2"/>
      <c r="B639" s="277"/>
      <c r="C639" s="278"/>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2"/>
      <c r="B640" s="277"/>
      <c r="C640" s="278"/>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2"/>
      <c r="B641" s="277"/>
      <c r="C641" s="278"/>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2"/>
      <c r="B642" s="277"/>
      <c r="C642" s="278"/>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2"/>
      <c r="B643" s="277"/>
      <c r="C643" s="278"/>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2"/>
      <c r="B644" s="277"/>
      <c r="C644" s="278"/>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2"/>
      <c r="B645" s="277"/>
      <c r="C645" s="278"/>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2"/>
      <c r="B646" s="277"/>
      <c r="C646" s="278"/>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2"/>
      <c r="B647" s="277"/>
      <c r="C647" s="278"/>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2"/>
      <c r="B648" s="277"/>
      <c r="C648" s="278"/>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2"/>
      <c r="B649" s="277"/>
      <c r="C649" s="278"/>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2"/>
      <c r="B650" s="277"/>
      <c r="C650" s="278"/>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2"/>
      <c r="B651" s="277"/>
      <c r="C651" s="278"/>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2"/>
      <c r="B652" s="277"/>
      <c r="C652" s="278"/>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2"/>
      <c r="B653" s="277"/>
      <c r="C653" s="278"/>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2"/>
      <c r="B654" s="277"/>
      <c r="C654" s="278"/>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2"/>
      <c r="B655" s="277"/>
      <c r="C655" s="278"/>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2"/>
      <c r="B656" s="277"/>
      <c r="C656" s="278"/>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2"/>
      <c r="B657" s="277"/>
      <c r="C657" s="278"/>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2"/>
      <c r="B658" s="277"/>
      <c r="C658" s="278"/>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2"/>
      <c r="B659" s="277"/>
      <c r="C659" s="278"/>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2"/>
      <c r="B660" s="277"/>
      <c r="C660" s="278"/>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2"/>
      <c r="B661" s="277"/>
      <c r="C661" s="278"/>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2"/>
      <c r="B662" s="277"/>
      <c r="C662" s="278"/>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2"/>
      <c r="B663" s="277"/>
      <c r="C663" s="278"/>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2"/>
      <c r="B664" s="277"/>
      <c r="C664" s="278"/>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2"/>
      <c r="B665" s="277"/>
      <c r="C665" s="278"/>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2"/>
      <c r="B666" s="277"/>
      <c r="C666" s="278"/>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2"/>
      <c r="B667" s="277"/>
      <c r="C667" s="278"/>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2"/>
      <c r="B668" s="277"/>
      <c r="C668" s="278"/>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2"/>
      <c r="B669" s="277"/>
      <c r="C669" s="278"/>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2"/>
      <c r="B670" s="277"/>
      <c r="C670" s="278"/>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2"/>
      <c r="B671" s="277"/>
      <c r="C671" s="278"/>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2"/>
      <c r="B672" s="277"/>
      <c r="C672" s="278"/>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2"/>
      <c r="B673" s="277"/>
      <c r="C673" s="278"/>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2"/>
      <c r="B674" s="277"/>
      <c r="C674" s="278"/>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2"/>
      <c r="B675" s="277"/>
      <c r="C675" s="278"/>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2"/>
      <c r="B676" s="277"/>
      <c r="C676" s="278"/>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2"/>
      <c r="B677" s="277"/>
      <c r="C677" s="278"/>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2"/>
      <c r="B678" s="277"/>
      <c r="C678" s="278"/>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2"/>
      <c r="B679" s="277"/>
      <c r="C679" s="278"/>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2"/>
      <c r="B680" s="277"/>
      <c r="C680" s="278"/>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2"/>
      <c r="B681" s="277"/>
      <c r="C681" s="278"/>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2"/>
      <c r="B682" s="277"/>
      <c r="C682" s="278"/>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2"/>
      <c r="B683" s="277"/>
      <c r="C683" s="278"/>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2"/>
      <c r="B684" s="277"/>
      <c r="C684" s="278"/>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2"/>
      <c r="B685" s="277"/>
      <c r="C685" s="278"/>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2"/>
      <c r="B686" s="277"/>
      <c r="C686" s="278"/>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2"/>
      <c r="B687" s="277"/>
      <c r="C687" s="278"/>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2"/>
      <c r="B688" s="277"/>
      <c r="C688" s="278"/>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2"/>
      <c r="B689" s="277"/>
      <c r="C689" s="278"/>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2"/>
      <c r="B690" s="277"/>
      <c r="C690" s="278"/>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2"/>
      <c r="B691" s="277"/>
      <c r="C691" s="278"/>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2"/>
      <c r="B692" s="277"/>
      <c r="C692" s="278"/>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2"/>
      <c r="B693" s="277"/>
      <c r="C693" s="278"/>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2"/>
      <c r="B694" s="277"/>
      <c r="C694" s="278"/>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2"/>
      <c r="B695" s="277"/>
      <c r="C695" s="278"/>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2"/>
      <c r="B696" s="277"/>
      <c r="C696" s="278"/>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2"/>
      <c r="B697" s="277"/>
      <c r="C697" s="278"/>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2"/>
      <c r="B698" s="277"/>
      <c r="C698" s="278"/>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2"/>
      <c r="B699" s="277"/>
      <c r="C699" s="278"/>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2"/>
      <c r="B700" s="277"/>
      <c r="C700" s="278"/>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2"/>
      <c r="B701" s="277"/>
      <c r="C701" s="278"/>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2"/>
      <c r="B702" s="277"/>
      <c r="C702" s="278"/>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2"/>
      <c r="B703" s="277"/>
      <c r="C703" s="278"/>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2"/>
      <c r="B704" s="277"/>
      <c r="C704" s="278"/>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2"/>
      <c r="B705" s="277"/>
      <c r="C705" s="278"/>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2"/>
      <c r="B706" s="277"/>
      <c r="C706" s="278"/>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2"/>
      <c r="B707" s="277"/>
      <c r="C707" s="278"/>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2"/>
      <c r="B708" s="277"/>
      <c r="C708" s="278"/>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2"/>
      <c r="B709" s="277"/>
      <c r="C709" s="278"/>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2"/>
      <c r="B710" s="277"/>
      <c r="C710" s="278"/>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2"/>
      <c r="B711" s="277"/>
      <c r="C711" s="278"/>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2"/>
      <c r="B712" s="277"/>
      <c r="C712" s="278"/>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2"/>
      <c r="B713" s="277"/>
      <c r="C713" s="278"/>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2"/>
      <c r="B714" s="277"/>
      <c r="C714" s="278"/>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2"/>
      <c r="B715" s="277"/>
      <c r="C715" s="278"/>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2"/>
      <c r="B716" s="277"/>
      <c r="C716" s="278"/>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2"/>
      <c r="B717" s="277"/>
      <c r="C717" s="278"/>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2"/>
      <c r="B718" s="277"/>
      <c r="C718" s="278"/>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2"/>
      <c r="B719" s="277"/>
      <c r="C719" s="278"/>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2"/>
      <c r="B720" s="277"/>
      <c r="C720" s="278"/>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2"/>
      <c r="B721" s="277"/>
      <c r="C721" s="278"/>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2"/>
      <c r="B722" s="277"/>
      <c r="C722" s="278"/>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2"/>
      <c r="B723" s="277"/>
      <c r="C723" s="278"/>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2"/>
      <c r="B724" s="277"/>
      <c r="C724" s="278"/>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2"/>
      <c r="B725" s="277"/>
      <c r="C725" s="278"/>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2"/>
      <c r="B726" s="277"/>
      <c r="C726" s="278"/>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2"/>
      <c r="B727" s="277"/>
      <c r="C727" s="278"/>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2"/>
      <c r="B728" s="277"/>
      <c r="C728" s="278"/>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2"/>
      <c r="B729" s="277"/>
      <c r="C729" s="278"/>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2"/>
      <c r="B730" s="277"/>
      <c r="C730" s="278"/>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2"/>
      <c r="B731" s="277"/>
      <c r="C731" s="278"/>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2"/>
      <c r="B732" s="277"/>
      <c r="C732" s="278"/>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2"/>
      <c r="B733" s="277"/>
      <c r="C733" s="278"/>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2"/>
      <c r="B734" s="277"/>
      <c r="C734" s="278"/>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2"/>
      <c r="B735" s="277"/>
      <c r="C735" s="278"/>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2"/>
      <c r="B736" s="277"/>
      <c r="C736" s="278"/>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2"/>
      <c r="B737" s="277"/>
      <c r="C737" s="278"/>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2"/>
      <c r="B738" s="277"/>
      <c r="C738" s="278"/>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2"/>
      <c r="B739" s="277"/>
      <c r="C739" s="278"/>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2"/>
      <c r="B740" s="277"/>
      <c r="C740" s="278"/>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2"/>
      <c r="B741" s="277"/>
      <c r="C741" s="278"/>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2"/>
      <c r="B742" s="277"/>
      <c r="C742" s="278"/>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2"/>
      <c r="B743" s="277"/>
      <c r="C743" s="278"/>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2"/>
      <c r="B744" s="277"/>
      <c r="C744" s="278"/>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2"/>
      <c r="B745" s="277"/>
      <c r="C745" s="278"/>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2"/>
      <c r="B746" s="277"/>
      <c r="C746" s="278"/>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2"/>
      <c r="B747" s="277"/>
      <c r="C747" s="278"/>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2"/>
      <c r="B748" s="277"/>
      <c r="C748" s="278"/>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2"/>
      <c r="B749" s="277"/>
      <c r="C749" s="278"/>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2"/>
      <c r="B750" s="277"/>
      <c r="C750" s="278"/>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2"/>
      <c r="B751" s="277"/>
      <c r="C751" s="278"/>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2"/>
      <c r="B752" s="277"/>
      <c r="C752" s="278"/>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2"/>
      <c r="B753" s="277"/>
      <c r="C753" s="278"/>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2"/>
      <c r="B754" s="277"/>
      <c r="C754" s="278"/>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2"/>
      <c r="B755" s="277"/>
      <c r="C755" s="278"/>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2"/>
      <c r="B756" s="277"/>
      <c r="C756" s="278"/>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2"/>
      <c r="B757" s="277"/>
      <c r="C757" s="278"/>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2"/>
      <c r="B758" s="277"/>
      <c r="C758" s="278"/>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2"/>
      <c r="B759" s="277"/>
      <c r="C759" s="278"/>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2"/>
      <c r="B760" s="277"/>
      <c r="C760" s="278"/>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2"/>
      <c r="B761" s="277"/>
      <c r="C761" s="278"/>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2"/>
      <c r="B762" s="277"/>
      <c r="C762" s="278"/>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2"/>
      <c r="B763" s="277"/>
      <c r="C763" s="278"/>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2"/>
      <c r="B764" s="277"/>
      <c r="C764" s="278"/>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2"/>
      <c r="B765" s="277"/>
      <c r="C765" s="278"/>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2"/>
      <c r="B766" s="277"/>
      <c r="C766" s="278"/>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2"/>
      <c r="B767" s="277"/>
      <c r="C767" s="278"/>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2"/>
      <c r="B768" s="277"/>
      <c r="C768" s="278"/>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2"/>
      <c r="B769" s="277"/>
      <c r="C769" s="278"/>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2"/>
      <c r="B770" s="277"/>
      <c r="C770" s="278"/>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2"/>
      <c r="B771" s="277"/>
      <c r="C771" s="278"/>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2"/>
      <c r="B772" s="277"/>
      <c r="C772" s="278"/>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2"/>
      <c r="B773" s="277"/>
      <c r="C773" s="278"/>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2"/>
      <c r="B774" s="277"/>
      <c r="C774" s="278"/>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2"/>
      <c r="B775" s="277"/>
      <c r="C775" s="278"/>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2"/>
      <c r="B776" s="277"/>
      <c r="C776" s="278"/>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2"/>
      <c r="B777" s="277"/>
      <c r="C777" s="278"/>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2"/>
      <c r="B778" s="277"/>
      <c r="C778" s="278"/>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2"/>
      <c r="B779" s="277"/>
      <c r="C779" s="278"/>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2"/>
      <c r="B780" s="277"/>
      <c r="C780" s="278"/>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2"/>
      <c r="B781" s="277"/>
      <c r="C781" s="278"/>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2"/>
      <c r="B782" s="277"/>
      <c r="C782" s="278"/>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2"/>
      <c r="B783" s="277"/>
      <c r="C783" s="278"/>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2"/>
      <c r="B784" s="277"/>
      <c r="C784" s="278"/>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2"/>
      <c r="B785" s="277"/>
      <c r="C785" s="278"/>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2"/>
      <c r="B786" s="277"/>
      <c r="C786" s="278"/>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2"/>
      <c r="B787" s="277"/>
      <c r="C787" s="278"/>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2"/>
      <c r="B788" s="277"/>
      <c r="C788" s="278"/>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2"/>
      <c r="B789" s="277"/>
      <c r="C789" s="278"/>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2"/>
      <c r="B790" s="277"/>
      <c r="C790" s="278"/>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2"/>
      <c r="B791" s="277"/>
      <c r="C791" s="278"/>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2"/>
      <c r="B792" s="277"/>
      <c r="C792" s="278"/>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2"/>
      <c r="B793" s="277"/>
      <c r="C793" s="278"/>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2"/>
      <c r="B794" s="277"/>
      <c r="C794" s="278"/>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2"/>
      <c r="B795" s="277"/>
      <c r="C795" s="278"/>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2"/>
      <c r="B796" s="277"/>
      <c r="C796" s="278"/>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2"/>
      <c r="B797" s="277"/>
      <c r="C797" s="278"/>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2"/>
      <c r="B798" s="277"/>
      <c r="C798" s="278"/>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2"/>
      <c r="B799" s="277"/>
      <c r="C799" s="278"/>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2"/>
      <c r="B800" s="277"/>
      <c r="C800" s="278"/>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2"/>
      <c r="B801" s="277"/>
      <c r="C801" s="278"/>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2"/>
      <c r="B802" s="277"/>
      <c r="C802" s="278"/>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2"/>
      <c r="B803" s="277"/>
      <c r="C803" s="278"/>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2"/>
      <c r="B804" s="277"/>
      <c r="C804" s="278"/>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2"/>
      <c r="B805" s="277"/>
      <c r="C805" s="278"/>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2"/>
      <c r="B806" s="277"/>
      <c r="C806" s="278"/>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2"/>
      <c r="B807" s="277"/>
      <c r="C807" s="278"/>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2"/>
      <c r="B808" s="277"/>
      <c r="C808" s="278"/>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2"/>
      <c r="B809" s="277"/>
      <c r="C809" s="278"/>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2"/>
      <c r="B810" s="277"/>
      <c r="C810" s="278"/>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2"/>
      <c r="B811" s="277"/>
      <c r="C811" s="278"/>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2"/>
      <c r="B812" s="277"/>
      <c r="C812" s="278"/>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2"/>
      <c r="B813" s="277"/>
      <c r="C813" s="278"/>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2"/>
      <c r="B814" s="277"/>
      <c r="C814" s="278"/>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2"/>
      <c r="B815" s="277"/>
      <c r="C815" s="278"/>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2"/>
      <c r="B816" s="277"/>
      <c r="C816" s="278"/>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2"/>
      <c r="B817" s="277"/>
      <c r="C817" s="278"/>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2"/>
      <c r="B818" s="277"/>
      <c r="C818" s="278"/>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2"/>
      <c r="B819" s="277"/>
      <c r="C819" s="278"/>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2"/>
      <c r="B820" s="277"/>
      <c r="C820" s="278"/>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2"/>
      <c r="B821" s="277"/>
      <c r="C821" s="278"/>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2"/>
      <c r="B822" s="277"/>
      <c r="C822" s="278"/>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2"/>
      <c r="B823" s="277"/>
      <c r="C823" s="278"/>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2"/>
      <c r="B824" s="277"/>
      <c r="C824" s="278"/>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2"/>
      <c r="B825" s="277"/>
      <c r="C825" s="278"/>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2"/>
      <c r="B826" s="277"/>
      <c r="C826" s="278"/>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2"/>
      <c r="B827" s="277"/>
      <c r="C827" s="278"/>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2"/>
      <c r="B828" s="277"/>
      <c r="C828" s="278"/>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2"/>
      <c r="B829" s="277"/>
      <c r="C829" s="278"/>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2"/>
      <c r="B830" s="277"/>
      <c r="C830" s="278"/>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2"/>
      <c r="B831" s="277"/>
      <c r="C831" s="278"/>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2"/>
      <c r="B832" s="277"/>
      <c r="C832" s="278"/>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2"/>
      <c r="B833" s="277"/>
      <c r="C833" s="278"/>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2"/>
      <c r="B834" s="277"/>
      <c r="C834" s="278"/>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2"/>
      <c r="B835" s="277"/>
      <c r="C835" s="278"/>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2"/>
      <c r="B836" s="277"/>
      <c r="C836" s="278"/>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2"/>
      <c r="B837" s="277"/>
      <c r="C837" s="278"/>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2"/>
      <c r="B838" s="277"/>
      <c r="C838" s="278"/>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2"/>
      <c r="B839" s="277"/>
      <c r="C839" s="278"/>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2"/>
      <c r="B840" s="277"/>
      <c r="C840" s="278"/>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2"/>
      <c r="B841" s="277"/>
      <c r="C841" s="278"/>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2"/>
      <c r="B842" s="277"/>
      <c r="C842" s="278"/>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2"/>
      <c r="B843" s="277"/>
      <c r="C843" s="278"/>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2"/>
      <c r="B844" s="277"/>
      <c r="C844" s="278"/>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2"/>
      <c r="B845" s="277"/>
      <c r="C845" s="278"/>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2"/>
      <c r="B846" s="277"/>
      <c r="C846" s="278"/>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2"/>
      <c r="B847" s="277"/>
      <c r="C847" s="278"/>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2"/>
      <c r="B848" s="277"/>
      <c r="C848" s="278"/>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2"/>
      <c r="B849" s="277"/>
      <c r="C849" s="278"/>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2"/>
      <c r="B850" s="277"/>
      <c r="C850" s="278"/>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2"/>
      <c r="B851" s="277"/>
      <c r="C851" s="278"/>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2"/>
      <c r="B852" s="277"/>
      <c r="C852" s="278"/>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2"/>
      <c r="B853" s="277"/>
      <c r="C853" s="278"/>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2"/>
      <c r="B854" s="277"/>
      <c r="C854" s="278"/>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2"/>
      <c r="B855" s="277"/>
      <c r="C855" s="278"/>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2"/>
      <c r="B856" s="277"/>
      <c r="C856" s="278"/>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2"/>
      <c r="B857" s="277"/>
      <c r="C857" s="278"/>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2"/>
      <c r="B858" s="277"/>
      <c r="C858" s="278"/>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2"/>
      <c r="B859" s="277"/>
      <c r="C859" s="278"/>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2"/>
      <c r="B860" s="277"/>
      <c r="C860" s="278"/>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2"/>
      <c r="B861" s="277"/>
      <c r="C861" s="278"/>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2"/>
      <c r="B862" s="277"/>
      <c r="C862" s="278"/>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2"/>
      <c r="B863" s="277"/>
      <c r="C863" s="278"/>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2"/>
      <c r="B864" s="277"/>
      <c r="C864" s="278"/>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2"/>
      <c r="B865" s="277"/>
      <c r="C865" s="278"/>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2"/>
      <c r="B866" s="277"/>
      <c r="C866" s="278"/>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2"/>
      <c r="B867" s="277"/>
      <c r="C867" s="278"/>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2"/>
      <c r="B868" s="277"/>
      <c r="C868" s="278"/>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2"/>
      <c r="B869" s="277"/>
      <c r="C869" s="278"/>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2"/>
      <c r="B870" s="277"/>
      <c r="C870" s="278"/>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2"/>
      <c r="B871" s="277"/>
      <c r="C871" s="278"/>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2"/>
      <c r="B872" s="277"/>
      <c r="C872" s="278"/>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2"/>
      <c r="B873" s="277"/>
      <c r="C873" s="278"/>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2"/>
      <c r="B874" s="277"/>
      <c r="C874" s="278"/>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2"/>
      <c r="B875" s="277"/>
      <c r="C875" s="278"/>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2"/>
      <c r="B876" s="277"/>
      <c r="C876" s="278"/>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2"/>
      <c r="B877" s="277"/>
      <c r="C877" s="278"/>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2"/>
      <c r="B878" s="277"/>
      <c r="C878" s="278"/>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2"/>
      <c r="B879" s="277"/>
      <c r="C879" s="278"/>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2"/>
      <c r="B880" s="277"/>
      <c r="C880" s="278"/>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2"/>
      <c r="B881" s="277"/>
      <c r="C881" s="278"/>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2"/>
      <c r="B882" s="277"/>
      <c r="C882" s="278"/>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2"/>
      <c r="B883" s="277"/>
      <c r="C883" s="278"/>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2"/>
      <c r="B884" s="277"/>
      <c r="C884" s="278"/>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2"/>
      <c r="B885" s="277"/>
      <c r="C885" s="278"/>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2"/>
      <c r="B886" s="277"/>
      <c r="C886" s="278"/>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2"/>
      <c r="B887" s="277"/>
      <c r="C887" s="278"/>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2"/>
      <c r="B888" s="277"/>
      <c r="C888" s="278"/>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2"/>
      <c r="B889" s="277"/>
      <c r="C889" s="278"/>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2"/>
      <c r="B890" s="277"/>
      <c r="C890" s="278"/>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2"/>
      <c r="B891" s="277"/>
      <c r="C891" s="278"/>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2"/>
      <c r="B892" s="277"/>
      <c r="C892" s="278"/>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2"/>
      <c r="B893" s="277"/>
      <c r="C893" s="278"/>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2"/>
      <c r="B894" s="277"/>
      <c r="C894" s="278"/>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2"/>
      <c r="B895" s="277"/>
      <c r="C895" s="278"/>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2"/>
      <c r="B896" s="277"/>
      <c r="C896" s="278"/>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2"/>
      <c r="B897" s="277"/>
      <c r="C897" s="278"/>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2"/>
      <c r="B898" s="277"/>
      <c r="C898" s="278"/>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2"/>
      <c r="B899" s="277"/>
      <c r="C899" s="278"/>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2"/>
      <c r="B900" s="277"/>
      <c r="C900" s="278"/>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2"/>
      <c r="B901" s="277"/>
      <c r="C901" s="278"/>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2"/>
      <c r="B902" s="277"/>
      <c r="C902" s="278"/>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2"/>
      <c r="B903" s="277"/>
      <c r="C903" s="278"/>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2"/>
      <c r="B904" s="277"/>
      <c r="C904" s="278"/>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2"/>
      <c r="B905" s="277"/>
      <c r="C905" s="278"/>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2"/>
      <c r="B906" s="277"/>
      <c r="C906" s="278"/>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2"/>
      <c r="B907" s="277"/>
      <c r="C907" s="278"/>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2"/>
      <c r="B908" s="277"/>
      <c r="C908" s="278"/>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2"/>
      <c r="B909" s="277"/>
      <c r="C909" s="278"/>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2"/>
      <c r="B910" s="277"/>
      <c r="C910" s="278"/>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2"/>
      <c r="B911" s="277"/>
      <c r="C911" s="278"/>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2"/>
      <c r="B912" s="277"/>
      <c r="C912" s="278"/>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2"/>
      <c r="B913" s="277"/>
      <c r="C913" s="278"/>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2"/>
      <c r="B914" s="277"/>
      <c r="C914" s="278"/>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2"/>
      <c r="B915" s="277"/>
      <c r="C915" s="278"/>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2"/>
      <c r="B916" s="277"/>
      <c r="C916" s="278"/>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2"/>
      <c r="B917" s="277"/>
      <c r="C917" s="278"/>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2"/>
      <c r="B918" s="277"/>
      <c r="C918" s="278"/>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2"/>
      <c r="B919" s="277"/>
      <c r="C919" s="278"/>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2"/>
      <c r="B920" s="277"/>
      <c r="C920" s="278"/>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2"/>
      <c r="B921" s="277"/>
      <c r="C921" s="278"/>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2"/>
      <c r="B922" s="277"/>
      <c r="C922" s="278"/>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2"/>
      <c r="B923" s="277"/>
      <c r="C923" s="278"/>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2"/>
      <c r="B924" s="277"/>
      <c r="C924" s="278"/>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2"/>
      <c r="B925" s="277"/>
      <c r="C925" s="278"/>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2"/>
      <c r="B926" s="277"/>
      <c r="C926" s="278"/>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2"/>
      <c r="B927" s="277"/>
      <c r="C927" s="278"/>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2"/>
      <c r="B928" s="277"/>
      <c r="C928" s="278"/>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2"/>
      <c r="B929" s="277"/>
      <c r="C929" s="278"/>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2"/>
      <c r="B930" s="277"/>
      <c r="C930" s="278"/>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2"/>
      <c r="B931" s="277"/>
      <c r="C931" s="278"/>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2"/>
      <c r="B932" s="277"/>
      <c r="C932" s="278"/>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2"/>
      <c r="B933" s="277"/>
      <c r="C933" s="278"/>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2"/>
      <c r="B934" s="277"/>
      <c r="C934" s="278"/>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2"/>
      <c r="B935" s="277"/>
      <c r="C935" s="278"/>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2"/>
      <c r="B936" s="277"/>
      <c r="C936" s="278"/>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2"/>
      <c r="B937" s="277"/>
      <c r="C937" s="278"/>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2"/>
      <c r="B938" s="277"/>
      <c r="C938" s="278"/>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2"/>
      <c r="B939" s="277"/>
      <c r="C939" s="278"/>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2"/>
      <c r="B940" s="277"/>
      <c r="C940" s="278"/>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2"/>
      <c r="B941" s="277"/>
      <c r="C941" s="278"/>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2"/>
      <c r="B942" s="277"/>
      <c r="C942" s="278"/>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2"/>
      <c r="B943" s="277"/>
      <c r="C943" s="278"/>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2"/>
      <c r="B944" s="277"/>
      <c r="C944" s="278"/>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2"/>
      <c r="B945" s="277"/>
      <c r="C945" s="278"/>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2"/>
      <c r="B946" s="277"/>
      <c r="C946" s="278"/>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2"/>
      <c r="B947" s="277"/>
      <c r="C947" s="278"/>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2"/>
      <c r="B948" s="277"/>
      <c r="C948" s="278"/>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2"/>
      <c r="B949" s="277"/>
      <c r="C949" s="278"/>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2"/>
      <c r="B950" s="277"/>
      <c r="C950" s="278"/>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2"/>
      <c r="B951" s="277"/>
      <c r="C951" s="278"/>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2"/>
      <c r="B952" s="277"/>
      <c r="C952" s="278"/>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2"/>
      <c r="B953" s="277"/>
      <c r="C953" s="278"/>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2"/>
      <c r="B954" s="277"/>
      <c r="C954" s="278"/>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2"/>
      <c r="B955" s="277"/>
      <c r="C955" s="278"/>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2"/>
      <c r="B956" s="277"/>
      <c r="C956" s="278"/>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2"/>
      <c r="B957" s="277"/>
      <c r="C957" s="278"/>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2"/>
      <c r="B958" s="277"/>
      <c r="C958" s="278"/>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2"/>
      <c r="B959" s="277"/>
      <c r="C959" s="278"/>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2"/>
      <c r="B960" s="277"/>
      <c r="C960" s="278"/>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2"/>
      <c r="B961" s="277"/>
      <c r="C961" s="278"/>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2"/>
      <c r="B962" s="277"/>
      <c r="C962" s="278"/>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2"/>
      <c r="B963" s="277"/>
      <c r="C963" s="278"/>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2"/>
      <c r="B964" s="277"/>
      <c r="C964" s="278"/>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2"/>
      <c r="B965" s="277"/>
      <c r="C965" s="278"/>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2"/>
      <c r="B966" s="277"/>
      <c r="C966" s="278"/>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2"/>
      <c r="B967" s="277"/>
      <c r="C967" s="278"/>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2"/>
      <c r="B968" s="277"/>
      <c r="C968" s="278"/>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2"/>
      <c r="B969" s="277"/>
      <c r="C969" s="278"/>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2"/>
      <c r="B970" s="277"/>
      <c r="C970" s="278"/>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2"/>
      <c r="B971" s="277"/>
      <c r="C971" s="278"/>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2"/>
      <c r="B972" s="277"/>
      <c r="C972" s="278"/>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2"/>
      <c r="B973" s="277"/>
      <c r="C973" s="278"/>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2"/>
      <c r="B974" s="277"/>
      <c r="C974" s="278"/>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2"/>
      <c r="B975" s="277"/>
      <c r="C975" s="278"/>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2"/>
      <c r="B976" s="277"/>
      <c r="C976" s="278"/>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2"/>
      <c r="B977" s="277"/>
      <c r="C977" s="278"/>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2"/>
      <c r="B978" s="277"/>
      <c r="C978" s="278"/>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2"/>
      <c r="B979" s="277"/>
      <c r="C979" s="278"/>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2"/>
      <c r="B980" s="277"/>
      <c r="C980" s="278"/>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2"/>
      <c r="B981" s="277"/>
      <c r="C981" s="278"/>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2"/>
      <c r="B982" s="277"/>
      <c r="C982" s="278"/>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2"/>
      <c r="B983" s="277"/>
      <c r="C983" s="278"/>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2"/>
      <c r="B984" s="277"/>
      <c r="C984" s="278"/>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2"/>
      <c r="B985" s="277"/>
      <c r="C985" s="278"/>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2"/>
      <c r="B986" s="277"/>
      <c r="C986" s="278"/>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2"/>
      <c r="B987" s="277"/>
      <c r="C987" s="278"/>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2"/>
      <c r="B988" s="277"/>
      <c r="C988" s="278"/>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2"/>
      <c r="B989" s="277"/>
      <c r="C989" s="278"/>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2"/>
      <c r="B990" s="277"/>
      <c r="C990" s="278"/>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2"/>
      <c r="B991" s="277"/>
      <c r="C991" s="278"/>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2"/>
      <c r="B992" s="277"/>
      <c r="C992" s="278"/>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2"/>
      <c r="B993" s="277"/>
      <c r="C993" s="278"/>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2"/>
      <c r="B994" s="277"/>
      <c r="C994" s="278"/>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2"/>
      <c r="B995" s="277"/>
      <c r="C995" s="278"/>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2"/>
      <c r="B996" s="277"/>
      <c r="C996" s="278"/>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2"/>
      <c r="B997" s="277"/>
      <c r="C997" s="278"/>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2"/>
      <c r="B998" s="277"/>
      <c r="C998" s="278"/>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2"/>
      <c r="B999" s="277"/>
      <c r="C999" s="278"/>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2"/>
      <c r="B1000" s="277"/>
      <c r="C1000" s="278"/>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2"/>
      <c r="B1001" s="277"/>
      <c r="C1001" s="278"/>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2"/>
      <c r="B1002" s="277"/>
      <c r="C1002" s="278"/>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2"/>
      <c r="B1003" s="277"/>
      <c r="C1003" s="278"/>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2"/>
      <c r="B1004" s="277"/>
      <c r="C1004" s="278"/>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2"/>
      <c r="B1005" s="277"/>
      <c r="C1005" s="278"/>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2"/>
      <c r="B1006" s="277"/>
      <c r="C1006" s="278"/>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2"/>
      <c r="B1007" s="277"/>
      <c r="C1007" s="278"/>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2"/>
      <c r="B1008" s="277"/>
      <c r="C1008" s="278"/>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2"/>
      <c r="B1009" s="277"/>
      <c r="C1009" s="278"/>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2"/>
      <c r="B1010" s="277"/>
      <c r="C1010" s="278"/>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2"/>
      <c r="B1011" s="277"/>
      <c r="C1011" s="278"/>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2"/>
      <c r="B1012" s="277"/>
      <c r="C1012" s="278"/>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2"/>
      <c r="B1013" s="277"/>
      <c r="C1013" s="278"/>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2"/>
      <c r="B1014" s="277"/>
      <c r="C1014" s="278"/>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2"/>
      <c r="B1015" s="277"/>
      <c r="C1015" s="278"/>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2"/>
      <c r="B1016" s="277"/>
      <c r="C1016" s="278"/>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2"/>
      <c r="B1017" s="277"/>
      <c r="C1017" s="278"/>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2"/>
      <c r="B1018" s="277"/>
      <c r="C1018" s="278"/>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2"/>
      <c r="B1019" s="277"/>
      <c r="C1019" s="278"/>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2"/>
      <c r="B1020" s="277"/>
      <c r="C1020" s="278"/>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2"/>
      <c r="B1021" s="277"/>
      <c r="C1021" s="278"/>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2"/>
      <c r="B1022" s="277"/>
      <c r="C1022" s="278"/>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2"/>
      <c r="B1023" s="277"/>
      <c r="C1023" s="278"/>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2"/>
      <c r="B1024" s="277"/>
      <c r="C1024" s="278"/>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2"/>
      <c r="B1025" s="277"/>
      <c r="C1025" s="278"/>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2"/>
      <c r="B1026" s="277"/>
      <c r="C1026" s="278"/>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2"/>
      <c r="B1027" s="277"/>
      <c r="C1027" s="278"/>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2"/>
      <c r="B1028" s="277"/>
      <c r="C1028" s="278"/>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2"/>
      <c r="B1029" s="277"/>
      <c r="C1029" s="278"/>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2"/>
      <c r="B1030" s="277"/>
      <c r="C1030" s="278"/>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2"/>
      <c r="B1031" s="277"/>
      <c r="C1031" s="278"/>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2"/>
      <c r="B1032" s="277"/>
      <c r="C1032" s="278"/>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2"/>
      <c r="B1033" s="277"/>
      <c r="C1033" s="278"/>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2"/>
      <c r="B1034" s="277"/>
      <c r="C1034" s="278"/>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2"/>
      <c r="B1035" s="277"/>
      <c r="C1035" s="278"/>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2"/>
      <c r="B1036" s="277"/>
      <c r="C1036" s="278"/>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2"/>
      <c r="B1037" s="277"/>
      <c r="C1037" s="278"/>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2"/>
      <c r="B1038" s="277"/>
      <c r="C1038" s="278"/>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2"/>
      <c r="B1039" s="277"/>
      <c r="C1039" s="278"/>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2"/>
      <c r="B1040" s="277"/>
      <c r="C1040" s="278"/>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2"/>
      <c r="B1041" s="277"/>
      <c r="C1041" s="278"/>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2"/>
      <c r="B1042" s="277"/>
      <c r="C1042" s="278"/>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2"/>
      <c r="B1043" s="277"/>
      <c r="C1043" s="278"/>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2"/>
      <c r="B1044" s="277"/>
      <c r="C1044" s="278"/>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2"/>
      <c r="B1045" s="277"/>
      <c r="C1045" s="278"/>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2"/>
      <c r="B1046" s="277"/>
      <c r="C1046" s="278"/>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2"/>
      <c r="B1047" s="277"/>
      <c r="C1047" s="278"/>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2"/>
      <c r="B1048" s="277"/>
      <c r="C1048" s="278"/>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2"/>
      <c r="B1049" s="277"/>
      <c r="C1049" s="278"/>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2"/>
      <c r="B1050" s="277"/>
      <c r="C1050" s="278"/>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2"/>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2"/>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2"/>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2"/>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2"/>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2"/>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2"/>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2"/>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2"/>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2"/>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2"/>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2"/>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2"/>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2"/>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2"/>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2"/>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2"/>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2"/>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2"/>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2"/>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2"/>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2"/>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2"/>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2"/>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2"/>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2"/>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2"/>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2"/>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2"/>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2"/>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2"/>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2"/>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2"/>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2"/>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2"/>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2"/>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2"/>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2"/>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2"/>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2"/>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2"/>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2"/>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2"/>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2"/>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2"/>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2"/>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2"/>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2"/>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2"/>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2"/>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2"/>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2"/>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2"/>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2"/>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2"/>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2"/>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2"/>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2"/>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2"/>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2"/>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2"/>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2"/>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2"/>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2"/>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2"/>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2"/>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2"/>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2"/>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2"/>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2"/>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2"/>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2"/>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2"/>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2"/>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2"/>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2"/>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2"/>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2"/>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2"/>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2"/>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2"/>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2"/>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2"/>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2"/>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2"/>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2"/>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2"/>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2"/>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2"/>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2"/>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2"/>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2"/>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2"/>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2"/>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2"/>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2"/>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2"/>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2"/>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2"/>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2"/>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2"/>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2"/>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2"/>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2"/>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2"/>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2"/>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2"/>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2"/>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2"/>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2"/>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2"/>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2"/>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2"/>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2"/>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2"/>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2"/>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2"/>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2"/>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2"/>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2"/>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2"/>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2"/>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2"/>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2"/>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2"/>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2"/>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2"/>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2"/>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2"/>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2"/>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2"/>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2"/>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2"/>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2"/>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2"/>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2"/>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2"/>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2"/>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2"/>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2"/>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2"/>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2"/>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2"/>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2"/>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2"/>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2"/>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2"/>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2"/>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2"/>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2"/>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2"/>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2"/>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2"/>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2"/>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2"/>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2"/>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2"/>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2"/>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2"/>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2"/>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2"/>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2"/>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2"/>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2"/>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2"/>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2"/>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2"/>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2"/>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2"/>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2"/>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2"/>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2"/>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2"/>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2"/>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2"/>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2"/>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2"/>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2"/>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2"/>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2"/>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2"/>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2"/>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2"/>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2"/>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2"/>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2"/>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2"/>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2"/>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2"/>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2"/>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2"/>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2"/>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2"/>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2"/>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2"/>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2"/>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2"/>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2"/>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2"/>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2"/>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2"/>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2"/>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2"/>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2"/>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2"/>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2"/>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2"/>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2"/>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2"/>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2"/>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2"/>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2"/>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2"/>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2"/>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2"/>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2"/>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2"/>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2"/>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2"/>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2"/>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2"/>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2"/>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2"/>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2"/>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2"/>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2"/>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2"/>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2"/>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2"/>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2"/>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2"/>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2"/>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2"/>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2"/>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2"/>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2"/>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2"/>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2"/>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2"/>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2"/>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2"/>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2"/>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2"/>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2"/>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2"/>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2"/>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2"/>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2"/>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2"/>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2"/>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2"/>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2"/>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2"/>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2"/>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2"/>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2"/>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2"/>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2"/>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2"/>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2"/>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2"/>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2"/>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2"/>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2"/>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2"/>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2"/>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2"/>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c r="A1318" s="282"/>
      <c r="B1318" s="268"/>
      <c r="C1318" s="269"/>
      <c r="D1318" s="269"/>
      <c r="E1318" s="269"/>
      <c r="F1318" s="269"/>
      <c r="G1318" s="269"/>
      <c r="H1318" s="269"/>
      <c r="I1318" s="269"/>
      <c r="J1318" s="269"/>
      <c r="K1318" s="269"/>
      <c r="L1318" s="269"/>
      <c r="M1318" s="269"/>
      <c r="N1318" s="269"/>
      <c r="O1318" s="269"/>
      <c r="P1318" s="269"/>
      <c r="Q1318" s="269"/>
      <c r="R1318" s="269"/>
      <c r="S1318" s="269"/>
      <c r="T1318" s="269"/>
      <c r="U1318" s="269"/>
      <c r="V1318" s="269"/>
      <c r="W1318" s="270"/>
    </row>
    <row r="1319" spans="1:23" s="163" customFormat="1">
      <c r="A1319" s="282"/>
      <c r="B1319" s="268"/>
      <c r="C1319" s="269"/>
      <c r="D1319" s="269"/>
      <c r="E1319" s="269"/>
      <c r="F1319" s="269"/>
      <c r="G1319" s="269"/>
      <c r="H1319" s="269"/>
      <c r="I1319" s="269"/>
      <c r="J1319" s="269"/>
      <c r="K1319" s="269"/>
      <c r="L1319" s="269"/>
      <c r="M1319" s="269"/>
      <c r="N1319" s="269"/>
      <c r="O1319" s="269"/>
      <c r="P1319" s="269"/>
      <c r="Q1319" s="269"/>
      <c r="R1319" s="269"/>
      <c r="S1319" s="269"/>
      <c r="T1319" s="269"/>
      <c r="U1319" s="269"/>
      <c r="V1319" s="269"/>
      <c r="W1319" s="270"/>
    </row>
    <row r="1320" spans="1:23" s="163" customFormat="1">
      <c r="A1320" s="282"/>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s="163" customFormat="1">
      <c r="A1321" s="282"/>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s="163" customFormat="1">
      <c r="A1322" s="282"/>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s="163" customFormat="1">
      <c r="A1323" s="282"/>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s="163" customFormat="1">
      <c r="A1324" s="282"/>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s="163" customFormat="1">
      <c r="A1325" s="282"/>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s="163" customFormat="1">
      <c r="A1326" s="282"/>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s="163" customFormat="1">
      <c r="A1327" s="282"/>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s="163" customFormat="1">
      <c r="A1328" s="282"/>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1:23" s="163" customFormat="1">
      <c r="A1329" s="282"/>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1:23" s="163" customFormat="1">
      <c r="A1330" s="282"/>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1:23" s="163" customFormat="1">
      <c r="A1331" s="282"/>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1:23" s="163" customFormat="1">
      <c r="A1332" s="282"/>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1:23" s="163" customFormat="1">
      <c r="A1333" s="282"/>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1:23" s="163" customFormat="1">
      <c r="A1334" s="282"/>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1:23" s="163" customFormat="1">
      <c r="A1335" s="282"/>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1:23" s="163" customFormat="1">
      <c r="A1336" s="282"/>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1:23" s="163" customFormat="1">
      <c r="A1337" s="282"/>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1:23" s="163" customFormat="1">
      <c r="A1338" s="282"/>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1:23" s="163" customFormat="1">
      <c r="A1339" s="282"/>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1:23" s="163" customFormat="1">
      <c r="A1340" s="282"/>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1:23" s="163" customFormat="1">
      <c r="A1341" s="282"/>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1:23" s="163" customFormat="1">
      <c r="A1342" s="282"/>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1:23" s="163" customFormat="1">
      <c r="A1343" s="282"/>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1:23" s="163" customFormat="1">
      <c r="A1344" s="282"/>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1:23" s="163" customFormat="1">
      <c r="A1345" s="282"/>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1:23" s="163" customFormat="1">
      <c r="A1346" s="282"/>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1:23" s="163" customFormat="1">
      <c r="A1347" s="282"/>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1:23" s="163" customFormat="1">
      <c r="A1348" s="282"/>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1:23" s="163" customFormat="1">
      <c r="A1349" s="282"/>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1:23" s="163" customFormat="1" ht="12.6" thickBot="1">
      <c r="A1350" s="282"/>
      <c r="B1350" s="274"/>
      <c r="C1350" s="275"/>
      <c r="D1350" s="275"/>
      <c r="E1350" s="275"/>
      <c r="F1350" s="275"/>
      <c r="G1350" s="275"/>
      <c r="H1350" s="275"/>
      <c r="I1350" s="275"/>
      <c r="J1350" s="275"/>
      <c r="K1350" s="275"/>
      <c r="L1350" s="275"/>
      <c r="M1350" s="275"/>
      <c r="N1350" s="275"/>
      <c r="O1350" s="275"/>
      <c r="P1350" s="275"/>
      <c r="Q1350" s="275"/>
      <c r="R1350" s="275"/>
      <c r="S1350" s="275"/>
      <c r="T1350" s="275"/>
      <c r="U1350" s="275"/>
      <c r="V1350" s="275"/>
      <c r="W1350" s="276"/>
    </row>
    <row r="1351" spans="1:23">
      <c r="B1351" s="279"/>
      <c r="C1351" s="280"/>
      <c r="D1351" s="280"/>
      <c r="E1351" s="280"/>
      <c r="F1351" s="280"/>
      <c r="G1351" s="280"/>
      <c r="H1351" s="280"/>
      <c r="I1351" s="280"/>
      <c r="J1351" s="280"/>
      <c r="K1351" s="280"/>
      <c r="L1351" s="280"/>
      <c r="M1351" s="280"/>
      <c r="N1351" s="280"/>
      <c r="O1351" s="280"/>
      <c r="P1351" s="280"/>
      <c r="Q1351" s="280"/>
      <c r="R1351" s="280"/>
      <c r="S1351" s="280"/>
      <c r="T1351" s="280"/>
      <c r="U1351" s="280"/>
      <c r="V1351" s="280"/>
      <c r="W1351" s="281"/>
    </row>
    <row r="1352" spans="1: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1: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1: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1: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1: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1: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1: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1: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1: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row r="1519" spans="2:23">
      <c r="B1519" s="268"/>
      <c r="C1519" s="269"/>
      <c r="D1519" s="269"/>
      <c r="E1519" s="269"/>
      <c r="F1519" s="269"/>
      <c r="G1519" s="269"/>
      <c r="H1519" s="269"/>
      <c r="I1519" s="269"/>
      <c r="J1519" s="269"/>
      <c r="K1519" s="269"/>
      <c r="L1519" s="269"/>
      <c r="M1519" s="269"/>
      <c r="N1519" s="269"/>
      <c r="O1519" s="269"/>
      <c r="P1519" s="269"/>
      <c r="Q1519" s="269"/>
      <c r="R1519" s="269"/>
      <c r="S1519" s="269"/>
      <c r="T1519" s="269"/>
      <c r="U1519" s="269"/>
      <c r="V1519" s="269"/>
      <c r="W1519" s="270"/>
    </row>
    <row r="1520" spans="2:23">
      <c r="B1520" s="268"/>
      <c r="C1520" s="269"/>
      <c r="D1520" s="269"/>
      <c r="E1520" s="269"/>
      <c r="F1520" s="269"/>
      <c r="G1520" s="269"/>
      <c r="H1520" s="269"/>
      <c r="I1520" s="269"/>
      <c r="J1520" s="269"/>
      <c r="K1520" s="269"/>
      <c r="L1520" s="269"/>
      <c r="M1520" s="269"/>
      <c r="N1520" s="269"/>
      <c r="O1520" s="269"/>
      <c r="P1520" s="269"/>
      <c r="Q1520" s="269"/>
      <c r="R1520" s="269"/>
      <c r="S1520" s="269"/>
      <c r="T1520" s="269"/>
      <c r="U1520" s="269"/>
      <c r="V1520" s="269"/>
      <c r="W1520" s="270"/>
    </row>
    <row r="1521" spans="2:23">
      <c r="B1521" s="268"/>
      <c r="C1521" s="269"/>
      <c r="D1521" s="269"/>
      <c r="E1521" s="269"/>
      <c r="F1521" s="269"/>
      <c r="G1521" s="269"/>
      <c r="H1521" s="269"/>
      <c r="I1521" s="269"/>
      <c r="J1521" s="269"/>
      <c r="K1521" s="269"/>
      <c r="L1521" s="269"/>
      <c r="M1521" s="269"/>
      <c r="N1521" s="269"/>
      <c r="O1521" s="269"/>
      <c r="P1521" s="269"/>
      <c r="Q1521" s="269"/>
      <c r="R1521" s="269"/>
      <c r="S1521" s="269"/>
      <c r="T1521" s="269"/>
      <c r="U1521" s="269"/>
      <c r="V1521" s="269"/>
      <c r="W1521" s="270"/>
    </row>
    <row r="1522" spans="2:23">
      <c r="B1522" s="268"/>
      <c r="C1522" s="269"/>
      <c r="D1522" s="269"/>
      <c r="E1522" s="269"/>
      <c r="F1522" s="269"/>
      <c r="G1522" s="269"/>
      <c r="H1522" s="269"/>
      <c r="I1522" s="269"/>
      <c r="J1522" s="269"/>
      <c r="K1522" s="269"/>
      <c r="L1522" s="269"/>
      <c r="M1522" s="269"/>
      <c r="N1522" s="269"/>
      <c r="O1522" s="269"/>
      <c r="P1522" s="269"/>
      <c r="Q1522" s="269"/>
      <c r="R1522" s="269"/>
      <c r="S1522" s="269"/>
      <c r="T1522" s="269"/>
      <c r="U1522" s="269"/>
      <c r="V1522" s="269"/>
      <c r="W1522" s="270"/>
    </row>
    <row r="1523" spans="2:23">
      <c r="B1523" s="268"/>
      <c r="C1523" s="269"/>
      <c r="D1523" s="269"/>
      <c r="E1523" s="269"/>
      <c r="F1523" s="269"/>
      <c r="G1523" s="269"/>
      <c r="H1523" s="269"/>
      <c r="I1523" s="269"/>
      <c r="J1523" s="269"/>
      <c r="K1523" s="269"/>
      <c r="L1523" s="269"/>
      <c r="M1523" s="269"/>
      <c r="N1523" s="269"/>
      <c r="O1523" s="269"/>
      <c r="P1523" s="269"/>
      <c r="Q1523" s="269"/>
      <c r="R1523" s="269"/>
      <c r="S1523" s="269"/>
      <c r="T1523" s="269"/>
      <c r="U1523" s="269"/>
      <c r="V1523" s="269"/>
      <c r="W1523" s="270"/>
    </row>
    <row r="1524" spans="2:23">
      <c r="B1524" s="268"/>
      <c r="C1524" s="269"/>
      <c r="D1524" s="269"/>
      <c r="E1524" s="269"/>
      <c r="F1524" s="269"/>
      <c r="G1524" s="269"/>
      <c r="H1524" s="269"/>
      <c r="I1524" s="269"/>
      <c r="J1524" s="269"/>
      <c r="K1524" s="269"/>
      <c r="L1524" s="269"/>
      <c r="M1524" s="269"/>
      <c r="N1524" s="269"/>
      <c r="O1524" s="269"/>
      <c r="P1524" s="269"/>
      <c r="Q1524" s="269"/>
      <c r="R1524" s="269"/>
      <c r="S1524" s="269"/>
      <c r="T1524" s="269"/>
      <c r="U1524" s="269"/>
      <c r="V1524" s="269"/>
      <c r="W1524" s="270"/>
    </row>
    <row r="1525" spans="2:23">
      <c r="B1525" s="268"/>
      <c r="C1525" s="269"/>
      <c r="D1525" s="269"/>
      <c r="E1525" s="269"/>
      <c r="F1525" s="269"/>
      <c r="G1525" s="269"/>
      <c r="H1525" s="269"/>
      <c r="I1525" s="269"/>
      <c r="J1525" s="269"/>
      <c r="K1525" s="269"/>
      <c r="L1525" s="269"/>
      <c r="M1525" s="269"/>
      <c r="N1525" s="269"/>
      <c r="O1525" s="269"/>
      <c r="P1525" s="269"/>
      <c r="Q1525" s="269"/>
      <c r="R1525" s="269"/>
      <c r="S1525" s="269"/>
      <c r="T1525" s="269"/>
      <c r="U1525" s="269"/>
      <c r="V1525" s="269"/>
      <c r="W1525" s="270"/>
    </row>
    <row r="1526" spans="2:23">
      <c r="B1526" s="268"/>
      <c r="C1526" s="269"/>
      <c r="D1526" s="269"/>
      <c r="E1526" s="269"/>
      <c r="F1526" s="269"/>
      <c r="G1526" s="269"/>
      <c r="H1526" s="269"/>
      <c r="I1526" s="269"/>
      <c r="J1526" s="269"/>
      <c r="K1526" s="269"/>
      <c r="L1526" s="269"/>
      <c r="M1526" s="269"/>
      <c r="N1526" s="269"/>
      <c r="O1526" s="269"/>
      <c r="P1526" s="269"/>
      <c r="Q1526" s="269"/>
      <c r="R1526" s="269"/>
      <c r="S1526" s="269"/>
      <c r="T1526" s="269"/>
      <c r="U1526" s="269"/>
      <c r="V1526" s="269"/>
      <c r="W1526" s="270"/>
    </row>
    <row r="1527" spans="2:23">
      <c r="B1527" s="268"/>
      <c r="C1527" s="269"/>
      <c r="D1527" s="269"/>
      <c r="E1527" s="269"/>
      <c r="F1527" s="269"/>
      <c r="G1527" s="269"/>
      <c r="H1527" s="269"/>
      <c r="I1527" s="269"/>
      <c r="J1527" s="269"/>
      <c r="K1527" s="269"/>
      <c r="L1527" s="269"/>
      <c r="M1527" s="269"/>
      <c r="N1527" s="269"/>
      <c r="O1527" s="269"/>
      <c r="P1527" s="269"/>
      <c r="Q1527" s="269"/>
      <c r="R1527" s="269"/>
      <c r="S1527" s="269"/>
      <c r="T1527" s="269"/>
      <c r="U1527" s="269"/>
      <c r="V1527" s="269"/>
      <c r="W1527" s="270"/>
    </row>
    <row r="1528" spans="2:23">
      <c r="B1528" s="268"/>
      <c r="C1528" s="269"/>
      <c r="D1528" s="269"/>
      <c r="E1528" s="269"/>
      <c r="F1528" s="269"/>
      <c r="G1528" s="269"/>
      <c r="H1528" s="269"/>
      <c r="I1528" s="269"/>
      <c r="J1528" s="269"/>
      <c r="K1528" s="269"/>
      <c r="L1528" s="269"/>
      <c r="M1528" s="269"/>
      <c r="N1528" s="269"/>
      <c r="O1528" s="269"/>
      <c r="P1528" s="269"/>
      <c r="Q1528" s="269"/>
      <c r="R1528" s="269"/>
      <c r="S1528" s="269"/>
      <c r="T1528" s="269"/>
      <c r="U1528" s="269"/>
      <c r="V1528" s="269"/>
      <c r="W1528" s="270"/>
    </row>
    <row r="1529" spans="2:23">
      <c r="B1529" s="268"/>
      <c r="C1529" s="269"/>
      <c r="D1529" s="269"/>
      <c r="E1529" s="269"/>
      <c r="F1529" s="269"/>
      <c r="G1529" s="269"/>
      <c r="H1529" s="269"/>
      <c r="I1529" s="269"/>
      <c r="J1529" s="269"/>
      <c r="K1529" s="269"/>
      <c r="L1529" s="269"/>
      <c r="M1529" s="269"/>
      <c r="N1529" s="269"/>
      <c r="O1529" s="269"/>
      <c r="P1529" s="269"/>
      <c r="Q1529" s="269"/>
      <c r="R1529" s="269"/>
      <c r="S1529" s="269"/>
      <c r="T1529" s="269"/>
      <c r="U1529" s="269"/>
      <c r="V1529" s="269"/>
      <c r="W1529" s="270"/>
    </row>
    <row r="1530" spans="2:23">
      <c r="B1530" s="268"/>
      <c r="C1530" s="269"/>
      <c r="D1530" s="269"/>
      <c r="E1530" s="269"/>
      <c r="F1530" s="269"/>
      <c r="G1530" s="269"/>
      <c r="H1530" s="269"/>
      <c r="I1530" s="269"/>
      <c r="J1530" s="269"/>
      <c r="K1530" s="269"/>
      <c r="L1530" s="269"/>
      <c r="M1530" s="269"/>
      <c r="N1530" s="269"/>
      <c r="O1530" s="269"/>
      <c r="P1530" s="269"/>
      <c r="Q1530" s="269"/>
      <c r="R1530" s="269"/>
      <c r="S1530" s="269"/>
      <c r="T1530" s="269"/>
      <c r="U1530" s="269"/>
      <c r="V1530" s="269"/>
      <c r="W1530" s="270"/>
    </row>
    <row r="1531" spans="2:23">
      <c r="B1531" s="268"/>
      <c r="C1531" s="269"/>
      <c r="D1531" s="269"/>
      <c r="E1531" s="269"/>
      <c r="F1531" s="269"/>
      <c r="G1531" s="269"/>
      <c r="H1531" s="269"/>
      <c r="I1531" s="269"/>
      <c r="J1531" s="269"/>
      <c r="K1531" s="269"/>
      <c r="L1531" s="269"/>
      <c r="M1531" s="269"/>
      <c r="N1531" s="269"/>
      <c r="O1531" s="269"/>
      <c r="P1531" s="269"/>
      <c r="Q1531" s="269"/>
      <c r="R1531" s="269"/>
      <c r="S1531" s="269"/>
      <c r="T1531" s="269"/>
      <c r="U1531" s="269"/>
      <c r="V1531" s="269"/>
      <c r="W1531" s="270"/>
    </row>
    <row r="1532" spans="2:23">
      <c r="B1532" s="268"/>
      <c r="C1532" s="269"/>
      <c r="D1532" s="269"/>
      <c r="E1532" s="269"/>
      <c r="F1532" s="269"/>
      <c r="G1532" s="269"/>
      <c r="H1532" s="269"/>
      <c r="I1532" s="269"/>
      <c r="J1532" s="269"/>
      <c r="K1532" s="269"/>
      <c r="L1532" s="269"/>
      <c r="M1532" s="269"/>
      <c r="N1532" s="269"/>
      <c r="O1532" s="269"/>
      <c r="P1532" s="269"/>
      <c r="Q1532" s="269"/>
      <c r="R1532" s="269"/>
      <c r="S1532" s="269"/>
      <c r="T1532" s="269"/>
      <c r="U1532" s="269"/>
      <c r="V1532" s="269"/>
      <c r="W1532" s="270"/>
    </row>
    <row r="1533" spans="2:23">
      <c r="B1533" s="268"/>
      <c r="C1533" s="269"/>
      <c r="D1533" s="269"/>
      <c r="E1533" s="269"/>
      <c r="F1533" s="269"/>
      <c r="G1533" s="269"/>
      <c r="H1533" s="269"/>
      <c r="I1533" s="269"/>
      <c r="J1533" s="269"/>
      <c r="K1533" s="269"/>
      <c r="L1533" s="269"/>
      <c r="M1533" s="269"/>
      <c r="N1533" s="269"/>
      <c r="O1533" s="269"/>
      <c r="P1533" s="269"/>
      <c r="Q1533" s="269"/>
      <c r="R1533" s="269"/>
      <c r="S1533" s="269"/>
      <c r="T1533" s="269"/>
      <c r="U1533" s="269"/>
      <c r="V1533" s="269"/>
      <c r="W1533" s="270"/>
    </row>
    <row r="1534" spans="2:23">
      <c r="B1534" s="268"/>
      <c r="C1534" s="269"/>
      <c r="D1534" s="269"/>
      <c r="E1534" s="269"/>
      <c r="F1534" s="269"/>
      <c r="G1534" s="269"/>
      <c r="H1534" s="269"/>
      <c r="I1534" s="269"/>
      <c r="J1534" s="269"/>
      <c r="K1534" s="269"/>
      <c r="L1534" s="269"/>
      <c r="M1534" s="269"/>
      <c r="N1534" s="269"/>
      <c r="O1534" s="269"/>
      <c r="P1534" s="269"/>
      <c r="Q1534" s="269"/>
      <c r="R1534" s="269"/>
      <c r="S1534" s="269"/>
      <c r="T1534" s="269"/>
      <c r="U1534" s="269"/>
      <c r="V1534" s="269"/>
      <c r="W1534" s="270"/>
    </row>
    <row r="1535" spans="2:23">
      <c r="B1535" s="268"/>
      <c r="C1535" s="269"/>
      <c r="D1535" s="269"/>
      <c r="E1535" s="269"/>
      <c r="F1535" s="269"/>
      <c r="G1535" s="269"/>
      <c r="H1535" s="269"/>
      <c r="I1535" s="269"/>
      <c r="J1535" s="269"/>
      <c r="K1535" s="269"/>
      <c r="L1535" s="269"/>
      <c r="M1535" s="269"/>
      <c r="N1535" s="269"/>
      <c r="O1535" s="269"/>
      <c r="P1535" s="269"/>
      <c r="Q1535" s="269"/>
      <c r="R1535" s="269"/>
      <c r="S1535" s="269"/>
      <c r="T1535" s="269"/>
      <c r="U1535" s="269"/>
      <c r="V1535" s="269"/>
      <c r="W1535" s="270"/>
    </row>
    <row r="1536" spans="2:23">
      <c r="B1536" s="268"/>
      <c r="C1536" s="269"/>
      <c r="D1536" s="269"/>
      <c r="E1536" s="269"/>
      <c r="F1536" s="269"/>
      <c r="G1536" s="269"/>
      <c r="H1536" s="269"/>
      <c r="I1536" s="269"/>
      <c r="J1536" s="269"/>
      <c r="K1536" s="269"/>
      <c r="L1536" s="269"/>
      <c r="M1536" s="269"/>
      <c r="N1536" s="269"/>
      <c r="O1536" s="269"/>
      <c r="P1536" s="269"/>
      <c r="Q1536" s="269"/>
      <c r="R1536" s="269"/>
      <c r="S1536" s="269"/>
      <c r="T1536" s="269"/>
      <c r="U1536" s="269"/>
      <c r="V1536" s="269"/>
      <c r="W1536" s="270"/>
    </row>
    <row r="1537" spans="2:23">
      <c r="B1537" s="268"/>
      <c r="C1537" s="269"/>
      <c r="D1537" s="269"/>
      <c r="E1537" s="269"/>
      <c r="F1537" s="269"/>
      <c r="G1537" s="269"/>
      <c r="H1537" s="269"/>
      <c r="I1537" s="269"/>
      <c r="J1537" s="269"/>
      <c r="K1537" s="269"/>
      <c r="L1537" s="269"/>
      <c r="M1537" s="269"/>
      <c r="N1537" s="269"/>
      <c r="O1537" s="269"/>
      <c r="P1537" s="269"/>
      <c r="Q1537" s="269"/>
      <c r="R1537" s="269"/>
      <c r="S1537" s="269"/>
      <c r="T1537" s="269"/>
      <c r="U1537" s="269"/>
      <c r="V1537" s="269"/>
      <c r="W1537" s="270"/>
    </row>
    <row r="1538" spans="2:23">
      <c r="B1538" s="268"/>
      <c r="C1538" s="269"/>
      <c r="D1538" s="269"/>
      <c r="E1538" s="269"/>
      <c r="F1538" s="269"/>
      <c r="G1538" s="269"/>
      <c r="H1538" s="269"/>
      <c r="I1538" s="269"/>
      <c r="J1538" s="269"/>
      <c r="K1538" s="269"/>
      <c r="L1538" s="269"/>
      <c r="M1538" s="269"/>
      <c r="N1538" s="269"/>
      <c r="O1538" s="269"/>
      <c r="P1538" s="269"/>
      <c r="Q1538" s="269"/>
      <c r="R1538" s="269"/>
      <c r="S1538" s="269"/>
      <c r="T1538" s="269"/>
      <c r="U1538" s="269"/>
      <c r="V1538" s="269"/>
      <c r="W1538" s="270"/>
    </row>
    <row r="1539" spans="2:23">
      <c r="B1539" s="268"/>
      <c r="C1539" s="269"/>
      <c r="D1539" s="269"/>
      <c r="E1539" s="269"/>
      <c r="F1539" s="269"/>
      <c r="G1539" s="269"/>
      <c r="H1539" s="269"/>
      <c r="I1539" s="269"/>
      <c r="J1539" s="269"/>
      <c r="K1539" s="269"/>
      <c r="L1539" s="269"/>
      <c r="M1539" s="269"/>
      <c r="N1539" s="269"/>
      <c r="O1539" s="269"/>
      <c r="P1539" s="269"/>
      <c r="Q1539" s="269"/>
      <c r="R1539" s="269"/>
      <c r="S1539" s="269"/>
      <c r="T1539" s="269"/>
      <c r="U1539" s="269"/>
      <c r="V1539" s="269"/>
      <c r="W1539" s="270"/>
    </row>
    <row r="1540" spans="2:23">
      <c r="B1540" s="268"/>
      <c r="C1540" s="269"/>
      <c r="D1540" s="269"/>
      <c r="E1540" s="269"/>
      <c r="F1540" s="269"/>
      <c r="G1540" s="269"/>
      <c r="H1540" s="269"/>
      <c r="I1540" s="269"/>
      <c r="J1540" s="269"/>
      <c r="K1540" s="269"/>
      <c r="L1540" s="269"/>
      <c r="M1540" s="269"/>
      <c r="N1540" s="269"/>
      <c r="O1540" s="269"/>
      <c r="P1540" s="269"/>
      <c r="Q1540" s="269"/>
      <c r="R1540" s="269"/>
      <c r="S1540" s="269"/>
      <c r="T1540" s="269"/>
      <c r="U1540" s="269"/>
      <c r="V1540" s="269"/>
      <c r="W1540" s="270"/>
    </row>
    <row r="1541" spans="2:23">
      <c r="B1541" s="268"/>
      <c r="C1541" s="269"/>
      <c r="D1541" s="269"/>
      <c r="E1541" s="269"/>
      <c r="F1541" s="269"/>
      <c r="G1541" s="269"/>
      <c r="H1541" s="269"/>
      <c r="I1541" s="269"/>
      <c r="J1541" s="269"/>
      <c r="K1541" s="269"/>
      <c r="L1541" s="269"/>
      <c r="M1541" s="269"/>
      <c r="N1541" s="269"/>
      <c r="O1541" s="269"/>
      <c r="P1541" s="269"/>
      <c r="Q1541" s="269"/>
      <c r="R1541" s="269"/>
      <c r="S1541" s="269"/>
      <c r="T1541" s="269"/>
      <c r="U1541" s="269"/>
      <c r="V1541" s="269"/>
      <c r="W1541" s="270"/>
    </row>
    <row r="1542" spans="2:23">
      <c r="B1542" s="268"/>
      <c r="C1542" s="269"/>
      <c r="D1542" s="269"/>
      <c r="E1542" s="269"/>
      <c r="F1542" s="269"/>
      <c r="G1542" s="269"/>
      <c r="H1542" s="269"/>
      <c r="I1542" s="269"/>
      <c r="J1542" s="269"/>
      <c r="K1542" s="269"/>
      <c r="L1542" s="269"/>
      <c r="M1542" s="269"/>
      <c r="N1542" s="269"/>
      <c r="O1542" s="269"/>
      <c r="P1542" s="269"/>
      <c r="Q1542" s="269"/>
      <c r="R1542" s="269"/>
      <c r="S1542" s="269"/>
      <c r="T1542" s="269"/>
      <c r="U1542" s="269"/>
      <c r="V1542" s="269"/>
      <c r="W1542" s="270"/>
    </row>
    <row r="1543" spans="2:23">
      <c r="B1543" s="268"/>
      <c r="C1543" s="269"/>
      <c r="D1543" s="269"/>
      <c r="E1543" s="269"/>
      <c r="F1543" s="269"/>
      <c r="G1543" s="269"/>
      <c r="H1543" s="269"/>
      <c r="I1543" s="269"/>
      <c r="J1543" s="269"/>
      <c r="K1543" s="269"/>
      <c r="L1543" s="269"/>
      <c r="M1543" s="269"/>
      <c r="N1543" s="269"/>
      <c r="O1543" s="269"/>
      <c r="P1543" s="269"/>
      <c r="Q1543" s="269"/>
      <c r="R1543" s="269"/>
      <c r="S1543" s="269"/>
      <c r="T1543" s="269"/>
      <c r="U1543" s="269"/>
      <c r="V1543" s="269"/>
      <c r="W1543" s="270"/>
    </row>
    <row r="1544" spans="2:23">
      <c r="B1544" s="268"/>
      <c r="C1544" s="269"/>
      <c r="D1544" s="269"/>
      <c r="E1544" s="269"/>
      <c r="F1544" s="269"/>
      <c r="G1544" s="269"/>
      <c r="H1544" s="269"/>
      <c r="I1544" s="269"/>
      <c r="J1544" s="269"/>
      <c r="K1544" s="269"/>
      <c r="L1544" s="269"/>
      <c r="M1544" s="269"/>
      <c r="N1544" s="269"/>
      <c r="O1544" s="269"/>
      <c r="P1544" s="269"/>
      <c r="Q1544" s="269"/>
      <c r="R1544" s="269"/>
      <c r="S1544" s="269"/>
      <c r="T1544" s="269"/>
      <c r="U1544" s="269"/>
      <c r="V1544" s="269"/>
      <c r="W1544" s="270"/>
    </row>
    <row r="1545" spans="2:23">
      <c r="B1545" s="268"/>
      <c r="C1545" s="269"/>
      <c r="D1545" s="269"/>
      <c r="E1545" s="269"/>
      <c r="F1545" s="269"/>
      <c r="G1545" s="269"/>
      <c r="H1545" s="269"/>
      <c r="I1545" s="269"/>
      <c r="J1545" s="269"/>
      <c r="K1545" s="269"/>
      <c r="L1545" s="269"/>
      <c r="M1545" s="269"/>
      <c r="N1545" s="269"/>
      <c r="O1545" s="269"/>
      <c r="P1545" s="269"/>
      <c r="Q1545" s="269"/>
      <c r="R1545" s="269"/>
      <c r="S1545" s="269"/>
      <c r="T1545" s="269"/>
      <c r="U1545" s="269"/>
      <c r="V1545" s="269"/>
      <c r="W1545" s="270"/>
    </row>
    <row r="1546" spans="2:23">
      <c r="B1546" s="268"/>
      <c r="C1546" s="269"/>
      <c r="D1546" s="269"/>
      <c r="E1546" s="269"/>
      <c r="F1546" s="269"/>
      <c r="G1546" s="269"/>
      <c r="H1546" s="269"/>
      <c r="I1546" s="269"/>
      <c r="J1546" s="269"/>
      <c r="K1546" s="269"/>
      <c r="L1546" s="269"/>
      <c r="M1546" s="269"/>
      <c r="N1546" s="269"/>
      <c r="O1546" s="269"/>
      <c r="P1546" s="269"/>
      <c r="Q1546" s="269"/>
      <c r="R1546" s="269"/>
      <c r="S1546" s="269"/>
      <c r="T1546" s="269"/>
      <c r="U1546" s="269"/>
      <c r="V1546" s="269"/>
      <c r="W1546" s="270"/>
    </row>
    <row r="1547" spans="2:23">
      <c r="B1547" s="268"/>
      <c r="C1547" s="269"/>
      <c r="D1547" s="269"/>
      <c r="E1547" s="269"/>
      <c r="F1547" s="269"/>
      <c r="G1547" s="269"/>
      <c r="H1547" s="269"/>
      <c r="I1547" s="269"/>
      <c r="J1547" s="269"/>
      <c r="K1547" s="269"/>
      <c r="L1547" s="269"/>
      <c r="M1547" s="269"/>
      <c r="N1547" s="269"/>
      <c r="O1547" s="269"/>
      <c r="P1547" s="269"/>
      <c r="Q1547" s="269"/>
      <c r="R1547" s="269"/>
      <c r="S1547" s="269"/>
      <c r="T1547" s="269"/>
      <c r="U1547" s="269"/>
      <c r="V1547" s="269"/>
      <c r="W1547" s="270"/>
    </row>
    <row r="1548" spans="2:23">
      <c r="B1548" s="268"/>
      <c r="C1548" s="269"/>
      <c r="D1548" s="269"/>
      <c r="E1548" s="269"/>
      <c r="F1548" s="269"/>
      <c r="G1548" s="269"/>
      <c r="H1548" s="269"/>
      <c r="I1548" s="269"/>
      <c r="J1548" s="269"/>
      <c r="K1548" s="269"/>
      <c r="L1548" s="269"/>
      <c r="M1548" s="269"/>
      <c r="N1548" s="269"/>
      <c r="O1548" s="269"/>
      <c r="P1548" s="269"/>
      <c r="Q1548" s="269"/>
      <c r="R1548" s="269"/>
      <c r="S1548" s="269"/>
      <c r="T1548" s="269"/>
      <c r="U1548" s="269"/>
      <c r="V1548" s="269"/>
      <c r="W1548" s="270"/>
    </row>
    <row r="1549" spans="2:23">
      <c r="B1549" s="268"/>
      <c r="C1549" s="269"/>
      <c r="D1549" s="269"/>
      <c r="E1549" s="269"/>
      <c r="F1549" s="269"/>
      <c r="G1549" s="269"/>
      <c r="H1549" s="269"/>
      <c r="I1549" s="269"/>
      <c r="J1549" s="269"/>
      <c r="K1549" s="269"/>
      <c r="L1549" s="269"/>
      <c r="M1549" s="269"/>
      <c r="N1549" s="269"/>
      <c r="O1549" s="269"/>
      <c r="P1549" s="269"/>
      <c r="Q1549" s="269"/>
      <c r="R1549" s="269"/>
      <c r="S1549" s="269"/>
      <c r="T1549" s="269"/>
      <c r="U1549" s="269"/>
      <c r="V1549" s="269"/>
      <c r="W1549" s="270"/>
    </row>
    <row r="1550" spans="2:23">
      <c r="B1550" s="268"/>
      <c r="C1550" s="269"/>
      <c r="D1550" s="269"/>
      <c r="E1550" s="269"/>
      <c r="F1550" s="269"/>
      <c r="G1550" s="269"/>
      <c r="H1550" s="269"/>
      <c r="I1550" s="269"/>
      <c r="J1550" s="269"/>
      <c r="K1550" s="269"/>
      <c r="L1550" s="269"/>
      <c r="M1550" s="269"/>
      <c r="N1550" s="269"/>
      <c r="O1550" s="269"/>
      <c r="P1550" s="269"/>
      <c r="Q1550" s="269"/>
      <c r="R1550" s="269"/>
      <c r="S1550" s="269"/>
      <c r="T1550" s="269"/>
      <c r="U1550" s="269"/>
      <c r="V1550" s="269"/>
      <c r="W1550" s="270"/>
    </row>
  </sheetData>
  <sheetProtection algorithmName="SHA-512" hashValue="qEgKiZm50XztphbeGfQsPUAfljeC9q9VsfO90GMq8tJnKxorjmwM+o0do64baoEbT0A7cZdYfV0+4JHjunn7EQ==" saltValue="O1IzrKul8ccdJfbMNGH6wg==" spinCount="100000" sheet="1" objects="1" scenarios="1" formatColumns="0" formatRows="0" autoFilter="0"/>
  <autoFilter ref="A6:W1550" xr:uid="{00000000-0001-0000-0000-000000000000}"/>
  <phoneticPr fontId="6"/>
  <dataValidations count="6">
    <dataValidation type="list" allowBlank="1" showInputMessage="1" showErrorMessage="1" sqref="H7:H1550 E7:E1550" xr:uid="{00000000-0002-0000-0000-000000000000}">
      <formula1>"Y,N"</formula1>
    </dataValidation>
    <dataValidation type="list" allowBlank="1" showInputMessage="1" showErrorMessage="1" sqref="J7:J1550" xr:uid="{00000000-0002-0000-0000-000001000000}">
      <formula1>"C,P"</formula1>
    </dataValidation>
    <dataValidation type="list" allowBlank="1" showInputMessage="1" showErrorMessage="1" sqref="O7:R1550 T7:T1550" xr:uid="{00000000-0002-0000-0000-000002000000}">
      <formula1>"Y"</formula1>
    </dataValidation>
    <dataValidation type="list" allowBlank="1" showInputMessage="1" showErrorMessage="1" sqref="W7:W1550" xr:uid="{00000000-0002-0000-0000-000003000000}">
      <formula1>"1:変更,2:追加,-:データあり"</formula1>
    </dataValidation>
    <dataValidation type="list" allowBlank="1" showInputMessage="1" showErrorMessage="1" sqref="B6:W6" xr:uid="{00000000-0002-0000-0000-000004000000}">
      <formula1>"必須,条件付き必須,任意"</formula1>
    </dataValidation>
    <dataValidation type="list" allowBlank="1" showInputMessage="1" showErrorMessage="1" sqref="I7:I1550" xr:uid="{00000000-0002-0000-0000-000005000000}">
      <formula1>"1,2,3,4,5,6,7,8,9"</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620" r:id="rId4" name="Button 260">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リスト!$A$2:$A$95</xm:f>
          </x14:formula1>
          <xm:sqref>S30:S1550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Y28"/>
  <sheetViews>
    <sheetView zoomScale="85" zoomScaleNormal="85" zoomScaleSheetLayoutView="75" workbookViewId="0">
      <pane xSplit="2" ySplit="5" topLeftCell="F18" activePane="bottomRight" state="frozen"/>
      <selection pane="topRight" activeCell="C1" sqref="C1"/>
      <selection pane="bottomLeft" activeCell="A6" sqref="A6"/>
      <selection pane="bottomRight" activeCell="H19" sqref="H19"/>
    </sheetView>
  </sheetViews>
  <sheetFormatPr defaultColWidth="9" defaultRowHeight="12"/>
  <cols>
    <col min="1" max="1" width="5.6640625" style="1" customWidth="1"/>
    <col min="2" max="2" width="26.77734375" style="91" customWidth="1"/>
    <col min="3" max="3" width="22" style="91" bestFit="1" customWidth="1"/>
    <col min="4" max="5" width="15.6640625" style="91" customWidth="1"/>
    <col min="6" max="6" width="16.44140625" style="91" customWidth="1"/>
    <col min="7" max="7" width="18.44140625" style="91" customWidth="1"/>
    <col min="8" max="8" width="51.44140625" style="91" customWidth="1"/>
    <col min="9" max="9" width="18.44140625" style="91" customWidth="1"/>
    <col min="10" max="10" width="41.6640625" style="89" customWidth="1"/>
    <col min="11" max="11" width="50.6640625" style="90" customWidth="1"/>
    <col min="12" max="13" width="30.6640625" style="91" customWidth="1"/>
    <col min="14" max="14" width="11.21875" style="91" customWidth="1"/>
    <col min="15" max="15" width="17.21875" style="91" customWidth="1"/>
    <col min="16" max="16" width="30.6640625" style="91" customWidth="1"/>
    <col min="17" max="17" width="20.6640625" style="91" customWidth="1"/>
    <col min="18" max="19" width="21" style="91" bestFit="1" customWidth="1"/>
    <col min="20" max="20" width="22.88671875" style="91" customWidth="1"/>
    <col min="21" max="21" width="21.109375" style="91" bestFit="1" customWidth="1"/>
    <col min="22" max="22" width="22.88671875" style="91" customWidth="1"/>
    <col min="23" max="23" width="19.77734375" style="88" customWidth="1"/>
    <col min="24" max="24" width="23.88671875" style="88" customWidth="1"/>
    <col min="25" max="25" width="20" style="88" customWidth="1"/>
    <col min="26" max="26" width="28.44140625" style="88" customWidth="1"/>
    <col min="27" max="16384" width="9" style="88"/>
  </cols>
  <sheetData>
    <row r="1" spans="1:17" ht="25.5" customHeight="1">
      <c r="B1" s="88"/>
      <c r="C1" s="88"/>
      <c r="D1" s="88"/>
      <c r="E1" s="88"/>
      <c r="F1" s="88"/>
      <c r="G1" s="88"/>
      <c r="H1" s="88"/>
      <c r="I1" s="88"/>
      <c r="L1" s="88"/>
      <c r="M1" s="88"/>
      <c r="N1" s="88"/>
      <c r="O1" s="88"/>
      <c r="P1" s="88"/>
      <c r="Q1" s="88"/>
    </row>
    <row r="2" spans="1:17" ht="25.5" customHeight="1">
      <c r="B2" s="88"/>
      <c r="C2" s="88"/>
      <c r="D2" s="88"/>
      <c r="E2" s="88"/>
      <c r="F2" s="88"/>
      <c r="G2" s="88"/>
      <c r="H2" s="88"/>
      <c r="I2" s="88"/>
      <c r="L2" s="88"/>
      <c r="M2" s="88"/>
      <c r="N2" s="88"/>
      <c r="O2" s="88"/>
      <c r="P2" s="88"/>
      <c r="Q2" s="88"/>
    </row>
    <row r="3" spans="1:17" ht="25.5" customHeight="1">
      <c r="B3" s="88"/>
      <c r="C3" s="88"/>
      <c r="D3" s="88"/>
      <c r="E3" s="88"/>
      <c r="F3" s="88"/>
      <c r="G3" s="88"/>
      <c r="H3" s="88"/>
      <c r="I3" s="88"/>
      <c r="L3" s="88"/>
      <c r="M3" s="88"/>
      <c r="N3" s="88"/>
      <c r="O3" s="88"/>
      <c r="P3" s="88"/>
      <c r="Q3" s="88"/>
    </row>
    <row r="4" spans="1:17" ht="25.5" customHeight="1" thickBot="1">
      <c r="B4" s="88"/>
      <c r="C4" s="88"/>
      <c r="D4" s="88"/>
      <c r="E4" s="88"/>
      <c r="F4" s="88"/>
      <c r="G4" s="88"/>
      <c r="H4" s="88"/>
      <c r="I4" s="88"/>
      <c r="L4" s="88"/>
      <c r="M4" s="88"/>
      <c r="N4" s="88"/>
      <c r="O4" s="88"/>
      <c r="P4" s="88"/>
      <c r="Q4" s="88"/>
    </row>
    <row r="5" spans="1:17" ht="12.6" thickBot="1">
      <c r="A5" s="92" t="s">
        <v>40</v>
      </c>
      <c r="B5" s="93" t="s">
        <v>123</v>
      </c>
      <c r="C5" s="94" t="s">
        <v>125</v>
      </c>
      <c r="D5" s="95" t="s">
        <v>24</v>
      </c>
      <c r="E5" s="96" t="s">
        <v>25</v>
      </c>
      <c r="F5" s="96" t="s">
        <v>26</v>
      </c>
      <c r="G5" s="97" t="s">
        <v>27</v>
      </c>
      <c r="H5" s="97" t="s">
        <v>28</v>
      </c>
      <c r="I5" s="98" t="s">
        <v>41</v>
      </c>
      <c r="J5" s="99" t="s">
        <v>114</v>
      </c>
      <c r="K5" s="98" t="s">
        <v>115</v>
      </c>
      <c r="L5" s="93" t="s">
        <v>116</v>
      </c>
      <c r="M5" s="93" t="s">
        <v>117</v>
      </c>
      <c r="N5" s="290" t="s">
        <v>29</v>
      </c>
      <c r="O5" s="291"/>
      <c r="P5" s="292"/>
      <c r="Q5" s="100" t="s">
        <v>128</v>
      </c>
    </row>
    <row r="6" spans="1:17" s="89" customFormat="1" ht="48.6" thickTop="1">
      <c r="A6" s="117"/>
      <c r="B6" s="118" t="s">
        <v>124</v>
      </c>
      <c r="C6" s="119" t="s">
        <v>122</v>
      </c>
      <c r="D6" s="120" t="s">
        <v>191</v>
      </c>
      <c r="E6" s="118" t="s">
        <v>121</v>
      </c>
      <c r="F6" s="118" t="s">
        <v>30</v>
      </c>
      <c r="G6" s="118" t="s">
        <v>30</v>
      </c>
      <c r="H6" s="118" t="s">
        <v>31</v>
      </c>
      <c r="I6" s="120" t="s">
        <v>42</v>
      </c>
      <c r="J6" s="118" t="s">
        <v>118</v>
      </c>
      <c r="K6" s="118" t="s">
        <v>119</v>
      </c>
      <c r="L6" s="120" t="s">
        <v>32</v>
      </c>
      <c r="M6" s="119" t="s">
        <v>120</v>
      </c>
      <c r="N6" s="120" t="s">
        <v>33</v>
      </c>
      <c r="O6" s="120" t="s">
        <v>34</v>
      </c>
      <c r="P6" s="120" t="s">
        <v>35</v>
      </c>
      <c r="Q6" s="121" t="s">
        <v>129</v>
      </c>
    </row>
    <row r="7" spans="1:17" ht="21.75" customHeight="1">
      <c r="A7" s="101">
        <v>1</v>
      </c>
      <c r="B7" s="78" t="s">
        <v>494</v>
      </c>
      <c r="C7" s="102" t="s">
        <v>36</v>
      </c>
      <c r="D7" s="102">
        <v>4</v>
      </c>
      <c r="E7" s="102" t="s">
        <v>127</v>
      </c>
      <c r="F7" s="102" t="s">
        <v>38</v>
      </c>
      <c r="G7" s="102" t="s">
        <v>38</v>
      </c>
      <c r="H7" s="116" t="s">
        <v>493</v>
      </c>
      <c r="I7" s="102" t="s">
        <v>38</v>
      </c>
      <c r="J7" s="103"/>
      <c r="K7" s="103" t="s">
        <v>200</v>
      </c>
      <c r="L7" s="104"/>
      <c r="M7" s="103" t="s">
        <v>195</v>
      </c>
      <c r="N7" s="104"/>
      <c r="O7" s="103" t="s">
        <v>523</v>
      </c>
      <c r="P7" s="103"/>
      <c r="Q7" s="105" t="s">
        <v>524</v>
      </c>
    </row>
    <row r="8" spans="1:17" ht="21.75" customHeight="1">
      <c r="A8" s="101">
        <v>2</v>
      </c>
      <c r="B8" s="78" t="s">
        <v>495</v>
      </c>
      <c r="C8" s="102" t="s">
        <v>36</v>
      </c>
      <c r="D8" s="102">
        <v>10</v>
      </c>
      <c r="E8" s="102" t="s">
        <v>127</v>
      </c>
      <c r="F8" s="102" t="s">
        <v>37</v>
      </c>
      <c r="G8" s="102" t="s">
        <v>38</v>
      </c>
      <c r="H8" s="103" t="s">
        <v>512</v>
      </c>
      <c r="I8" s="102" t="s">
        <v>38</v>
      </c>
      <c r="J8" s="103"/>
      <c r="K8" s="103" t="s">
        <v>205</v>
      </c>
      <c r="L8" s="104"/>
      <c r="M8" s="103">
        <v>1111100000</v>
      </c>
      <c r="N8" s="104"/>
      <c r="O8" s="103"/>
      <c r="P8" s="103"/>
      <c r="Q8" s="105" t="s">
        <v>524</v>
      </c>
    </row>
    <row r="9" spans="1:17" ht="21.75" customHeight="1">
      <c r="A9" s="101">
        <v>3</v>
      </c>
      <c r="B9" s="78" t="s">
        <v>496</v>
      </c>
      <c r="C9" s="102" t="s">
        <v>39</v>
      </c>
      <c r="D9" s="102" t="s">
        <v>729</v>
      </c>
      <c r="E9" s="102" t="s">
        <v>127</v>
      </c>
      <c r="F9" s="102" t="s">
        <v>38</v>
      </c>
      <c r="G9" s="102" t="s">
        <v>38</v>
      </c>
      <c r="H9" s="116" t="s">
        <v>493</v>
      </c>
      <c r="I9" s="102" t="s">
        <v>37</v>
      </c>
      <c r="J9" s="103"/>
      <c r="K9" s="103" t="s">
        <v>525</v>
      </c>
      <c r="L9" s="104"/>
      <c r="M9" s="103" t="s">
        <v>491</v>
      </c>
      <c r="N9" s="104"/>
      <c r="O9" s="103"/>
      <c r="P9" s="103"/>
      <c r="Q9" s="105" t="s">
        <v>524</v>
      </c>
    </row>
    <row r="10" spans="1:17" ht="21.75" customHeight="1">
      <c r="A10" s="101">
        <v>4</v>
      </c>
      <c r="B10" s="78" t="s">
        <v>497</v>
      </c>
      <c r="C10" s="102" t="s">
        <v>36</v>
      </c>
      <c r="D10" s="102">
        <v>1</v>
      </c>
      <c r="E10" s="102" t="s">
        <v>127</v>
      </c>
      <c r="F10" s="102" t="s">
        <v>38</v>
      </c>
      <c r="G10" s="102" t="s">
        <v>38</v>
      </c>
      <c r="H10" s="116" t="s">
        <v>493</v>
      </c>
      <c r="I10" s="102" t="s">
        <v>38</v>
      </c>
      <c r="J10" s="103" t="s">
        <v>217</v>
      </c>
      <c r="K10" s="103" t="s">
        <v>218</v>
      </c>
      <c r="L10" s="104" t="s">
        <v>526</v>
      </c>
      <c r="M10" s="103" t="s">
        <v>194</v>
      </c>
      <c r="N10" s="104"/>
      <c r="O10" s="103"/>
      <c r="P10" s="103"/>
      <c r="Q10" s="105" t="s">
        <v>524</v>
      </c>
    </row>
    <row r="11" spans="1:17" ht="78" customHeight="1">
      <c r="A11" s="101">
        <v>5</v>
      </c>
      <c r="B11" s="78" t="s">
        <v>498</v>
      </c>
      <c r="C11" s="102" t="s">
        <v>235</v>
      </c>
      <c r="D11" s="102">
        <v>8</v>
      </c>
      <c r="E11" s="102" t="s">
        <v>199</v>
      </c>
      <c r="F11" s="102" t="s">
        <v>38</v>
      </c>
      <c r="G11" s="102" t="s">
        <v>38</v>
      </c>
      <c r="H11" s="116" t="s">
        <v>746</v>
      </c>
      <c r="I11" s="102" t="s">
        <v>38</v>
      </c>
      <c r="J11" s="103" t="s">
        <v>217</v>
      </c>
      <c r="K11" s="103" t="s">
        <v>527</v>
      </c>
      <c r="L11" s="104"/>
      <c r="M11" s="103">
        <v>20230401</v>
      </c>
      <c r="N11" s="104"/>
      <c r="O11" s="103"/>
      <c r="P11" s="103"/>
      <c r="Q11" s="105" t="s">
        <v>524</v>
      </c>
    </row>
    <row r="12" spans="1:17" ht="44.25" customHeight="1">
      <c r="A12" s="101">
        <v>6</v>
      </c>
      <c r="B12" s="78" t="s">
        <v>499</v>
      </c>
      <c r="C12" s="102" t="s">
        <v>235</v>
      </c>
      <c r="D12" s="102">
        <v>8</v>
      </c>
      <c r="E12" s="102" t="s">
        <v>126</v>
      </c>
      <c r="F12" s="102" t="s">
        <v>38</v>
      </c>
      <c r="G12" s="102" t="s">
        <v>37</v>
      </c>
      <c r="H12" s="116" t="s">
        <v>513</v>
      </c>
      <c r="I12" s="102" t="s">
        <v>38</v>
      </c>
      <c r="J12" s="103" t="s">
        <v>217</v>
      </c>
      <c r="K12" s="103" t="s">
        <v>528</v>
      </c>
      <c r="L12" s="104"/>
      <c r="M12" s="103"/>
      <c r="N12" s="104"/>
      <c r="O12" s="103"/>
      <c r="P12" s="103"/>
      <c r="Q12" s="105" t="s">
        <v>524</v>
      </c>
    </row>
    <row r="13" spans="1:17" ht="48" customHeight="1">
      <c r="A13" s="101">
        <v>7</v>
      </c>
      <c r="B13" s="78" t="s">
        <v>197</v>
      </c>
      <c r="C13" s="102" t="s">
        <v>36</v>
      </c>
      <c r="D13" s="102">
        <v>1</v>
      </c>
      <c r="E13" s="102" t="s">
        <v>127</v>
      </c>
      <c r="F13" s="102" t="s">
        <v>38</v>
      </c>
      <c r="G13" s="102" t="s">
        <v>38</v>
      </c>
      <c r="H13" s="116" t="s">
        <v>493</v>
      </c>
      <c r="I13" s="102" t="s">
        <v>38</v>
      </c>
      <c r="J13" s="103" t="s">
        <v>219</v>
      </c>
      <c r="K13" s="103" t="s">
        <v>529</v>
      </c>
      <c r="L13" s="104" t="s">
        <v>526</v>
      </c>
      <c r="M13" s="103" t="s">
        <v>194</v>
      </c>
      <c r="N13" s="104"/>
      <c r="O13" s="103"/>
      <c r="P13" s="103"/>
      <c r="Q13" s="105" t="s">
        <v>524</v>
      </c>
    </row>
    <row r="14" spans="1:17" ht="26.25" customHeight="1">
      <c r="A14" s="101">
        <v>8</v>
      </c>
      <c r="B14" s="78" t="s">
        <v>198</v>
      </c>
      <c r="C14" s="102" t="s">
        <v>500</v>
      </c>
      <c r="D14" s="102">
        <v>1</v>
      </c>
      <c r="E14" s="102" t="s">
        <v>126</v>
      </c>
      <c r="F14" s="102" t="s">
        <v>38</v>
      </c>
      <c r="G14" s="102" t="s">
        <v>38</v>
      </c>
      <c r="H14" s="116" t="s">
        <v>493</v>
      </c>
      <c r="I14" s="102" t="s">
        <v>38</v>
      </c>
      <c r="J14" s="103" t="s">
        <v>220</v>
      </c>
      <c r="K14" s="103" t="s">
        <v>221</v>
      </c>
      <c r="L14" s="104" t="s">
        <v>530</v>
      </c>
      <c r="M14" s="103" t="s">
        <v>196</v>
      </c>
      <c r="N14" s="104"/>
      <c r="O14" s="103"/>
      <c r="P14" s="103"/>
      <c r="Q14" s="105" t="s">
        <v>524</v>
      </c>
    </row>
    <row r="15" spans="1:17" ht="66" customHeight="1">
      <c r="A15" s="101">
        <v>9</v>
      </c>
      <c r="B15" s="78" t="s">
        <v>501</v>
      </c>
      <c r="C15" s="102" t="s">
        <v>36</v>
      </c>
      <c r="D15" s="102">
        <v>1</v>
      </c>
      <c r="E15" s="102" t="s">
        <v>199</v>
      </c>
      <c r="F15" s="102" t="s">
        <v>38</v>
      </c>
      <c r="G15" s="102" t="s">
        <v>38</v>
      </c>
      <c r="H15" s="116" t="s">
        <v>514</v>
      </c>
      <c r="I15" s="102" t="s">
        <v>38</v>
      </c>
      <c r="J15" s="103" t="s">
        <v>222</v>
      </c>
      <c r="K15" s="103" t="s">
        <v>531</v>
      </c>
      <c r="L15" s="104" t="s">
        <v>532</v>
      </c>
      <c r="M15" s="103" t="s">
        <v>201</v>
      </c>
      <c r="N15" s="104"/>
      <c r="O15" s="103"/>
      <c r="P15" s="103"/>
      <c r="Q15" s="105" t="s">
        <v>524</v>
      </c>
    </row>
    <row r="16" spans="1:17" ht="87" customHeight="1">
      <c r="A16" s="101">
        <v>10</v>
      </c>
      <c r="B16" s="78" t="s">
        <v>502</v>
      </c>
      <c r="C16" s="102" t="s">
        <v>36</v>
      </c>
      <c r="D16" s="102">
        <v>10</v>
      </c>
      <c r="E16" s="102" t="s">
        <v>199</v>
      </c>
      <c r="F16" s="102" t="s">
        <v>38</v>
      </c>
      <c r="G16" s="102" t="s">
        <v>38</v>
      </c>
      <c r="H16" s="103" t="s">
        <v>515</v>
      </c>
      <c r="I16" s="102" t="s">
        <v>38</v>
      </c>
      <c r="J16" s="103" t="s">
        <v>223</v>
      </c>
      <c r="K16" s="103" t="s">
        <v>533</v>
      </c>
      <c r="L16" s="104"/>
      <c r="M16" s="103" t="s">
        <v>206</v>
      </c>
      <c r="N16" s="104"/>
      <c r="O16" s="103"/>
      <c r="P16" s="103"/>
      <c r="Q16" s="105" t="s">
        <v>524</v>
      </c>
    </row>
    <row r="17" spans="1:25" ht="87.75" customHeight="1">
      <c r="A17" s="101">
        <v>11</v>
      </c>
      <c r="B17" s="78" t="s">
        <v>503</v>
      </c>
      <c r="C17" s="102" t="s">
        <v>36</v>
      </c>
      <c r="D17" s="102">
        <v>10</v>
      </c>
      <c r="E17" s="102" t="s">
        <v>199</v>
      </c>
      <c r="F17" s="102" t="s">
        <v>38</v>
      </c>
      <c r="G17" s="102" t="s">
        <v>38</v>
      </c>
      <c r="H17" s="103" t="s">
        <v>515</v>
      </c>
      <c r="I17" s="102" t="s">
        <v>38</v>
      </c>
      <c r="J17" s="103" t="s">
        <v>224</v>
      </c>
      <c r="K17" s="103" t="s">
        <v>534</v>
      </c>
      <c r="L17" s="104"/>
      <c r="M17" s="103" t="s">
        <v>207</v>
      </c>
      <c r="N17" s="104"/>
      <c r="O17" s="103"/>
      <c r="P17" s="103"/>
      <c r="Q17" s="105" t="s">
        <v>524</v>
      </c>
    </row>
    <row r="18" spans="1:25" ht="63.75" customHeight="1">
      <c r="A18" s="101">
        <v>12</v>
      </c>
      <c r="B18" s="78" t="s">
        <v>504</v>
      </c>
      <c r="C18" s="102" t="s">
        <v>36</v>
      </c>
      <c r="D18" s="102">
        <v>10</v>
      </c>
      <c r="E18" s="102" t="s">
        <v>199</v>
      </c>
      <c r="F18" s="102" t="s">
        <v>38</v>
      </c>
      <c r="G18" s="102" t="s">
        <v>37</v>
      </c>
      <c r="H18" s="116" t="s">
        <v>516</v>
      </c>
      <c r="I18" s="102" t="s">
        <v>38</v>
      </c>
      <c r="J18" s="103" t="s">
        <v>225</v>
      </c>
      <c r="K18" s="103" t="s">
        <v>535</v>
      </c>
      <c r="L18" s="104"/>
      <c r="M18" s="103"/>
      <c r="N18" s="104"/>
      <c r="O18" s="103"/>
      <c r="P18" s="103"/>
      <c r="Q18" s="105" t="s">
        <v>524</v>
      </c>
    </row>
    <row r="19" spans="1:25" ht="238.5" customHeight="1">
      <c r="A19" s="101">
        <v>13</v>
      </c>
      <c r="B19" s="78" t="s">
        <v>202</v>
      </c>
      <c r="C19" s="102" t="s">
        <v>36</v>
      </c>
      <c r="D19" s="102">
        <v>10</v>
      </c>
      <c r="E19" s="102" t="s">
        <v>126</v>
      </c>
      <c r="F19" s="102" t="s">
        <v>38</v>
      </c>
      <c r="G19" s="102" t="s">
        <v>37</v>
      </c>
      <c r="H19" s="116" t="s">
        <v>749</v>
      </c>
      <c r="I19" s="102" t="s">
        <v>38</v>
      </c>
      <c r="J19" s="103" t="s">
        <v>208</v>
      </c>
      <c r="K19" s="103" t="s">
        <v>226</v>
      </c>
      <c r="L19" s="104"/>
      <c r="M19" s="103"/>
      <c r="N19" s="104"/>
      <c r="O19" s="103"/>
      <c r="P19" s="103"/>
      <c r="Q19" s="105" t="s">
        <v>524</v>
      </c>
    </row>
    <row r="20" spans="1:25" ht="70.95" customHeight="1">
      <c r="A20" s="101">
        <v>14</v>
      </c>
      <c r="B20" s="78" t="s">
        <v>203</v>
      </c>
      <c r="C20" s="102" t="s">
        <v>36</v>
      </c>
      <c r="D20" s="102">
        <v>1</v>
      </c>
      <c r="E20" s="102" t="s">
        <v>126</v>
      </c>
      <c r="F20" s="102" t="s">
        <v>38</v>
      </c>
      <c r="G20" s="102" t="s">
        <v>37</v>
      </c>
      <c r="H20" s="116" t="s">
        <v>517</v>
      </c>
      <c r="I20" s="102" t="s">
        <v>38</v>
      </c>
      <c r="J20" s="103" t="s">
        <v>209</v>
      </c>
      <c r="K20" s="103" t="s">
        <v>227</v>
      </c>
      <c r="L20" s="104" t="s">
        <v>194</v>
      </c>
      <c r="M20" s="103"/>
      <c r="N20" s="104"/>
      <c r="O20" s="103"/>
      <c r="P20" s="103"/>
      <c r="Q20" s="105" t="s">
        <v>524</v>
      </c>
    </row>
    <row r="21" spans="1:25" ht="81" customHeight="1">
      <c r="A21" s="101">
        <v>15</v>
      </c>
      <c r="B21" s="78" t="s">
        <v>204</v>
      </c>
      <c r="C21" s="102" t="s">
        <v>36</v>
      </c>
      <c r="D21" s="102">
        <v>1</v>
      </c>
      <c r="E21" s="102" t="s">
        <v>126</v>
      </c>
      <c r="F21" s="102" t="s">
        <v>38</v>
      </c>
      <c r="G21" s="102" t="s">
        <v>37</v>
      </c>
      <c r="H21" s="116" t="s">
        <v>518</v>
      </c>
      <c r="I21" s="102" t="s">
        <v>38</v>
      </c>
      <c r="J21" s="103" t="s">
        <v>210</v>
      </c>
      <c r="K21" s="103" t="s">
        <v>228</v>
      </c>
      <c r="L21" s="104" t="s">
        <v>194</v>
      </c>
      <c r="M21" s="103"/>
      <c r="N21" s="104"/>
      <c r="O21" s="103"/>
      <c r="P21" s="103"/>
      <c r="Q21" s="105" t="s">
        <v>524</v>
      </c>
    </row>
    <row r="22" spans="1:25" ht="114.75" customHeight="1">
      <c r="A22" s="101">
        <v>16</v>
      </c>
      <c r="B22" s="78" t="s">
        <v>505</v>
      </c>
      <c r="C22" s="102" t="s">
        <v>36</v>
      </c>
      <c r="D22" s="102">
        <v>1</v>
      </c>
      <c r="E22" s="102" t="s">
        <v>126</v>
      </c>
      <c r="F22" s="102" t="s">
        <v>38</v>
      </c>
      <c r="G22" s="102" t="s">
        <v>37</v>
      </c>
      <c r="H22" s="116" t="s">
        <v>750</v>
      </c>
      <c r="I22" s="102" t="s">
        <v>38</v>
      </c>
      <c r="J22" s="103" t="s">
        <v>211</v>
      </c>
      <c r="K22" s="103" t="s">
        <v>229</v>
      </c>
      <c r="L22" s="104" t="s">
        <v>194</v>
      </c>
      <c r="M22" s="103"/>
      <c r="N22" s="104"/>
      <c r="O22" s="103"/>
      <c r="P22" s="103"/>
      <c r="Q22" s="105" t="s">
        <v>524</v>
      </c>
    </row>
    <row r="23" spans="1:25" ht="123" customHeight="1">
      <c r="A23" s="101">
        <v>17</v>
      </c>
      <c r="B23" s="78" t="s">
        <v>506</v>
      </c>
      <c r="C23" s="102" t="s">
        <v>36</v>
      </c>
      <c r="D23" s="102">
        <v>1</v>
      </c>
      <c r="E23" s="102" t="s">
        <v>126</v>
      </c>
      <c r="F23" s="102" t="s">
        <v>38</v>
      </c>
      <c r="G23" s="102" t="s">
        <v>37</v>
      </c>
      <c r="H23" s="116" t="s">
        <v>751</v>
      </c>
      <c r="I23" s="102" t="s">
        <v>38</v>
      </c>
      <c r="J23" s="103" t="s">
        <v>212</v>
      </c>
      <c r="K23" s="103" t="s">
        <v>230</v>
      </c>
      <c r="L23" s="104" t="s">
        <v>194</v>
      </c>
      <c r="M23" s="103"/>
      <c r="N23" s="104"/>
      <c r="O23" s="103"/>
      <c r="P23" s="103"/>
      <c r="Q23" s="105" t="s">
        <v>524</v>
      </c>
    </row>
    <row r="24" spans="1:25" ht="129.75" customHeight="1">
      <c r="A24" s="101">
        <v>18</v>
      </c>
      <c r="B24" s="78" t="s">
        <v>507</v>
      </c>
      <c r="C24" s="102" t="s">
        <v>36</v>
      </c>
      <c r="D24" s="102">
        <v>3</v>
      </c>
      <c r="E24" s="102" t="s">
        <v>199</v>
      </c>
      <c r="F24" s="102" t="s">
        <v>38</v>
      </c>
      <c r="G24" s="102" t="s">
        <v>37</v>
      </c>
      <c r="H24" s="116" t="s">
        <v>519</v>
      </c>
      <c r="I24" s="102" t="s">
        <v>38</v>
      </c>
      <c r="J24" s="103" t="s">
        <v>213</v>
      </c>
      <c r="K24" s="103" t="s">
        <v>536</v>
      </c>
      <c r="L24" s="104" t="s">
        <v>537</v>
      </c>
      <c r="M24" s="103" t="s">
        <v>538</v>
      </c>
      <c r="N24" s="104"/>
      <c r="O24" s="103" t="s">
        <v>539</v>
      </c>
      <c r="P24" s="103"/>
      <c r="Q24" s="105" t="s">
        <v>524</v>
      </c>
    </row>
    <row r="25" spans="1:25" ht="92.25" customHeight="1">
      <c r="A25" s="101">
        <v>19</v>
      </c>
      <c r="B25" s="78" t="s">
        <v>508</v>
      </c>
      <c r="C25" s="102" t="s">
        <v>36</v>
      </c>
      <c r="D25" s="102">
        <v>1</v>
      </c>
      <c r="E25" s="102" t="s">
        <v>126</v>
      </c>
      <c r="F25" s="102" t="s">
        <v>38</v>
      </c>
      <c r="G25" s="102" t="s">
        <v>37</v>
      </c>
      <c r="H25" s="116" t="s">
        <v>520</v>
      </c>
      <c r="I25" s="102" t="s">
        <v>38</v>
      </c>
      <c r="J25" s="103" t="s">
        <v>231</v>
      </c>
      <c r="K25" s="103" t="s">
        <v>232</v>
      </c>
      <c r="L25" s="104" t="s">
        <v>194</v>
      </c>
      <c r="M25" s="103"/>
      <c r="N25" s="104"/>
      <c r="O25" s="103"/>
      <c r="P25" s="103"/>
      <c r="Q25" s="105" t="s">
        <v>524</v>
      </c>
    </row>
    <row r="26" spans="1:25" ht="27" customHeight="1">
      <c r="A26" s="101">
        <v>20</v>
      </c>
      <c r="B26" s="78" t="s">
        <v>509</v>
      </c>
      <c r="C26" s="102" t="s">
        <v>36</v>
      </c>
      <c r="D26" s="102">
        <v>6</v>
      </c>
      <c r="E26" s="102" t="s">
        <v>126</v>
      </c>
      <c r="F26" s="102" t="s">
        <v>38</v>
      </c>
      <c r="G26" s="102" t="s">
        <v>38</v>
      </c>
      <c r="H26" s="116" t="s">
        <v>493</v>
      </c>
      <c r="I26" s="102" t="s">
        <v>38</v>
      </c>
      <c r="J26" s="103" t="s">
        <v>233</v>
      </c>
      <c r="K26" s="103" t="s">
        <v>214</v>
      </c>
      <c r="L26" s="104"/>
      <c r="M26" s="103" t="s">
        <v>215</v>
      </c>
      <c r="N26" s="104"/>
      <c r="O26" s="103"/>
      <c r="P26" s="103"/>
      <c r="Q26" s="105" t="s">
        <v>524</v>
      </c>
    </row>
    <row r="27" spans="1:25" ht="27" customHeight="1">
      <c r="A27" s="101">
        <v>21</v>
      </c>
      <c r="B27" s="78" t="s">
        <v>510</v>
      </c>
      <c r="C27" s="102" t="s">
        <v>36</v>
      </c>
      <c r="D27" s="102">
        <v>5</v>
      </c>
      <c r="E27" s="102" t="s">
        <v>126</v>
      </c>
      <c r="F27" s="102" t="s">
        <v>38</v>
      </c>
      <c r="G27" s="102" t="s">
        <v>38</v>
      </c>
      <c r="H27" s="116" t="s">
        <v>493</v>
      </c>
      <c r="I27" s="102" t="s">
        <v>38</v>
      </c>
      <c r="J27" s="103" t="s">
        <v>233</v>
      </c>
      <c r="K27" s="103" t="s">
        <v>234</v>
      </c>
      <c r="L27" s="104"/>
      <c r="M27" s="103" t="s">
        <v>216</v>
      </c>
      <c r="N27" s="104"/>
      <c r="O27" s="103"/>
      <c r="P27" s="103"/>
      <c r="Q27" s="105" t="s">
        <v>524</v>
      </c>
    </row>
    <row r="28" spans="1:25" ht="54.75" customHeight="1" thickBot="1">
      <c r="A28" s="106">
        <v>22</v>
      </c>
      <c r="B28" s="108" t="s">
        <v>511</v>
      </c>
      <c r="C28" s="107" t="s">
        <v>39</v>
      </c>
      <c r="D28" s="107" t="s">
        <v>521</v>
      </c>
      <c r="E28" s="107" t="s">
        <v>199</v>
      </c>
      <c r="F28" s="107" t="s">
        <v>38</v>
      </c>
      <c r="G28" s="107" t="s">
        <v>38</v>
      </c>
      <c r="H28" s="108" t="s">
        <v>522</v>
      </c>
      <c r="I28" s="107" t="s">
        <v>38</v>
      </c>
      <c r="J28" s="108" t="s">
        <v>540</v>
      </c>
      <c r="K28" s="108" t="s">
        <v>541</v>
      </c>
      <c r="L28" s="146" t="s">
        <v>542</v>
      </c>
      <c r="M28" s="122" t="s">
        <v>492</v>
      </c>
      <c r="N28" s="122"/>
      <c r="O28" s="122"/>
      <c r="P28" s="122"/>
      <c r="Q28" s="109" t="s">
        <v>543</v>
      </c>
      <c r="W28" s="91"/>
      <c r="X28" s="91"/>
      <c r="Y28" s="91"/>
    </row>
  </sheetData>
  <sheetProtection algorithmName="SHA-512" hashValue="ehmwR4lC2Vs6Ub7zCiA3VN8Z4waWPWOUZM3Y6GBCVica7J4nFO9/qIAFRH+NctrjbBWJlfVdo3z/Nw5pEBk9Og==" saltValue="ogkdL7SUR/C06jLr3ZaJvg==" spinCount="100000" sheet="1" autoFilter="0"/>
  <autoFilter ref="A5:Y28" xr:uid="{00000000-0009-0000-0000-000001000000}">
    <filterColumn colId="13" showButton="0"/>
    <filterColumn colId="14" showButton="0"/>
  </autoFilter>
  <mergeCells count="1">
    <mergeCell ref="N5:P5"/>
  </mergeCells>
  <phoneticPr fontId="6"/>
  <dataValidations count="3">
    <dataValidation type="list" allowBlank="1" showInputMessage="1" showErrorMessage="1" sqref="I7:I28 F7:G28" xr:uid="{00000000-0002-0000-0100-000000000000}">
      <formula1>"あり,なし"</formula1>
    </dataValidation>
    <dataValidation type="list" allowBlank="1" showInputMessage="1" showErrorMessage="1" sqref="E7:E28" xr:uid="{00000000-0002-0000-0100-000001000000}">
      <formula1>"必須,条件付き必須,任意"</formula1>
    </dataValidation>
    <dataValidation type="list" allowBlank="1" showInputMessage="1" showErrorMessage="1" sqref="C7:C28" xr:uid="{00000000-0002-0000-0100-000002000000}">
      <formula1>"数値,通貨,全半角,全角,全角英数,半角,半角英数,郵便番号,電話番号,日付（スラッシュなし）,半角英数大文字・半角スペース,半角英数・半角ハイフン,全半角英数カナ,全角英数カナ,半角英数カナ,全角カナ,半角カナ,全銀協,事業所コード,半角英数・半角アンダーバー,日付（スラッシュあり）,全角英数"</formula1>
    </dataValidation>
  </dataValidations>
  <pageMargins left="0.15748031496062992" right="0.15748031496062992" top="0.78740157480314965" bottom="0.59055118110236227" header="0.51181102362204722" footer="0.51181102362204722"/>
  <pageSetup paperSize="9" scale="33" fitToHeight="0" orientation="landscape" horizontalDpi="300" verticalDpi="300" r:id="rId1"/>
  <headerFooter alignWithMargins="0">
    <oddHeader>&amp;L&amp;F</oddHeader>
    <oddFooter>&amp;P / &amp;N ページ</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heckSheet"/>
  <dimension ref="A1:BL35"/>
  <sheetViews>
    <sheetView zoomScale="70" workbookViewId="0">
      <pane xSplit="4" ySplit="2" topLeftCell="E3" activePane="bottomRight" state="frozen"/>
      <selection pane="topRight" activeCell="E1" sqref="E1"/>
      <selection pane="bottomLeft" activeCell="A3" sqref="A3"/>
      <selection pane="bottomRight" activeCell="E7" sqref="E7"/>
    </sheetView>
  </sheetViews>
  <sheetFormatPr defaultRowHeight="13.2"/>
  <cols>
    <col min="1" max="1" width="18.44140625" style="2" bestFit="1" customWidth="1"/>
    <col min="2" max="2" width="5.6640625" style="2" customWidth="1"/>
    <col min="3" max="3" width="15" style="2" customWidth="1"/>
    <col min="4" max="4" width="25.44140625" customWidth="1"/>
    <col min="5" max="5" width="22" customWidth="1"/>
    <col min="6" max="6" width="23.88671875" style="71" bestFit="1" customWidth="1"/>
    <col min="7" max="7" width="10.21875" style="2" customWidth="1"/>
    <col min="8" max="9" width="3.44140625" customWidth="1"/>
    <col min="10" max="11" width="3.44140625" bestFit="1" customWidth="1"/>
    <col min="12" max="12" width="4" customWidth="1"/>
    <col min="13" max="13" width="3.44140625" bestFit="1" customWidth="1"/>
    <col min="14" max="14" width="3.88671875" bestFit="1" customWidth="1"/>
    <col min="15" max="15" width="4.6640625" bestFit="1" customWidth="1"/>
    <col min="16" max="16" width="4.44140625" bestFit="1" customWidth="1"/>
    <col min="17" max="17" width="7.21875" bestFit="1" customWidth="1"/>
    <col min="18" max="18" width="3.44140625" bestFit="1" customWidth="1"/>
    <col min="19" max="19" width="5.109375" customWidth="1"/>
    <col min="20" max="20" width="25.6640625" customWidth="1"/>
    <col min="21" max="21" width="7.33203125" customWidth="1"/>
    <col min="22" max="23" width="3.44140625" bestFit="1" customWidth="1"/>
    <col min="24" max="24" width="3.44140625" style="41" customWidth="1"/>
    <col min="25" max="25" width="5.44140625" style="41" bestFit="1" customWidth="1"/>
    <col min="26" max="33" width="5.44140625" style="41" customWidth="1"/>
    <col min="34" max="34" width="5.88671875" style="41" bestFit="1" customWidth="1"/>
    <col min="35" max="36" width="5.88671875" style="41" customWidth="1"/>
    <col min="37" max="37" width="5.6640625" customWidth="1"/>
    <col min="38" max="41" width="6.6640625" customWidth="1"/>
    <col min="42" max="42" width="6.6640625" style="75" customWidth="1"/>
    <col min="43" max="43" width="62" customWidth="1"/>
    <col min="44" max="47" width="0" hidden="1" customWidth="1"/>
    <col min="48" max="48" width="46.33203125" hidden="1" customWidth="1"/>
    <col min="49" max="57" width="3.44140625" bestFit="1" customWidth="1"/>
    <col min="58" max="59" width="3.44140625" customWidth="1"/>
  </cols>
  <sheetData>
    <row r="1" spans="1:64" ht="13.8" thickBot="1">
      <c r="A1" s="123" t="s">
        <v>43</v>
      </c>
      <c r="B1" s="124"/>
      <c r="C1" s="125" t="s">
        <v>44</v>
      </c>
      <c r="D1" s="126">
        <v>46084.670011574075</v>
      </c>
      <c r="E1" s="127" t="s">
        <v>752</v>
      </c>
      <c r="F1" s="128" t="s">
        <v>755</v>
      </c>
      <c r="G1" s="43"/>
      <c r="H1" s="44" t="s">
        <v>45</v>
      </c>
      <c r="I1" s="44" t="s">
        <v>46</v>
      </c>
      <c r="J1" s="44" t="s">
        <v>47</v>
      </c>
      <c r="K1" s="44" t="s">
        <v>48</v>
      </c>
      <c r="L1" s="44" t="s">
        <v>49</v>
      </c>
      <c r="M1" s="44" t="s">
        <v>50</v>
      </c>
      <c r="N1" s="44" t="s">
        <v>51</v>
      </c>
      <c r="O1" s="86" t="s">
        <v>52</v>
      </c>
      <c r="P1" s="86" t="s">
        <v>53</v>
      </c>
      <c r="Q1" s="44" t="s">
        <v>54</v>
      </c>
      <c r="R1" s="44" t="s">
        <v>55</v>
      </c>
      <c r="S1" s="44" t="s">
        <v>56</v>
      </c>
      <c r="T1" s="44" t="s">
        <v>57</v>
      </c>
      <c r="U1" s="44" t="s">
        <v>58</v>
      </c>
      <c r="V1" s="44" t="s">
        <v>59</v>
      </c>
      <c r="W1" s="44" t="s">
        <v>60</v>
      </c>
      <c r="X1" s="37" t="s">
        <v>61</v>
      </c>
      <c r="Y1" s="37" t="s">
        <v>62</v>
      </c>
      <c r="Z1" s="37" t="s">
        <v>63</v>
      </c>
      <c r="AA1" s="37" t="s">
        <v>64</v>
      </c>
      <c r="AB1" s="37" t="s">
        <v>65</v>
      </c>
      <c r="AC1" s="37" t="s">
        <v>66</v>
      </c>
      <c r="AD1" s="37" t="s">
        <v>67</v>
      </c>
      <c r="AE1" s="37" t="s">
        <v>68</v>
      </c>
      <c r="AF1" s="37" t="s">
        <v>69</v>
      </c>
      <c r="AG1" s="37" t="s">
        <v>70</v>
      </c>
      <c r="AH1" s="37" t="s">
        <v>71</v>
      </c>
      <c r="AI1" s="37" t="s">
        <v>72</v>
      </c>
      <c r="AJ1" s="37" t="s">
        <v>421</v>
      </c>
      <c r="AK1" s="115" t="s">
        <v>73</v>
      </c>
      <c r="AL1" s="115" t="s">
        <v>74</v>
      </c>
      <c r="AM1" s="115" t="s">
        <v>75</v>
      </c>
      <c r="AN1" s="115" t="s">
        <v>76</v>
      </c>
      <c r="AO1" s="115" t="s">
        <v>77</v>
      </c>
      <c r="AP1" s="45">
        <v>99</v>
      </c>
      <c r="AQ1" s="129"/>
      <c r="AR1" s="293" t="s">
        <v>132</v>
      </c>
      <c r="AS1" s="294"/>
      <c r="AT1" s="294"/>
      <c r="AU1" s="294"/>
      <c r="AV1" s="130"/>
      <c r="AW1" s="46" t="s">
        <v>78</v>
      </c>
      <c r="AX1" s="46">
        <v>91</v>
      </c>
      <c r="AY1" s="46">
        <v>91</v>
      </c>
      <c r="AZ1" s="46">
        <v>93</v>
      </c>
      <c r="BA1" s="46">
        <v>93</v>
      </c>
      <c r="BB1" s="46">
        <v>93</v>
      </c>
      <c r="BC1" s="46">
        <v>96</v>
      </c>
      <c r="BD1" s="46">
        <v>96</v>
      </c>
      <c r="BE1" s="46">
        <v>96</v>
      </c>
      <c r="BF1" s="110"/>
      <c r="BG1" s="110"/>
      <c r="BH1" s="86"/>
      <c r="BI1" s="86"/>
      <c r="BJ1" s="86"/>
      <c r="BK1" s="86"/>
      <c r="BL1" s="86"/>
    </row>
    <row r="2" spans="1:64" ht="238.8">
      <c r="A2" s="47" t="s">
        <v>0</v>
      </c>
      <c r="B2" s="48" t="s">
        <v>133</v>
      </c>
      <c r="C2" s="49" t="s">
        <v>134</v>
      </c>
      <c r="D2" s="50" t="s">
        <v>135</v>
      </c>
      <c r="E2" s="51" t="s">
        <v>136</v>
      </c>
      <c r="F2" s="52" t="s">
        <v>137</v>
      </c>
      <c r="G2" s="53" t="s">
        <v>138</v>
      </c>
      <c r="H2" s="54" t="s">
        <v>97</v>
      </c>
      <c r="I2" s="54" t="s">
        <v>98</v>
      </c>
      <c r="J2" s="54" t="s">
        <v>99</v>
      </c>
      <c r="K2" s="54" t="s">
        <v>1</v>
      </c>
      <c r="L2" s="54" t="s">
        <v>100</v>
      </c>
      <c r="M2" s="54" t="s">
        <v>101</v>
      </c>
      <c r="N2" s="55" t="s">
        <v>79</v>
      </c>
      <c r="O2" s="87" t="s">
        <v>102</v>
      </c>
      <c r="P2" s="87" t="s">
        <v>103</v>
      </c>
      <c r="Q2" s="54" t="s">
        <v>104</v>
      </c>
      <c r="R2" s="54" t="s">
        <v>105</v>
      </c>
      <c r="S2" s="56" t="s">
        <v>106</v>
      </c>
      <c r="T2" s="56" t="s">
        <v>110</v>
      </c>
      <c r="U2" s="54" t="s">
        <v>107</v>
      </c>
      <c r="V2" s="54" t="s">
        <v>108</v>
      </c>
      <c r="W2" s="54" t="s">
        <v>109</v>
      </c>
      <c r="X2" s="38" t="s">
        <v>21</v>
      </c>
      <c r="Y2" s="38" t="s">
        <v>22</v>
      </c>
      <c r="Z2" s="38" t="s">
        <v>23</v>
      </c>
      <c r="AA2" s="57" t="s">
        <v>80</v>
      </c>
      <c r="AB2" s="57" t="s">
        <v>81</v>
      </c>
      <c r="AC2" s="57" t="s">
        <v>82</v>
      </c>
      <c r="AD2" s="57" t="s">
        <v>83</v>
      </c>
      <c r="AE2" s="57" t="s">
        <v>84</v>
      </c>
      <c r="AF2" s="57" t="s">
        <v>85</v>
      </c>
      <c r="AG2" s="57" t="s">
        <v>86</v>
      </c>
      <c r="AH2" s="57" t="s">
        <v>87</v>
      </c>
      <c r="AI2" s="57" t="s">
        <v>88</v>
      </c>
      <c r="AJ2" s="57" t="s">
        <v>422</v>
      </c>
      <c r="AK2" s="58" t="s">
        <v>139</v>
      </c>
      <c r="AL2" s="59" t="s">
        <v>140</v>
      </c>
      <c r="AM2" s="60" t="s">
        <v>141</v>
      </c>
      <c r="AN2" s="58" t="s">
        <v>142</v>
      </c>
      <c r="AO2" s="58" t="s">
        <v>143</v>
      </c>
      <c r="AP2" s="58" t="s">
        <v>144</v>
      </c>
      <c r="AQ2" s="61" t="s">
        <v>145</v>
      </c>
      <c r="AR2" s="62" t="s">
        <v>146</v>
      </c>
      <c r="AS2" s="62" t="s">
        <v>147</v>
      </c>
      <c r="AT2" s="62" t="s">
        <v>148</v>
      </c>
      <c r="AU2" s="62" t="s">
        <v>149</v>
      </c>
      <c r="AV2" s="63" t="s">
        <v>131</v>
      </c>
      <c r="AW2" s="64" t="s">
        <v>89</v>
      </c>
      <c r="AX2" s="65" t="s">
        <v>90</v>
      </c>
      <c r="AY2" s="65" t="s">
        <v>90</v>
      </c>
      <c r="AZ2" s="65" t="s">
        <v>91</v>
      </c>
      <c r="BA2" s="65" t="s">
        <v>92</v>
      </c>
      <c r="BB2" s="65" t="s">
        <v>93</v>
      </c>
      <c r="BC2" s="65" t="s">
        <v>94</v>
      </c>
      <c r="BD2" s="65" t="s">
        <v>95</v>
      </c>
      <c r="BE2" s="65" t="s">
        <v>550</v>
      </c>
      <c r="BF2" s="111" t="s">
        <v>192</v>
      </c>
      <c r="BG2" s="111" t="s">
        <v>193</v>
      </c>
      <c r="BH2" s="157" t="s">
        <v>416</v>
      </c>
      <c r="BI2" s="157" t="s">
        <v>417</v>
      </c>
      <c r="BJ2" s="157" t="s">
        <v>418</v>
      </c>
      <c r="BK2" s="157" t="s">
        <v>419</v>
      </c>
      <c r="BL2" s="157" t="s">
        <v>420</v>
      </c>
    </row>
    <row r="3" spans="1:64" s="4" customFormat="1">
      <c r="A3" s="132">
        <f t="shared" ref="A3:A24" si="0">ROW()-2</f>
        <v>1</v>
      </c>
      <c r="B3" s="133" t="str">
        <f t="shared" ref="B3:B24" si="1">SUBSTITUTE(ADDRESS(1,ROW()-1,2),"$1","")</f>
        <v>B</v>
      </c>
      <c r="C3" s="134"/>
      <c r="D3" s="135" t="str">
        <f>VLOOKUP($A3,'サービスコードマスタ（入力シート説明）'!$A$7:$B$109,2,$A3)</f>
        <v>NTTグループ会社コード</v>
      </c>
      <c r="E3" s="134"/>
      <c r="F3" s="136" t="str">
        <f t="shared" ref="F3:F24" si="2">$T3</f>
        <v/>
      </c>
      <c r="G3" s="42"/>
      <c r="H3" s="137" t="str">
        <f>IF(EXACT(T('サービスコードマスタ（入力シート説明）'!$E7),"必須"),"○","")</f>
        <v>○</v>
      </c>
      <c r="I3" s="137" t="str">
        <f>IF(EXACT(T('サービスコードマスタ（入力シート説明）'!$C7),"数値"),"○","")</f>
        <v/>
      </c>
      <c r="J3" s="137" t="str">
        <f>IF(EXACT(T('サービスコードマスタ（入力シート説明）'!$C7),"電話番号"),"○","")</f>
        <v/>
      </c>
      <c r="K3" s="137" t="str">
        <f>IF(EXACT(T('サービスコードマスタ（入力シート説明）'!$C7),"郵便番号"),"○","")</f>
        <v/>
      </c>
      <c r="L3" s="137" t="str">
        <f>IF(EXACT(T('サービスコードマスタ（入力シート説明）'!$C7),"日付（スラッシュなし）"),"○","")</f>
        <v/>
      </c>
      <c r="M3" s="137" t="str">
        <f>IF(EXACT(T('サービスコードマスタ（入力シート説明）'!$C7),"半角英数"),"○","")</f>
        <v>○</v>
      </c>
      <c r="N3" s="137" t="str">
        <f>IF(ISBLANK('サービスコードマスタ（入力シート説明）'!$D7),"", IF(ISERROR(FIND("～", 'サービスコードマスタ（入力シート説明）'!$D7, 1)), "", IF(EXACT('サービスコードマスタ（入力シート説明）'!$D7,"～"), "", IF(LEN(LEFT('サービスコードマスタ（入力シート説明）'!$D7, FIND("～", 'サービスコードマスタ（入力シート説明）'!$D7, 1) - 1)) &gt;= 1, LEFT('サービスコードマスタ（入力シート説明）'!$D7, FIND("～", 'サービスコードマスタ（入力シート説明）'!$D7, 1) - 1), ""))))</f>
        <v/>
      </c>
      <c r="O3" s="137">
        <f>IF(T3&lt;&gt;"","",IF(OR('サービスコードマスタ（入力シート説明）'!C7="全半角",'サービスコードマスタ（入力シート説明）'!C7="全角",'サービスコードマスタ（入力シート説明）'!C7="全角英数",'サービスコードマスタ（入力シート説明）'!C7="全半角英数カナ",'サービスコードマスタ（入力シート説明）'!C7="全角英数カナ",'サービスコードマスタ（入力シート説明）'!C7="全角カナ",'サービスコードマスタ（入力シート説明）'!C7="半角カナ",'サービスコードマスタ（入力シート説明）'!C7="全銀協"),IF(OR(P3&lt;&gt;"",Q3&lt;&gt;""),TRUNC(IF(P3="",Q3/BF3,P3/BF3),0),""),IF(OR(P3&lt;&gt;"",Q3&lt;&gt;""),IF(P3="",Q3,P3),"")))</f>
        <v>4</v>
      </c>
      <c r="P3" s="137" t="str">
        <f>IF(ISBLANK('サービスコードマスタ（入力シート説明）'!$D7),"",IF($BK3=0,"",IF(OR($BK3=1,$BK3=3),MID('サービスコードマスタ（入力シート説明）'!$D7,$BL3+1,IF($BI3="",$BH3,$BI3-1)-$BL3)*IF($BG3&lt;&gt;"",$BF3,1),"")))</f>
        <v/>
      </c>
      <c r="Q3" s="137">
        <f>IF(ISBLANK('サービスコードマスタ（入力シート説明）'!$D7), "", IF($BK3=0, IF($BI3="",'サービスコードマスタ（入力シート説明）'!$D7,LEFT('サービスコードマスタ（入力シート説明）'!$D7,$BI3-1))*IF(BG3&lt;&gt;"",BF3,1),""))</f>
        <v>4</v>
      </c>
      <c r="R3" s="137" t="str">
        <f>IF(EXACT(T('サービスコードマスタ（入力シート説明）'!$C7),"全角"),"○","")</f>
        <v/>
      </c>
      <c r="S3" s="137" t="str">
        <f>IF(EXACT(T('サービスコードマスタ（入力シート説明）'!$C7),"全角カナ"),"○","")</f>
        <v/>
      </c>
      <c r="T3" s="136" t="str">
        <f>IF(ISBLANK('サービスコードマスタ（入力シート説明）'!$L7),"",IF(ISERROR(FIND("～",'サービスコードマスタ（入力シート説明）'!$L7,1)), 'サービスコードマスタ（入力シート説明）'!$L7, ""))</f>
        <v/>
      </c>
      <c r="U3" s="137" t="str">
        <f>IF(ISBLANK('サービスコードマスタ（入力シート説明）'!$L7),"",IF(ISERROR(FIND("～",'サービスコードマスタ（入力シート説明）'!$L7,1)), "", 'サービスコードマスタ（入力シート説明）'!$L7))</f>
        <v/>
      </c>
      <c r="V3" s="137" t="str">
        <f>IF(EXACT(T('サービスコードマスタ（入力シート説明）'!$I7),"あり"),"○","")</f>
        <v/>
      </c>
      <c r="W3" s="137" t="str">
        <f>IF(EXACT(T('サービスコードマスタ（入力シート説明）'!$C7),"全銀協"),"○","")</f>
        <v/>
      </c>
      <c r="X3" s="137" t="str">
        <f>IF(EXACT(T('サービスコードマスタ（入力シート説明）'!$C7),"事業所コード"),"○","")</f>
        <v/>
      </c>
      <c r="Y3" s="137" t="str">
        <f>IF(EXACT(T('サービスコードマスタ（入力シート説明）'!$C7),"半角英数大文字・半角スペース"),"○","")</f>
        <v/>
      </c>
      <c r="Z3" s="137" t="str">
        <f>IF(EXACT(T('サービスコードマスタ（入力シート説明）'!$C7),"半角英数・半角ハイフン"),"○","")</f>
        <v/>
      </c>
      <c r="AA3" s="137" t="str">
        <f>IF(EXACT(T('サービスコードマスタ（入力シート説明）'!$C7),"全角英数カナ"),"○","")</f>
        <v/>
      </c>
      <c r="AB3" s="137" t="str">
        <f>IF(EXACT(T('サービスコードマスタ（入力シート説明）'!$C7),"半角英数カナ"),"○","")</f>
        <v/>
      </c>
      <c r="AC3" s="137" t="str">
        <f>IF(EXACT(T('サービスコードマスタ（入力シート説明）'!$C7),"全半角英数カナ"),"○","")</f>
        <v/>
      </c>
      <c r="AD3" s="137" t="str">
        <f>IF(EXACT(T('サービスコードマスタ（入力シート説明）'!$C7),"通貨"),"○","")</f>
        <v/>
      </c>
      <c r="AE3" s="137" t="str">
        <f>IF(EXACT(T('サービスコードマスタ（入力シート説明）'!$C7),"半角"),"○","")</f>
        <v/>
      </c>
      <c r="AF3" s="137" t="str">
        <f>IF(EXACT(T('サービスコードマスタ（入力シート説明）'!$C7),"半角カナ"),"○","")</f>
        <v/>
      </c>
      <c r="AG3" s="137" t="str">
        <f>IF(EXACT(T('サービスコードマスタ（入力シート説明）'!$C7),"半角英数・半角アンダーバー"),"○","")</f>
        <v/>
      </c>
      <c r="AH3" s="137" t="str">
        <f>IF(EXACT(T('サービスコードマスタ（入力シート説明）'!$C7),"日付（スラッシュあり）"),"○","")</f>
        <v/>
      </c>
      <c r="AI3" s="137" t="str">
        <f>IF(EXACT(T('サービスコードマスタ（入力シート説明）'!$C7),"全角英数"),"○","")</f>
        <v/>
      </c>
      <c r="AJ3" s="137" t="str">
        <f>IF(ISBLANK('サービスコードマスタ（入力シート説明）'!$D7),"",IF(ISERROR(FIND("(", 'サービスコードマスタ（入力シート説明）'!$D7, 1)),"",MID('サービスコードマスタ（入力シート説明）'!$D7,$BI3+1,$BJ3-$BI3-1)))</f>
        <v/>
      </c>
      <c r="AK3" s="137" t="str">
        <f>IF(EXACT(T('サービスコードマスタ（入力シート説明）'!$F7),"あり"),"○","")</f>
        <v/>
      </c>
      <c r="AL3" s="138"/>
      <c r="AM3" s="137" t="str">
        <f>IF(EXACT(T('サービスコードマスタ（入力シート説明）'!$E7),"条件付き必須"),"○","")</f>
        <v/>
      </c>
      <c r="AN3" s="137" t="str">
        <f>IF(EXACT(T('サービスコードマスタ（入力シート説明）'!$G7),"あり"),"○","")</f>
        <v/>
      </c>
      <c r="AO3" s="137" t="str">
        <f>IF(ISBLANK('サービスコードマスタ（入力シート説明）'!$N7),"","○")</f>
        <v/>
      </c>
      <c r="AP3" s="42"/>
      <c r="AQ3" s="66" t="str">
        <f>T('サービスコードマスタ（入力シート説明）'!$H7)</f>
        <v>-</v>
      </c>
      <c r="AR3" s="67"/>
      <c r="AS3" s="67"/>
      <c r="AT3" s="67"/>
      <c r="AU3" s="67"/>
      <c r="AV3" s="68"/>
      <c r="AW3" s="69"/>
      <c r="AX3" s="114"/>
      <c r="AY3" s="70"/>
      <c r="AZ3" s="69"/>
      <c r="BA3" s="69"/>
      <c r="BB3" s="69"/>
      <c r="BC3" s="69"/>
      <c r="BD3" s="69"/>
      <c r="BE3" s="69"/>
      <c r="BF3" s="68">
        <v>1.5</v>
      </c>
      <c r="BG3" s="112"/>
      <c r="BH3" s="137">
        <f>IF(ISBLANK('サービスコードマスタ（入力シート説明）'!$D7),"",LEN('サービスコードマスタ（入力シート説明）'!$D7))</f>
        <v>1</v>
      </c>
      <c r="BI3" s="137" t="str">
        <f>IF(ISBLANK('サービスコードマスタ（入力シート説明）'!$D7),"",IF(ISERROR(FIND("(",'サービスコードマスタ（入力シート説明）'!$D7,1)),"",FIND("(",'サービスコードマスタ（入力シート説明）'!$D7,1)))</f>
        <v/>
      </c>
      <c r="BJ3" s="137" t="str">
        <f>IF(ISBLANK('サービスコードマスタ（入力シート説明）'!$D7),"",IF(ISERROR(FIND("(",'サービスコードマスタ（入力シート説明）'!$D7,1)),"",FIND(")",'サービスコードマスタ（入力シート説明）'!$D7,1)))</f>
        <v/>
      </c>
      <c r="BK3" s="137">
        <f>IF(ISBLANK('サービスコードマスタ（入力シート説明）'!$D7),"",IF($BL3="",0,IF($BL3=1,1,IF((IF($BI3="",$BH3,$BI3-1))=$BL3,2,3))))</f>
        <v>0</v>
      </c>
      <c r="BL3" s="137" t="str">
        <f>IF(ISBLANK('サービスコードマスタ（入力シート説明）'!$D7),"",IF(ISERROR(FIND("～",'サービスコードマスタ（入力シート説明）'!$D7,1)),"",FIND("～",'サービスコードマスタ（入力シート説明）'!$D7,1)))</f>
        <v/>
      </c>
    </row>
    <row r="4" spans="1:64" s="4" customFormat="1" ht="26.4">
      <c r="A4" s="132">
        <f t="shared" si="0"/>
        <v>2</v>
      </c>
      <c r="B4" s="133" t="str">
        <f t="shared" si="1"/>
        <v>C</v>
      </c>
      <c r="C4" s="134"/>
      <c r="D4" s="135" t="str">
        <f>VLOOKUP($A4,'サービスコードマスタ（入力シート説明）'!$A$7:$B$109,2,$A4)</f>
        <v>サービスコード
（値）</v>
      </c>
      <c r="E4" s="134"/>
      <c r="F4" s="136" t="str">
        <f t="shared" si="2"/>
        <v/>
      </c>
      <c r="G4" s="42"/>
      <c r="H4" s="137" t="str">
        <f>IF(EXACT(T('サービスコードマスタ（入力シート説明）'!$E8),"必須"),"○","")</f>
        <v>○</v>
      </c>
      <c r="I4" s="137" t="str">
        <f>IF(EXACT(T('サービスコードマスタ（入力シート説明）'!$C8),"数値"),"○","")</f>
        <v/>
      </c>
      <c r="J4" s="137" t="str">
        <f>IF(EXACT(T('サービスコードマスタ（入力シート説明）'!$C8),"電話番号"),"○","")</f>
        <v/>
      </c>
      <c r="K4" s="137" t="str">
        <f>IF(EXACT(T('サービスコードマスタ（入力シート説明）'!$C8),"郵便番号"),"○","")</f>
        <v/>
      </c>
      <c r="L4" s="137" t="str">
        <f>IF(EXACT(T('サービスコードマスタ（入力シート説明）'!$C8),"日付（スラッシュなし）"),"○","")</f>
        <v/>
      </c>
      <c r="M4" s="137" t="str">
        <f>IF(EXACT(T('サービスコードマスタ（入力シート説明）'!$C8),"半角英数"),"○","")</f>
        <v>○</v>
      </c>
      <c r="N4" s="137" t="str">
        <f>IF(ISBLANK('サービスコードマスタ（入力シート説明）'!$D8),"", IF(ISERROR(FIND("～", 'サービスコードマスタ（入力シート説明）'!$D8, 1)), "", IF(EXACT('サービスコードマスタ（入力シート説明）'!$D8,"～"), "", IF(LEN(LEFT('サービスコードマスタ（入力シート説明）'!$D8, FIND("～", 'サービスコードマスタ（入力シート説明）'!$D8, 1) - 1)) &gt;= 1, LEFT('サービスコードマスタ（入力シート説明）'!$D8, FIND("～", 'サービスコードマスタ（入力シート説明）'!$D8, 1) - 1), ""))))</f>
        <v/>
      </c>
      <c r="O4" s="137">
        <f>IF(T4&lt;&gt;"","",IF(OR('サービスコードマスタ（入力シート説明）'!C8="全半角",'サービスコードマスタ（入力シート説明）'!C8="全角",'サービスコードマスタ（入力シート説明）'!C8="全角英数",'サービスコードマスタ（入力シート説明）'!C8="全半角英数カナ",'サービスコードマスタ（入力シート説明）'!C8="全角英数カナ",'サービスコードマスタ（入力シート説明）'!C8="全角カナ",'サービスコードマスタ（入力シート説明）'!C8="半角カナ",'サービスコードマスタ（入力シート説明）'!C8="全銀協"),IF(OR(P4&lt;&gt;"",Q4&lt;&gt;""),TRUNC(IF(P4="",Q4/BF4,P4/BF4),0),""),IF(OR(P4&lt;&gt;"",Q4&lt;&gt;""),IF(P4="",Q4,P4),"")))</f>
        <v>10</v>
      </c>
      <c r="P4" s="137" t="str">
        <f>IF(ISBLANK('サービスコードマスタ（入力シート説明）'!$D8),"",IF($BK4=0,"",IF(OR($BK4=1,$BK4=3),MID('サービスコードマスタ（入力シート説明）'!$D8,$BL4+1,IF($BI4="",$BH4,$BI4-1)-$BL4)*IF($BG4&lt;&gt;"",$BF4,1),"")))</f>
        <v/>
      </c>
      <c r="Q4" s="137">
        <f>IF(ISBLANK('サービスコードマスタ（入力シート説明）'!$D8), "", IF($BK4=0, IF($BI4="",'サービスコードマスタ（入力シート説明）'!$D8,LEFT('サービスコードマスタ（入力シート説明）'!$D8,$BI4-1))*IF(BG4&lt;&gt;"",BF4,1),""))</f>
        <v>10</v>
      </c>
      <c r="R4" s="137" t="str">
        <f>IF(EXACT(T('サービスコードマスタ（入力シート説明）'!$C8),"全角"),"○","")</f>
        <v/>
      </c>
      <c r="S4" s="137" t="str">
        <f>IF(EXACT(T('サービスコードマスタ（入力シート説明）'!$C8),"全角カナ"),"○","")</f>
        <v/>
      </c>
      <c r="T4" s="136" t="str">
        <f>IF(ISBLANK('サービスコードマスタ（入力シート説明）'!$L8),"",IF(ISERROR(FIND("～",'サービスコードマスタ（入力シート説明）'!$L8,1)), 'サービスコードマスタ（入力シート説明）'!$L8, ""))</f>
        <v/>
      </c>
      <c r="U4" s="137" t="str">
        <f>IF(ISBLANK('サービスコードマスタ（入力シート説明）'!$L8),"",IF(ISERROR(FIND("～",'サービスコードマスタ（入力シート説明）'!$L8,1)), "", 'サービスコードマスタ（入力シート説明）'!$L8))</f>
        <v/>
      </c>
      <c r="V4" s="137" t="str">
        <f>IF(EXACT(T('サービスコードマスタ（入力シート説明）'!$I8),"あり"),"○","")</f>
        <v/>
      </c>
      <c r="W4" s="137" t="str">
        <f>IF(EXACT(T('サービスコードマスタ（入力シート説明）'!$C8),"全銀協"),"○","")</f>
        <v/>
      </c>
      <c r="X4" s="137" t="str">
        <f>IF(EXACT(T('サービスコードマスタ（入力シート説明）'!$C8),"事業所コード"),"○","")</f>
        <v/>
      </c>
      <c r="Y4" s="137" t="str">
        <f>IF(EXACT(T('サービスコードマスタ（入力シート説明）'!$C8),"半角英数大文字・半角スペース"),"○","")</f>
        <v/>
      </c>
      <c r="Z4" s="137" t="str">
        <f>IF(EXACT(T('サービスコードマスタ（入力シート説明）'!$C8),"半角英数・半角ハイフン"),"○","")</f>
        <v/>
      </c>
      <c r="AA4" s="137" t="str">
        <f>IF(EXACT(T('サービスコードマスタ（入力シート説明）'!$C8),"全角英数カナ"),"○","")</f>
        <v/>
      </c>
      <c r="AB4" s="137" t="str">
        <f>IF(EXACT(T('サービスコードマスタ（入力シート説明）'!$C8),"半角英数カナ"),"○","")</f>
        <v/>
      </c>
      <c r="AC4" s="137" t="str">
        <f>IF(EXACT(T('サービスコードマスタ（入力シート説明）'!$C8),"全半角英数カナ"),"○","")</f>
        <v/>
      </c>
      <c r="AD4" s="137" t="str">
        <f>IF(EXACT(T('サービスコードマスタ（入力シート説明）'!$C8),"通貨"),"○","")</f>
        <v/>
      </c>
      <c r="AE4" s="137" t="str">
        <f>IF(EXACT(T('サービスコードマスタ（入力シート説明）'!$C8),"半角"),"○","")</f>
        <v/>
      </c>
      <c r="AF4" s="137" t="str">
        <f>IF(EXACT(T('サービスコードマスタ（入力シート説明）'!$C8),"半角カナ"),"○","")</f>
        <v/>
      </c>
      <c r="AG4" s="137" t="str">
        <f>IF(EXACT(T('サービスコードマスタ（入力シート説明）'!$C8),"半角英数・半角アンダーバー"),"○","")</f>
        <v/>
      </c>
      <c r="AH4" s="137" t="str">
        <f>IF(EXACT(T('サービスコードマスタ（入力シート説明）'!$C8),"日付（スラッシュあり）"),"○","")</f>
        <v/>
      </c>
      <c r="AI4" s="137" t="str">
        <f>IF(EXACT(T('サービスコードマスタ（入力シート説明）'!$C8),"全角英数"),"○","")</f>
        <v/>
      </c>
      <c r="AJ4" s="137" t="str">
        <f>IF(ISBLANK('サービスコードマスタ（入力シート説明）'!$D8),"",IF(ISERROR(FIND("(", 'サービスコードマスタ（入力シート説明）'!$D8, 1)),"",MID('サービスコードマスタ（入力シート説明）'!$D8,$BI4+1,$BJ4-$BI4-1)))</f>
        <v/>
      </c>
      <c r="AK4" s="137" t="str">
        <f>IF(EXACT(T('サービスコードマスタ（入力シート説明）'!$F8),"あり"),"○","")</f>
        <v>○</v>
      </c>
      <c r="AL4" s="138"/>
      <c r="AM4" s="137" t="str">
        <f>IF(EXACT(T('サービスコードマスタ（入力シート説明）'!$E8),"条件付き必須"),"○","")</f>
        <v/>
      </c>
      <c r="AN4" s="137" t="str">
        <f>IF(EXACT(T('サービスコードマスタ（入力シート説明）'!$G8),"あり"),"○","")</f>
        <v/>
      </c>
      <c r="AO4" s="137" t="str">
        <f>IF(ISBLANK('サービスコードマスタ（入力シート説明）'!$N8),"","○")</f>
        <v/>
      </c>
      <c r="AP4" s="154"/>
      <c r="AQ4" s="66" t="str">
        <f>T('サービスコードマスタ（入力シート説明）'!$H8)</f>
        <v>②親値、子値ともに重複不可</v>
      </c>
      <c r="AR4" s="67"/>
      <c r="AS4" s="67"/>
      <c r="AT4" s="67"/>
      <c r="AU4" s="67"/>
      <c r="AV4" s="68"/>
      <c r="AW4" s="69"/>
      <c r="AX4" s="114" t="s">
        <v>544</v>
      </c>
      <c r="AY4" s="70"/>
      <c r="AZ4" s="69"/>
      <c r="BA4" s="69"/>
      <c r="BB4" s="69"/>
      <c r="BC4" s="69"/>
      <c r="BD4" s="69"/>
      <c r="BE4" s="69"/>
      <c r="BF4" s="68">
        <v>1.5</v>
      </c>
      <c r="BG4" s="112"/>
      <c r="BH4" s="137">
        <f>IF(ISBLANK('サービスコードマスタ（入力シート説明）'!$D8),"",LEN('サービスコードマスタ（入力シート説明）'!$D8))</f>
        <v>2</v>
      </c>
      <c r="BI4" s="137" t="str">
        <f>IF(ISBLANK('サービスコードマスタ（入力シート説明）'!$D8),"",IF(ISERROR(FIND("(",'サービスコードマスタ（入力シート説明）'!$D8,1)),"",FIND("(",'サービスコードマスタ（入力シート説明）'!$D8,1)))</f>
        <v/>
      </c>
      <c r="BJ4" s="137" t="str">
        <f>IF(ISBLANK('サービスコードマスタ（入力シート説明）'!$D8),"",IF(ISERROR(FIND("(",'サービスコードマスタ（入力シート説明）'!$D8,1)),"",FIND(")",'サービスコードマスタ（入力シート説明）'!$D8,1)))</f>
        <v/>
      </c>
      <c r="BK4" s="137">
        <f>IF(ISBLANK('サービスコードマスタ（入力シート説明）'!$D8),"",IF($BL4="",0,IF($BL4=1,1,IF((IF($BI4="",$BH4,$BI4-1))=$BL4,2,3))))</f>
        <v>0</v>
      </c>
      <c r="BL4" s="137" t="str">
        <f>IF(ISBLANK('サービスコードマスタ（入力シート説明）'!$D8),"",IF(ISERROR(FIND("～",'サービスコードマスタ（入力シート説明）'!$D8,1)),"",FIND("～",'サービスコードマスタ（入力シート説明）'!$D8,1)))</f>
        <v/>
      </c>
    </row>
    <row r="5" spans="1:64" s="4" customFormat="1" ht="26.4">
      <c r="A5" s="132">
        <f t="shared" si="0"/>
        <v>3</v>
      </c>
      <c r="B5" s="133" t="str">
        <f t="shared" si="1"/>
        <v>D</v>
      </c>
      <c r="C5" s="134"/>
      <c r="D5" s="135" t="str">
        <f>VLOOKUP($A5,'サービスコードマスタ（入力シート説明）'!$A$7:$B$109,2,$A5)</f>
        <v>サービスコード名称
（摘要）</v>
      </c>
      <c r="E5" s="134"/>
      <c r="F5" s="136" t="str">
        <f t="shared" si="2"/>
        <v/>
      </c>
      <c r="G5" s="42"/>
      <c r="H5" s="137" t="str">
        <f>IF(EXACT(T('サービスコードマスタ（入力シート説明）'!$E9),"必須"),"○","")</f>
        <v>○</v>
      </c>
      <c r="I5" s="137" t="str">
        <f>IF(EXACT(T('サービスコードマスタ（入力シート説明）'!$C9),"数値"),"○","")</f>
        <v/>
      </c>
      <c r="J5" s="137" t="str">
        <f>IF(EXACT(T('サービスコードマスタ（入力シート説明）'!$C9),"電話番号"),"○","")</f>
        <v/>
      </c>
      <c r="K5" s="137" t="str">
        <f>IF(EXACT(T('サービスコードマスタ（入力シート説明）'!$C9),"郵便番号"),"○","")</f>
        <v/>
      </c>
      <c r="L5" s="137" t="str">
        <f>IF(EXACT(T('サービスコードマスタ（入力シート説明）'!$C9),"日付（スラッシュなし）"),"○","")</f>
        <v/>
      </c>
      <c r="M5" s="137" t="str">
        <f>IF(EXACT(T('サービスコードマスタ（入力シート説明）'!$C9),"半角英数"),"○","")</f>
        <v/>
      </c>
      <c r="N5" s="137" t="str">
        <f>IF(ISBLANK('サービスコードマスタ（入力シート説明）'!$D9),"", IF(ISERROR(FIND("～", 'サービスコードマスタ（入力シート説明）'!$D9, 1)), "", IF(EXACT('サービスコードマスタ（入力シート説明）'!$D9,"～"), "", IF(LEN(LEFT('サービスコードマスタ（入力シート説明）'!$D9, FIND("～", 'サービスコードマスタ（入力シート説明）'!$D9, 1) - 1)) &gt;= 1, LEFT('サービスコードマスタ（入力シート説明）'!$D9, FIND("～", 'サービスコードマスタ（入力シート説明）'!$D9, 1) - 1), ""))))</f>
        <v/>
      </c>
      <c r="O5" s="137">
        <f>IF(T5&lt;&gt;"","",IF(OR('サービスコードマスタ（入力シート説明）'!C9="全半角",'サービスコードマスタ（入力シート説明）'!C9="全角",'サービスコードマスタ（入力シート説明）'!C9="全角英数",'サービスコードマスタ（入力シート説明）'!C9="全半角英数カナ",'サービスコードマスタ（入力シート説明）'!C9="全角英数カナ",'サービスコードマスタ（入力シート説明）'!C9="全角カナ",'サービスコードマスタ（入力シート説明）'!C9="半角カナ",'サービスコードマスタ（入力シート説明）'!C9="全銀協"),IF(OR(P5&lt;&gt;"",Q5&lt;&gt;""),TRUNC(IF(P5="",Q5/BF5,P5/BF5),0),""),IF(OR(P5&lt;&gt;"",Q5&lt;&gt;""),IF(P5="",Q5,P5),"")))</f>
        <v>160</v>
      </c>
      <c r="P5" s="137">
        <f>IF(ISBLANK('サービスコードマスタ（入力シート説明）'!$D9),"",IF($BK5=0,"",IF(OR($BK5=1,$BK5=3),MID('サービスコードマスタ（入力シート説明）'!$D9,$BL5+1,IF($BI5="",$BH5,$BI5-1)-$BL5)*IF($BG5&lt;&gt;"",$BF5,1),"")))</f>
        <v>240</v>
      </c>
      <c r="Q5" s="137" t="str">
        <f>IF(ISBLANK('サービスコードマスタ（入力シート説明）'!$D9), "", IF($BK5=0, IF($BI5="",'サービスコードマスタ（入力シート説明）'!$D9,LEFT('サービスコードマスタ（入力シート説明）'!$D9,$BI5-1))*IF(BG5&lt;&gt;"",BF5,1),""))</f>
        <v/>
      </c>
      <c r="R5" s="137" t="str">
        <f>IF(EXACT(T('サービスコードマスタ（入力シート説明）'!$C9),"全角"),"○","")</f>
        <v/>
      </c>
      <c r="S5" s="137" t="str">
        <f>IF(EXACT(T('サービスコードマスタ（入力シート説明）'!$C9),"全角カナ"),"○","")</f>
        <v/>
      </c>
      <c r="T5" s="136" t="str">
        <f>IF(ISBLANK('サービスコードマスタ（入力シート説明）'!$L9),"",IF(ISERROR(FIND("～",'サービスコードマスタ（入力シート説明）'!$L9,1)), 'サービスコードマスタ（入力シート説明）'!$L9, ""))</f>
        <v/>
      </c>
      <c r="U5" s="137" t="str">
        <f>IF(ISBLANK('サービスコードマスタ（入力シート説明）'!$L9),"",IF(ISERROR(FIND("～",'サービスコードマスタ（入力シート説明）'!$L9,1)), "", 'サービスコードマスタ（入力シート説明）'!$L9))</f>
        <v/>
      </c>
      <c r="V5" s="137" t="str">
        <f>IF(EXACT(T('サービスコードマスタ（入力シート説明）'!$I9),"あり"),"○","")</f>
        <v>○</v>
      </c>
      <c r="W5" s="137" t="str">
        <f>IF(EXACT(T('サービスコードマスタ（入力シート説明）'!$C9),"全銀協"),"○","")</f>
        <v/>
      </c>
      <c r="X5" s="137" t="str">
        <f>IF(EXACT(T('サービスコードマスタ（入力シート説明）'!$C9),"事業所コード"),"○","")</f>
        <v/>
      </c>
      <c r="Y5" s="137" t="str">
        <f>IF(EXACT(T('サービスコードマスタ（入力シート説明）'!$C9),"半角英数大文字・半角スペース"),"○","")</f>
        <v/>
      </c>
      <c r="Z5" s="137" t="str">
        <f>IF(EXACT(T('サービスコードマスタ（入力シート説明）'!$C9),"半角英数・半角ハイフン"),"○","")</f>
        <v/>
      </c>
      <c r="AA5" s="137" t="str">
        <f>IF(EXACT(T('サービスコードマスタ（入力シート説明）'!$C9),"全角英数カナ"),"○","")</f>
        <v/>
      </c>
      <c r="AB5" s="137" t="str">
        <f>IF(EXACT(T('サービスコードマスタ（入力シート説明）'!$C9),"半角英数カナ"),"○","")</f>
        <v/>
      </c>
      <c r="AC5" s="137" t="str">
        <f>IF(EXACT(T('サービスコードマスタ（入力シート説明）'!$C9),"全半角英数カナ"),"○","")</f>
        <v/>
      </c>
      <c r="AD5" s="137" t="str">
        <f>IF(EXACT(T('サービスコードマスタ（入力シート説明）'!$C9),"通貨"),"○","")</f>
        <v/>
      </c>
      <c r="AE5" s="137" t="str">
        <f>IF(EXACT(T('サービスコードマスタ（入力シート説明）'!$C9),"半角"),"○","")</f>
        <v/>
      </c>
      <c r="AF5" s="137" t="str">
        <f>IF(EXACT(T('サービスコードマスタ（入力シート説明）'!$C9),"半角カナ"),"○","")</f>
        <v/>
      </c>
      <c r="AG5" s="137" t="str">
        <f>IF(EXACT(T('サービスコードマスタ（入力シート説明）'!$C9),"半角英数・半角アンダーバー"),"○","")</f>
        <v/>
      </c>
      <c r="AH5" s="137" t="str">
        <f>IF(EXACT(T('サービスコードマスタ（入力シート説明）'!$C9),"日付（スラッシュあり）"),"○","")</f>
        <v/>
      </c>
      <c r="AI5" s="137" t="str">
        <f>IF(EXACT(T('サービスコードマスタ（入力シート説明）'!$C9),"全角英数"),"○","")</f>
        <v/>
      </c>
      <c r="AJ5" s="137" t="str">
        <f>IF(ISBLANK('サービスコードマスタ（入力シート説明）'!$D9),"",IF(ISERROR(FIND("(", 'サービスコードマスタ（入力シート説明）'!$D9, 1)),"",MID('サービスコードマスタ（入力シート説明）'!$D9,$BI5+1,$BJ5-$BI5-1)))</f>
        <v>80</v>
      </c>
      <c r="AK5" s="137" t="str">
        <f>IF(EXACT(T('サービスコードマスタ（入力シート説明）'!$F9),"あり"),"○","")</f>
        <v/>
      </c>
      <c r="AL5" s="138"/>
      <c r="AM5" s="137" t="str">
        <f>IF(EXACT(T('サービスコードマスタ（入力シート説明）'!$E9),"条件付き必須"),"○","")</f>
        <v/>
      </c>
      <c r="AN5" s="137" t="str">
        <f>IF(EXACT(T('サービスコードマスタ（入力シート説明）'!$G9),"あり"),"○","")</f>
        <v/>
      </c>
      <c r="AO5" s="137" t="str">
        <f>IF(ISBLANK('サービスコードマスタ（入力シート説明）'!$N9),"","○")</f>
        <v/>
      </c>
      <c r="AP5" s="42"/>
      <c r="AQ5" s="66" t="str">
        <f>T('サービスコードマスタ（入力シート説明）'!$H9)</f>
        <v>-</v>
      </c>
      <c r="AR5" s="67"/>
      <c r="AS5" s="67"/>
      <c r="AT5" s="67"/>
      <c r="AU5" s="67"/>
      <c r="AV5" s="68"/>
      <c r="AW5" s="69"/>
      <c r="AX5" s="114"/>
      <c r="AY5" s="70"/>
      <c r="AZ5" s="69"/>
      <c r="BA5" s="69"/>
      <c r="BB5" s="69"/>
      <c r="BC5" s="69"/>
      <c r="BD5" s="69"/>
      <c r="BE5" s="69"/>
      <c r="BF5" s="68">
        <v>1.5</v>
      </c>
      <c r="BG5" s="112"/>
      <c r="BH5" s="137">
        <f>IF(ISBLANK('サービスコードマスタ（入力シート説明）'!$D9),"",LEN('サービスコードマスタ（入力シート説明）'!$D9))</f>
        <v>8</v>
      </c>
      <c r="BI5" s="137">
        <f>IF(ISBLANK('サービスコードマスタ（入力シート説明）'!$D9),"",IF(ISERROR(FIND("(",'サービスコードマスタ（入力シート説明）'!$D9,1)),"",FIND("(",'サービスコードマスタ（入力シート説明）'!$D9,1)))</f>
        <v>5</v>
      </c>
      <c r="BJ5" s="137">
        <f>IF(ISBLANK('サービスコードマスタ（入力シート説明）'!$D9),"",IF(ISERROR(FIND("(",'サービスコードマスタ（入力シート説明）'!$D9,1)),"",FIND(")",'サービスコードマスタ（入力シート説明）'!$D9,1)))</f>
        <v>8</v>
      </c>
      <c r="BK5" s="137">
        <f>IF(ISBLANK('サービスコードマスタ（入力シート説明）'!$D9),"",IF($BL5="",0,IF($BL5=1,1,IF((IF($BI5="",$BH5,$BI5-1))=$BL5,2,3))))</f>
        <v>1</v>
      </c>
      <c r="BL5" s="137">
        <f>IF(ISBLANK('サービスコードマスタ（入力シート説明）'!$D9),"",IF(ISERROR(FIND("～",'サービスコードマスタ（入力シート説明）'!$D9,1)),"",FIND("～",'サービスコードマスタ（入力シート説明）'!$D9,1)))</f>
        <v>1</v>
      </c>
    </row>
    <row r="6" spans="1:64" s="4" customFormat="1">
      <c r="A6" s="132">
        <f t="shared" si="0"/>
        <v>4</v>
      </c>
      <c r="B6" s="133" t="str">
        <f t="shared" si="1"/>
        <v>E</v>
      </c>
      <c r="C6" s="134"/>
      <c r="D6" s="135" t="str">
        <f>VLOOKUP($A6,'サービスコードマスタ（入力シート説明）'!$A$7:$B$109,2,$A6)</f>
        <v>使用可能</v>
      </c>
      <c r="E6" s="134"/>
      <c r="F6" s="136" t="str">
        <f t="shared" si="2"/>
        <v>Y,N</v>
      </c>
      <c r="G6" s="42"/>
      <c r="H6" s="137" t="str">
        <f>IF(EXACT(T('サービスコードマスタ（入力シート説明）'!$E10),"必須"),"○","")</f>
        <v>○</v>
      </c>
      <c r="I6" s="137" t="str">
        <f>IF(EXACT(T('サービスコードマスタ（入力シート説明）'!$C10),"数値"),"○","")</f>
        <v/>
      </c>
      <c r="J6" s="137" t="str">
        <f>IF(EXACT(T('サービスコードマスタ（入力シート説明）'!$C10),"電話番号"),"○","")</f>
        <v/>
      </c>
      <c r="K6" s="137" t="str">
        <f>IF(EXACT(T('サービスコードマスタ（入力シート説明）'!$C10),"郵便番号"),"○","")</f>
        <v/>
      </c>
      <c r="L6" s="137" t="str">
        <f>IF(EXACT(T('サービスコードマスタ（入力シート説明）'!$C10),"日付（スラッシュなし）"),"○","")</f>
        <v/>
      </c>
      <c r="M6" s="137" t="str">
        <f>IF(EXACT(T('サービスコードマスタ（入力シート説明）'!$C10),"半角英数"),"○","")</f>
        <v>○</v>
      </c>
      <c r="N6" s="137" t="str">
        <f>IF(ISBLANK('サービスコードマスタ（入力シート説明）'!$D10),"", IF(ISERROR(FIND("～", 'サービスコードマスタ（入力シート説明）'!$D10, 1)), "", IF(EXACT('サービスコードマスタ（入力シート説明）'!$D10,"～"), "", IF(LEN(LEFT('サービスコードマスタ（入力シート説明）'!$D10, FIND("～", 'サービスコードマスタ（入力シート説明）'!$D10, 1) - 1)) &gt;= 1, LEFT('サービスコードマスタ（入力シート説明）'!$D10, FIND("～", 'サービスコードマスタ（入力シート説明）'!$D10, 1) - 1), ""))))</f>
        <v/>
      </c>
      <c r="O6" s="137" t="str">
        <f>IF(T6&lt;&gt;"","",IF(OR('サービスコードマスタ（入力シート説明）'!C10="全半角",'サービスコードマスタ（入力シート説明）'!C10="全角",'サービスコードマスタ（入力シート説明）'!C10="全角英数",'サービスコードマスタ（入力シート説明）'!C10="全半角英数カナ",'サービスコードマスタ（入力シート説明）'!C10="全角英数カナ",'サービスコードマスタ（入力シート説明）'!C10="全角カナ",'サービスコードマスタ（入力シート説明）'!C10="半角カナ",'サービスコードマスタ（入力シート説明）'!C10="全銀協"),IF(OR(P6&lt;&gt;"",Q6&lt;&gt;""),TRUNC(IF(P6="",Q6/BF6,P6/BF6),0),""),IF(OR(P6&lt;&gt;"",Q6&lt;&gt;""),IF(P6="",Q6,P6),"")))</f>
        <v/>
      </c>
      <c r="P6" s="137" t="str">
        <f>IF(ISBLANK('サービスコードマスタ（入力シート説明）'!$D10),"",IF($BK6=0,"",IF(OR($BK6=1,$BK6=3),MID('サービスコードマスタ（入力シート説明）'!$D10,$BL6+1,IF($BI6="",$BH6,$BI6-1)-$BL6)*IF($BG6&lt;&gt;"",$BF6,1),"")))</f>
        <v/>
      </c>
      <c r="Q6" s="137">
        <f>IF(ISBLANK('サービスコードマスタ（入力シート説明）'!$D10), "", IF($BK6=0, IF($BI6="",'サービスコードマスタ（入力シート説明）'!$D10,LEFT('サービスコードマスタ（入力シート説明）'!$D10,$BI6-1))*IF(BG6&lt;&gt;"",BF6,1),""))</f>
        <v>1</v>
      </c>
      <c r="R6" s="137" t="str">
        <f>IF(EXACT(T('サービスコードマスタ（入力シート説明）'!$C10),"全角"),"○","")</f>
        <v/>
      </c>
      <c r="S6" s="137" t="str">
        <f>IF(EXACT(T('サービスコードマスタ（入力シート説明）'!$C10),"全角カナ"),"○","")</f>
        <v/>
      </c>
      <c r="T6" s="136" t="str">
        <f>IF(ISBLANK('サービスコードマスタ（入力シート説明）'!$L10),"",IF(ISERROR(FIND("～",'サービスコードマスタ（入力シート説明）'!$L10,1)), 'サービスコードマスタ（入力シート説明）'!$L10, ""))</f>
        <v>Y,N</v>
      </c>
      <c r="U6" s="137" t="str">
        <f>IF(ISBLANK('サービスコードマスタ（入力シート説明）'!$L10),"",IF(ISERROR(FIND("～",'サービスコードマスタ（入力シート説明）'!$L10,1)), "", 'サービスコードマスタ（入力シート説明）'!$L10))</f>
        <v/>
      </c>
      <c r="V6" s="137" t="str">
        <f>IF(EXACT(T('サービスコードマスタ（入力シート説明）'!$I10),"あり"),"○","")</f>
        <v/>
      </c>
      <c r="W6" s="137" t="str">
        <f>IF(EXACT(T('サービスコードマスタ（入力シート説明）'!$C10),"全銀協"),"○","")</f>
        <v/>
      </c>
      <c r="X6" s="137" t="str">
        <f>IF(EXACT(T('サービスコードマスタ（入力シート説明）'!$C10),"事業所コード"),"○","")</f>
        <v/>
      </c>
      <c r="Y6" s="137" t="str">
        <f>IF(EXACT(T('サービスコードマスタ（入力シート説明）'!$C10),"半角英数大文字・半角スペース"),"○","")</f>
        <v/>
      </c>
      <c r="Z6" s="137" t="str">
        <f>IF(EXACT(T('サービスコードマスタ（入力シート説明）'!$C10),"半角英数・半角ハイフン"),"○","")</f>
        <v/>
      </c>
      <c r="AA6" s="137" t="str">
        <f>IF(EXACT(T('サービスコードマスタ（入力シート説明）'!$C10),"全角英数カナ"),"○","")</f>
        <v/>
      </c>
      <c r="AB6" s="137" t="str">
        <f>IF(EXACT(T('サービスコードマスタ（入力シート説明）'!$C10),"半角英数カナ"),"○","")</f>
        <v/>
      </c>
      <c r="AC6" s="137" t="str">
        <f>IF(EXACT(T('サービスコードマスタ（入力シート説明）'!$C10),"全半角英数カナ"),"○","")</f>
        <v/>
      </c>
      <c r="AD6" s="137" t="str">
        <f>IF(EXACT(T('サービスコードマスタ（入力シート説明）'!$C10),"通貨"),"○","")</f>
        <v/>
      </c>
      <c r="AE6" s="137" t="str">
        <f>IF(EXACT(T('サービスコードマスタ（入力シート説明）'!$C10),"半角"),"○","")</f>
        <v/>
      </c>
      <c r="AF6" s="137" t="str">
        <f>IF(EXACT(T('サービスコードマスタ（入力シート説明）'!$C10),"半角カナ"),"○","")</f>
        <v/>
      </c>
      <c r="AG6" s="137" t="str">
        <f>IF(EXACT(T('サービスコードマスタ（入力シート説明）'!$C10),"半角英数・半角アンダーバー"),"○","")</f>
        <v/>
      </c>
      <c r="AH6" s="137" t="str">
        <f>IF(EXACT(T('サービスコードマスタ（入力シート説明）'!$C10),"日付（スラッシュあり）"),"○","")</f>
        <v/>
      </c>
      <c r="AI6" s="137" t="str">
        <f>IF(EXACT(T('サービスコードマスタ（入力シート説明）'!$C10),"全角英数"),"○","")</f>
        <v/>
      </c>
      <c r="AJ6" s="137" t="str">
        <f>IF(ISBLANK('サービスコードマスタ（入力シート説明）'!$D10),"",IF(ISERROR(FIND("(", 'サービスコードマスタ（入力シート説明）'!$D10, 1)),"",MID('サービスコードマスタ（入力シート説明）'!$D10,$BI6+1,$BJ6-$BI6-1)))</f>
        <v/>
      </c>
      <c r="AK6" s="137" t="str">
        <f>IF(EXACT(T('サービスコードマスタ（入力シート説明）'!$F10),"あり"),"○","")</f>
        <v/>
      </c>
      <c r="AL6" s="138"/>
      <c r="AM6" s="137" t="str">
        <f>IF(EXACT(T('サービスコードマスタ（入力シート説明）'!$E10),"条件付き必須"),"○","")</f>
        <v/>
      </c>
      <c r="AN6" s="137" t="str">
        <f>IF(EXACT(T('サービスコードマスタ（入力シート説明）'!$G10),"あり"),"○","")</f>
        <v/>
      </c>
      <c r="AO6" s="137" t="str">
        <f>IF(ISBLANK('サービスコードマスタ（入力シート説明）'!$N10),"","○")</f>
        <v/>
      </c>
      <c r="AP6" s="42"/>
      <c r="AQ6" s="66" t="str">
        <f>T('サービスコードマスタ（入力シート説明）'!$H10)</f>
        <v>-</v>
      </c>
      <c r="AR6" s="67"/>
      <c r="AS6" s="67"/>
      <c r="AT6" s="67"/>
      <c r="AU6" s="67"/>
      <c r="AV6" s="68"/>
      <c r="AW6" s="69"/>
      <c r="AX6" s="114"/>
      <c r="AY6" s="70"/>
      <c r="AZ6" s="69"/>
      <c r="BA6" s="69"/>
      <c r="BB6" s="69"/>
      <c r="BC6" s="69"/>
      <c r="BD6" s="69"/>
      <c r="BE6" s="69"/>
      <c r="BF6" s="68">
        <v>1.5</v>
      </c>
      <c r="BG6" s="112"/>
      <c r="BH6" s="137">
        <f>IF(ISBLANK('サービスコードマスタ（入力シート説明）'!$D10),"",LEN('サービスコードマスタ（入力シート説明）'!$D10))</f>
        <v>1</v>
      </c>
      <c r="BI6" s="137" t="str">
        <f>IF(ISBLANK('サービスコードマスタ（入力シート説明）'!$D10),"",IF(ISERROR(FIND("(",'サービスコードマスタ（入力シート説明）'!$D10,1)),"",FIND("(",'サービスコードマスタ（入力シート説明）'!$D10,1)))</f>
        <v/>
      </c>
      <c r="BJ6" s="137" t="str">
        <f>IF(ISBLANK('サービスコードマスタ（入力シート説明）'!$D10),"",IF(ISERROR(FIND("(",'サービスコードマスタ（入力シート説明）'!$D10,1)),"",FIND(")",'サービスコードマスタ（入力シート説明）'!$D10,1)))</f>
        <v/>
      </c>
      <c r="BK6" s="137">
        <f>IF(ISBLANK('サービスコードマスタ（入力シート説明）'!$D10),"",IF($BL6="",0,IF($BL6=1,1,IF((IF($BI6="",$BH6,$BI6-1))=$BL6,2,3))))</f>
        <v>0</v>
      </c>
      <c r="BL6" s="137" t="str">
        <f>IF(ISBLANK('サービスコードマスタ（入力シート説明）'!$D10),"",IF(ISERROR(FIND("～",'サービスコードマスタ（入力シート説明）'!$D10,1)),"",FIND("～",'サービスコードマスタ（入力シート説明）'!$D10,1)))</f>
        <v/>
      </c>
    </row>
    <row r="7" spans="1:64" s="4" customFormat="1">
      <c r="A7" s="132">
        <f t="shared" si="0"/>
        <v>5</v>
      </c>
      <c r="B7" s="133" t="str">
        <f t="shared" si="1"/>
        <v>F</v>
      </c>
      <c r="C7" s="134"/>
      <c r="D7" s="135" t="str">
        <f>VLOOKUP($A7,'サービスコードマスタ（入力シート説明）'!$A$7:$B$109,2,$A7)</f>
        <v>有効開始日</v>
      </c>
      <c r="E7" s="134"/>
      <c r="F7" s="136" t="str">
        <f t="shared" si="2"/>
        <v/>
      </c>
      <c r="G7" s="42"/>
      <c r="H7" s="137" t="str">
        <f>IF(EXACT(T('サービスコードマスタ（入力シート説明）'!$E11),"必須"),"○","")</f>
        <v/>
      </c>
      <c r="I7" s="137" t="str">
        <f>IF(EXACT(T('サービスコードマスタ（入力シート説明）'!$C11),"数値"),"○","")</f>
        <v/>
      </c>
      <c r="J7" s="137" t="str">
        <f>IF(EXACT(T('サービスコードマスタ（入力シート説明）'!$C11),"電話番号"),"○","")</f>
        <v/>
      </c>
      <c r="K7" s="137" t="str">
        <f>IF(EXACT(T('サービスコードマスタ（入力シート説明）'!$C11),"郵便番号"),"○","")</f>
        <v/>
      </c>
      <c r="L7" s="137" t="str">
        <f>IF(EXACT(T('サービスコードマスタ（入力シート説明）'!$C11),"日付（スラッシュなし）"),"○","")</f>
        <v>○</v>
      </c>
      <c r="M7" s="137" t="str">
        <f>IF(EXACT(T('サービスコードマスタ（入力シート説明）'!$C11),"半角英数"),"○","")</f>
        <v/>
      </c>
      <c r="N7" s="137" t="str">
        <f>IF(ISBLANK('サービスコードマスタ（入力シート説明）'!$D11),"", IF(ISERROR(FIND("～", 'サービスコードマスタ（入力シート説明）'!$D11, 1)), "", IF(EXACT('サービスコードマスタ（入力シート説明）'!$D11,"～"), "", IF(LEN(LEFT('サービスコードマスタ（入力シート説明）'!$D11, FIND("～", 'サービスコードマスタ（入力シート説明）'!$D11, 1) - 1)) &gt;= 1, LEFT('サービスコードマスタ（入力シート説明）'!$D11, FIND("～", 'サービスコードマスタ（入力シート説明）'!$D11, 1) - 1), ""))))</f>
        <v/>
      </c>
      <c r="O7" s="137">
        <f>IF(T7&lt;&gt;"","",IF(OR('サービスコードマスタ（入力シート説明）'!C11="全半角",'サービスコードマスタ（入力シート説明）'!C11="全角",'サービスコードマスタ（入力シート説明）'!C11="全角英数",'サービスコードマスタ（入力シート説明）'!C11="全半角英数カナ",'サービスコードマスタ（入力シート説明）'!C11="全角英数カナ",'サービスコードマスタ（入力シート説明）'!C11="全角カナ",'サービスコードマスタ（入力シート説明）'!C11="半角カナ",'サービスコードマスタ（入力シート説明）'!C11="全銀協"),IF(OR(P7&lt;&gt;"",Q7&lt;&gt;""),TRUNC(IF(P7="",Q7/BF7,P7/BF7),0),""),IF(OR(P7&lt;&gt;"",Q7&lt;&gt;""),IF(P7="",Q7,P7),"")))</f>
        <v>8</v>
      </c>
      <c r="P7" s="137" t="str">
        <f>IF(ISBLANK('サービスコードマスタ（入力シート説明）'!$D11),"",IF($BK7=0,"",IF(OR($BK7=1,$BK7=3),MID('サービスコードマスタ（入力シート説明）'!$D11,$BL7+1,IF($BI7="",$BH7,$BI7-1)-$BL7)*IF($BG7&lt;&gt;"",$BF7,1),"")))</f>
        <v/>
      </c>
      <c r="Q7" s="137">
        <f>IF(ISBLANK('サービスコードマスタ（入力シート説明）'!$D11), "", IF($BK7=0, IF($BI7="",'サービスコードマスタ（入力シート説明）'!$D11,LEFT('サービスコードマスタ（入力シート説明）'!$D11,$BI7-1))*IF(BG7&lt;&gt;"",BF7,1),""))</f>
        <v>8</v>
      </c>
      <c r="R7" s="137" t="str">
        <f>IF(EXACT(T('サービスコードマスタ（入力シート説明）'!$C11),"全角"),"○","")</f>
        <v/>
      </c>
      <c r="S7" s="137" t="str">
        <f>IF(EXACT(T('サービスコードマスタ（入力シート説明）'!$C11),"全角カナ"),"○","")</f>
        <v/>
      </c>
      <c r="T7" s="136" t="str">
        <f>IF(ISBLANK('サービスコードマスタ（入力シート説明）'!$L11),"",IF(ISERROR(FIND("～",'サービスコードマスタ（入力シート説明）'!$L11,1)), 'サービスコードマスタ（入力シート説明）'!$L11, ""))</f>
        <v/>
      </c>
      <c r="U7" s="137" t="str">
        <f>IF(ISBLANK('サービスコードマスタ（入力シート説明）'!$L11),"",IF(ISERROR(FIND("～",'サービスコードマスタ（入力シート説明）'!$L11,1)), "", 'サービスコードマスタ（入力シート説明）'!$L11))</f>
        <v/>
      </c>
      <c r="V7" s="137" t="str">
        <f>IF(EXACT(T('サービスコードマスタ（入力シート説明）'!$I11),"あり"),"○","")</f>
        <v/>
      </c>
      <c r="W7" s="137" t="str">
        <f>IF(EXACT(T('サービスコードマスタ（入力シート説明）'!$C11),"全銀協"),"○","")</f>
        <v/>
      </c>
      <c r="X7" s="137" t="str">
        <f>IF(EXACT(T('サービスコードマスタ（入力シート説明）'!$C11),"事業所コード"),"○","")</f>
        <v/>
      </c>
      <c r="Y7" s="137" t="str">
        <f>IF(EXACT(T('サービスコードマスタ（入力シート説明）'!$C11),"半角英数大文字・半角スペース"),"○","")</f>
        <v/>
      </c>
      <c r="Z7" s="137" t="str">
        <f>IF(EXACT(T('サービスコードマスタ（入力シート説明）'!$C11),"半角英数・半角ハイフン"),"○","")</f>
        <v/>
      </c>
      <c r="AA7" s="137" t="str">
        <f>IF(EXACT(T('サービスコードマスタ（入力シート説明）'!$C11),"全角英数カナ"),"○","")</f>
        <v/>
      </c>
      <c r="AB7" s="137" t="str">
        <f>IF(EXACT(T('サービスコードマスタ（入力シート説明）'!$C11),"半角英数カナ"),"○","")</f>
        <v/>
      </c>
      <c r="AC7" s="137" t="str">
        <f>IF(EXACT(T('サービスコードマスタ（入力シート説明）'!$C11),"全半角英数カナ"),"○","")</f>
        <v/>
      </c>
      <c r="AD7" s="137" t="str">
        <f>IF(EXACT(T('サービスコードマスタ（入力シート説明）'!$C11),"通貨"),"○","")</f>
        <v/>
      </c>
      <c r="AE7" s="137" t="str">
        <f>IF(EXACT(T('サービスコードマスタ（入力シート説明）'!$C11),"半角"),"○","")</f>
        <v/>
      </c>
      <c r="AF7" s="137" t="str">
        <f>IF(EXACT(T('サービスコードマスタ（入力シート説明）'!$C11),"半角カナ"),"○","")</f>
        <v/>
      </c>
      <c r="AG7" s="137" t="str">
        <f>IF(EXACT(T('サービスコードマスタ（入力シート説明）'!$C11),"半角英数・半角アンダーバー"),"○","")</f>
        <v/>
      </c>
      <c r="AH7" s="137" t="str">
        <f>IF(EXACT(T('サービスコードマスタ（入力シート説明）'!$C11),"日付（スラッシュあり）"),"○","")</f>
        <v/>
      </c>
      <c r="AI7" s="137" t="str">
        <f>IF(EXACT(T('サービスコードマスタ（入力シート説明）'!$C11),"全角英数"),"○","")</f>
        <v/>
      </c>
      <c r="AJ7" s="137" t="str">
        <f>IF(ISBLANK('サービスコードマスタ（入力シート説明）'!$D11),"",IF(ISERROR(FIND("(", 'サービスコードマスタ（入力シート説明）'!$D11, 1)),"",MID('サービスコードマスタ（入力シート説明）'!$D11,$BI7+1,$BJ7-$BI7-1)))</f>
        <v/>
      </c>
      <c r="AK7" s="137" t="str">
        <f>IF(EXACT(T('サービスコードマスタ（入力シート説明）'!$F11),"あり"),"○","")</f>
        <v/>
      </c>
      <c r="AL7" s="138"/>
      <c r="AM7" s="137" t="str">
        <f>IF(EXACT(T('サービスコードマスタ（入力シート説明）'!$E11),"条件付き必須"),"○","")</f>
        <v>○</v>
      </c>
      <c r="AN7" s="137" t="str">
        <f>IF(EXACT(T('サービスコードマスタ（入力シート説明）'!$G11),"あり"),"○","")</f>
        <v/>
      </c>
      <c r="AO7" s="137" t="str">
        <f>IF(ISBLANK('サービスコードマスタ（入力シート説明）'!$N11),"","○")</f>
        <v/>
      </c>
      <c r="AP7" s="42"/>
      <c r="AQ7" s="66" t="str">
        <f>T('サービスコードマスタ（入力シート説明）'!$H11)</f>
        <v>①使用可能がYの場合に必須入力。</v>
      </c>
      <c r="AR7" s="67"/>
      <c r="AS7" s="67"/>
      <c r="AT7" s="67"/>
      <c r="AU7" s="67"/>
      <c r="AV7" s="68"/>
      <c r="AW7" s="69"/>
      <c r="AX7" s="114"/>
      <c r="AY7" s="70"/>
      <c r="AZ7" s="114" t="s">
        <v>545</v>
      </c>
      <c r="BA7" s="69"/>
      <c r="BB7" s="69"/>
      <c r="BC7" s="69"/>
      <c r="BD7" s="69"/>
      <c r="BE7" s="69"/>
      <c r="BF7" s="68">
        <v>1.5</v>
      </c>
      <c r="BG7" s="112"/>
      <c r="BH7" s="137">
        <f>IF(ISBLANK('サービスコードマスタ（入力シート説明）'!$D11),"",LEN('サービスコードマスタ（入力シート説明）'!$D11))</f>
        <v>1</v>
      </c>
      <c r="BI7" s="137" t="str">
        <f>IF(ISBLANK('サービスコードマスタ（入力シート説明）'!$D11),"",IF(ISERROR(FIND("(",'サービスコードマスタ（入力シート説明）'!$D11,1)),"",FIND("(",'サービスコードマスタ（入力シート説明）'!$D11,1)))</f>
        <v/>
      </c>
      <c r="BJ7" s="137" t="str">
        <f>IF(ISBLANK('サービスコードマスタ（入力シート説明）'!$D11),"",IF(ISERROR(FIND("(",'サービスコードマスタ（入力シート説明）'!$D11,1)),"",FIND(")",'サービスコードマスタ（入力シート説明）'!$D11,1)))</f>
        <v/>
      </c>
      <c r="BK7" s="137">
        <f>IF(ISBLANK('サービスコードマスタ（入力シート説明）'!$D11),"",IF($BL7="",0,IF($BL7=1,1,IF((IF($BI7="",$BH7,$BI7-1))=$BL7,2,3))))</f>
        <v>0</v>
      </c>
      <c r="BL7" s="137" t="str">
        <f>IF(ISBLANK('サービスコードマスタ（入力シート説明）'!$D11),"",IF(ISERROR(FIND("～",'サービスコードマスタ（入力シート説明）'!$D11,1)),"",FIND("～",'サービスコードマスタ（入力シート説明）'!$D11,1)))</f>
        <v/>
      </c>
    </row>
    <row r="8" spans="1:64" s="4" customFormat="1">
      <c r="A8" s="132">
        <f t="shared" si="0"/>
        <v>6</v>
      </c>
      <c r="B8" s="133" t="str">
        <f t="shared" si="1"/>
        <v>G</v>
      </c>
      <c r="C8" s="134"/>
      <c r="D8" s="135" t="str">
        <f>VLOOKUP($A8,'サービスコードマスタ（入力シート説明）'!$A$7:$B$109,2,$A8)</f>
        <v>有効終了日</v>
      </c>
      <c r="E8" s="134"/>
      <c r="F8" s="136" t="str">
        <f t="shared" si="2"/>
        <v/>
      </c>
      <c r="G8" s="42"/>
      <c r="H8" s="137" t="str">
        <f>IF(EXACT(T('サービスコードマスタ（入力シート説明）'!$E12),"必須"),"○","")</f>
        <v/>
      </c>
      <c r="I8" s="137" t="str">
        <f>IF(EXACT(T('サービスコードマスタ（入力シート説明）'!$C12),"数値"),"○","")</f>
        <v/>
      </c>
      <c r="J8" s="137" t="str">
        <f>IF(EXACT(T('サービスコードマスタ（入力シート説明）'!$C12),"電話番号"),"○","")</f>
        <v/>
      </c>
      <c r="K8" s="137" t="str">
        <f>IF(EXACT(T('サービスコードマスタ（入力シート説明）'!$C12),"郵便番号"),"○","")</f>
        <v/>
      </c>
      <c r="L8" s="137" t="str">
        <f>IF(EXACT(T('サービスコードマスタ（入力シート説明）'!$C12),"日付（スラッシュなし）"),"○","")</f>
        <v>○</v>
      </c>
      <c r="M8" s="137" t="str">
        <f>IF(EXACT(T('サービスコードマスタ（入力シート説明）'!$C12),"半角英数"),"○","")</f>
        <v/>
      </c>
      <c r="N8" s="137" t="str">
        <f>IF(ISBLANK('サービスコードマスタ（入力シート説明）'!$D12),"", IF(ISERROR(FIND("～", 'サービスコードマスタ（入力シート説明）'!$D12, 1)), "", IF(EXACT('サービスコードマスタ（入力シート説明）'!$D12,"～"), "", IF(LEN(LEFT('サービスコードマスタ（入力シート説明）'!$D12, FIND("～", 'サービスコードマスタ（入力シート説明）'!$D12, 1) - 1)) &gt;= 1, LEFT('サービスコードマスタ（入力シート説明）'!$D12, FIND("～", 'サービスコードマスタ（入力シート説明）'!$D12, 1) - 1), ""))))</f>
        <v/>
      </c>
      <c r="O8" s="137">
        <f>IF(T8&lt;&gt;"","",IF(OR('サービスコードマスタ（入力シート説明）'!C12="全半角",'サービスコードマスタ（入力シート説明）'!C12="全角",'サービスコードマスタ（入力シート説明）'!C12="全角英数",'サービスコードマスタ（入力シート説明）'!C12="全半角英数カナ",'サービスコードマスタ（入力シート説明）'!C12="全角英数カナ",'サービスコードマスタ（入力シート説明）'!C12="全角カナ",'サービスコードマスタ（入力シート説明）'!C12="半角カナ",'サービスコードマスタ（入力シート説明）'!C12="全銀協"),IF(OR(P8&lt;&gt;"",Q8&lt;&gt;""),TRUNC(IF(P8="",Q8/BF8,P8/BF8),0),""),IF(OR(P8&lt;&gt;"",Q8&lt;&gt;""),IF(P8="",Q8,P8),"")))</f>
        <v>8</v>
      </c>
      <c r="P8" s="137" t="str">
        <f>IF(ISBLANK('サービスコードマスタ（入力シート説明）'!$D12),"",IF($BK8=0,"",IF(OR($BK8=1,$BK8=3),MID('サービスコードマスタ（入力シート説明）'!$D12,$BL8+1,IF($BI8="",$BH8,$BI8-1)-$BL8)*IF($BG8&lt;&gt;"",$BF8,1),"")))</f>
        <v/>
      </c>
      <c r="Q8" s="137">
        <f>IF(ISBLANK('サービスコードマスタ（入力シート説明）'!$D12), "", IF($BK8=0, IF($BI8="",'サービスコードマスタ（入力シート説明）'!$D12,LEFT('サービスコードマスタ（入力シート説明）'!$D12,$BI8-1))*IF(BG8&lt;&gt;"",BF8,1),""))</f>
        <v>8</v>
      </c>
      <c r="R8" s="137" t="str">
        <f>IF(EXACT(T('サービスコードマスタ（入力シート説明）'!$C12),"全角"),"○","")</f>
        <v/>
      </c>
      <c r="S8" s="137" t="str">
        <f>IF(EXACT(T('サービスコードマスタ（入力シート説明）'!$C12),"全角カナ"),"○","")</f>
        <v/>
      </c>
      <c r="T8" s="136" t="str">
        <f>IF(ISBLANK('サービスコードマスタ（入力シート説明）'!$L12),"",IF(ISERROR(FIND("～",'サービスコードマスタ（入力シート説明）'!$L12,1)), 'サービスコードマスタ（入力シート説明）'!$L12, ""))</f>
        <v/>
      </c>
      <c r="U8" s="137" t="str">
        <f>IF(ISBLANK('サービスコードマスタ（入力シート説明）'!$L12),"",IF(ISERROR(FIND("～",'サービスコードマスタ（入力シート説明）'!$L12,1)), "", 'サービスコードマスタ（入力シート説明）'!$L12))</f>
        <v/>
      </c>
      <c r="V8" s="137" t="str">
        <f>IF(EXACT(T('サービスコードマスタ（入力シート説明）'!$I12),"あり"),"○","")</f>
        <v/>
      </c>
      <c r="W8" s="137" t="str">
        <f>IF(EXACT(T('サービスコードマスタ（入力シート説明）'!$C12),"全銀協"),"○","")</f>
        <v/>
      </c>
      <c r="X8" s="137" t="str">
        <f>IF(EXACT(T('サービスコードマスタ（入力シート説明）'!$C12),"事業所コード"),"○","")</f>
        <v/>
      </c>
      <c r="Y8" s="137" t="str">
        <f>IF(EXACT(T('サービスコードマスタ（入力シート説明）'!$C12),"半角英数大文字・半角スペース"),"○","")</f>
        <v/>
      </c>
      <c r="Z8" s="137" t="str">
        <f>IF(EXACT(T('サービスコードマスタ（入力シート説明）'!$C12),"半角英数・半角ハイフン"),"○","")</f>
        <v/>
      </c>
      <c r="AA8" s="137" t="str">
        <f>IF(EXACT(T('サービスコードマスタ（入力シート説明）'!$C12),"全角英数カナ"),"○","")</f>
        <v/>
      </c>
      <c r="AB8" s="137" t="str">
        <f>IF(EXACT(T('サービスコードマスタ（入力シート説明）'!$C12),"半角英数カナ"),"○","")</f>
        <v/>
      </c>
      <c r="AC8" s="137" t="str">
        <f>IF(EXACT(T('サービスコードマスタ（入力シート説明）'!$C12),"全半角英数カナ"),"○","")</f>
        <v/>
      </c>
      <c r="AD8" s="137" t="str">
        <f>IF(EXACT(T('サービスコードマスタ（入力シート説明）'!$C12),"通貨"),"○","")</f>
        <v/>
      </c>
      <c r="AE8" s="137" t="str">
        <f>IF(EXACT(T('サービスコードマスタ（入力シート説明）'!$C12),"半角"),"○","")</f>
        <v/>
      </c>
      <c r="AF8" s="137" t="str">
        <f>IF(EXACT(T('サービスコードマスタ（入力シート説明）'!$C12),"半角カナ"),"○","")</f>
        <v/>
      </c>
      <c r="AG8" s="137" t="str">
        <f>IF(EXACT(T('サービスコードマスタ（入力シート説明）'!$C12),"半角英数・半角アンダーバー"),"○","")</f>
        <v/>
      </c>
      <c r="AH8" s="137" t="str">
        <f>IF(EXACT(T('サービスコードマスタ（入力シート説明）'!$C12),"日付（スラッシュあり）"),"○","")</f>
        <v/>
      </c>
      <c r="AI8" s="137" t="str">
        <f>IF(EXACT(T('サービスコードマスタ（入力シート説明）'!$C12),"全角英数"),"○","")</f>
        <v/>
      </c>
      <c r="AJ8" s="137" t="str">
        <f>IF(ISBLANK('サービスコードマスタ（入力シート説明）'!$D12),"",IF(ISERROR(FIND("(", 'サービスコードマスタ（入力シート説明）'!$D12, 1)),"",MID('サービスコードマスタ（入力シート説明）'!$D12,$BI8+1,$BJ8-$BI8-1)))</f>
        <v/>
      </c>
      <c r="AK8" s="137" t="str">
        <f>IF(EXACT(T('サービスコードマスタ（入力シート説明）'!$F12),"あり"),"○","")</f>
        <v/>
      </c>
      <c r="AL8" s="138"/>
      <c r="AM8" s="137" t="str">
        <f>IF(EXACT(T('サービスコードマスタ（入力シート説明）'!$E12),"条件付き必須"),"○","")</f>
        <v/>
      </c>
      <c r="AN8" s="137" t="str">
        <f>IF(EXACT(T('サービスコードマスタ（入力シート説明）'!$G12),"あり"),"○","")</f>
        <v>○</v>
      </c>
      <c r="AO8" s="137" t="str">
        <f>IF(ISBLANK('サービスコードマスタ（入力シート説明）'!$N12),"","○")</f>
        <v/>
      </c>
      <c r="AP8" s="42"/>
      <c r="AQ8" s="66" t="str">
        <f>T('サービスコードマスタ（入力シート説明）'!$H12)</f>
        <v>③「有効開始日」&lt;=「有効終了日」であること。</v>
      </c>
      <c r="AR8" s="67"/>
      <c r="AS8" s="67"/>
      <c r="AT8" s="67"/>
      <c r="AU8" s="67"/>
      <c r="AV8" s="68"/>
      <c r="AW8" s="69"/>
      <c r="AX8" s="114"/>
      <c r="AY8" s="70"/>
      <c r="AZ8" s="69"/>
      <c r="BA8" s="69"/>
      <c r="BB8" s="69"/>
      <c r="BC8" s="114" t="s">
        <v>726</v>
      </c>
      <c r="BD8" s="69"/>
      <c r="BE8" s="69"/>
      <c r="BF8" s="68">
        <v>1.5</v>
      </c>
      <c r="BG8" s="112"/>
      <c r="BH8" s="137">
        <f>IF(ISBLANK('サービスコードマスタ（入力シート説明）'!$D12),"",LEN('サービスコードマスタ（入力シート説明）'!$D12))</f>
        <v>1</v>
      </c>
      <c r="BI8" s="137" t="str">
        <f>IF(ISBLANK('サービスコードマスタ（入力シート説明）'!$D12),"",IF(ISERROR(FIND("(",'サービスコードマスタ（入力シート説明）'!$D12,1)),"",FIND("(",'サービスコードマスタ（入力シート説明）'!$D12,1)))</f>
        <v/>
      </c>
      <c r="BJ8" s="137" t="str">
        <f>IF(ISBLANK('サービスコードマスタ（入力シート説明）'!$D12),"",IF(ISERROR(FIND("(",'サービスコードマスタ（入力シート説明）'!$D12,1)),"",FIND(")",'サービスコードマスタ（入力シート説明）'!$D12,1)))</f>
        <v/>
      </c>
      <c r="BK8" s="137">
        <f>IF(ISBLANK('サービスコードマスタ（入力シート説明）'!$D12),"",IF($BL8="",0,IF($BL8=1,1,IF((IF($BI8="",$BH8,$BI8-1))=$BL8,2,3))))</f>
        <v>0</v>
      </c>
      <c r="BL8" s="137" t="str">
        <f>IF(ISBLANK('サービスコードマスタ（入力シート説明）'!$D12),"",IF(ISERROR(FIND("～",'サービスコードマスタ（入力シート説明）'!$D12,1)),"",FIND("～",'サービスコードマスタ（入力シート説明）'!$D12,1)))</f>
        <v/>
      </c>
    </row>
    <row r="9" spans="1:64" s="4" customFormat="1">
      <c r="A9" s="132">
        <f t="shared" si="0"/>
        <v>7</v>
      </c>
      <c r="B9" s="133" t="str">
        <f t="shared" si="1"/>
        <v>H</v>
      </c>
      <c r="C9" s="134"/>
      <c r="D9" s="135" t="str">
        <f>VLOOKUP($A9,'サービスコードマスタ（入力シート説明）'!$A$7:$B$109,2,$A9)</f>
        <v>親</v>
      </c>
      <c r="E9" s="134"/>
      <c r="F9" s="136" t="str">
        <f t="shared" si="2"/>
        <v>Y,N</v>
      </c>
      <c r="G9" s="42"/>
      <c r="H9" s="137" t="str">
        <f>IF(EXACT(T('サービスコードマスタ（入力シート説明）'!$E13),"必須"),"○","")</f>
        <v>○</v>
      </c>
      <c r="I9" s="137" t="str">
        <f>IF(EXACT(T('サービスコードマスタ（入力シート説明）'!$C13),"数値"),"○","")</f>
        <v/>
      </c>
      <c r="J9" s="137" t="str">
        <f>IF(EXACT(T('サービスコードマスタ（入力シート説明）'!$C13),"電話番号"),"○","")</f>
        <v/>
      </c>
      <c r="K9" s="137" t="str">
        <f>IF(EXACT(T('サービスコードマスタ（入力シート説明）'!$C13),"郵便番号"),"○","")</f>
        <v/>
      </c>
      <c r="L9" s="137" t="str">
        <f>IF(EXACT(T('サービスコードマスタ（入力シート説明）'!$C13),"日付（スラッシュなし）"),"○","")</f>
        <v/>
      </c>
      <c r="M9" s="137" t="str">
        <f>IF(EXACT(T('サービスコードマスタ（入力シート説明）'!$C13),"半角英数"),"○","")</f>
        <v>○</v>
      </c>
      <c r="N9" s="137" t="str">
        <f>IF(ISBLANK('サービスコードマスタ（入力シート説明）'!$D13),"", IF(ISERROR(FIND("～", 'サービスコードマスタ（入力シート説明）'!$D13, 1)), "", IF(EXACT('サービスコードマスタ（入力シート説明）'!$D13,"～"), "", IF(LEN(LEFT('サービスコードマスタ（入力シート説明）'!$D13, FIND("～", 'サービスコードマスタ（入力シート説明）'!$D13, 1) - 1)) &gt;= 1, LEFT('サービスコードマスタ（入力シート説明）'!$D13, FIND("～", 'サービスコードマスタ（入力シート説明）'!$D13, 1) - 1), ""))))</f>
        <v/>
      </c>
      <c r="O9" s="137" t="str">
        <f>IF(T9&lt;&gt;"","",IF(OR('サービスコードマスタ（入力シート説明）'!C13="全半角",'サービスコードマスタ（入力シート説明）'!C13="全角",'サービスコードマスタ（入力シート説明）'!C13="全角英数",'サービスコードマスタ（入力シート説明）'!C13="全半角英数カナ",'サービスコードマスタ（入力シート説明）'!C13="全角英数カナ",'サービスコードマスタ（入力シート説明）'!C13="全角カナ",'サービスコードマスタ（入力シート説明）'!C13="半角カナ",'サービスコードマスタ（入力シート説明）'!C13="全銀協"),IF(OR(P9&lt;&gt;"",Q9&lt;&gt;""),TRUNC(IF(P9="",Q9/BF9,P9/BF9),0),""),IF(OR(P9&lt;&gt;"",Q9&lt;&gt;""),IF(P9="",Q9,P9),"")))</f>
        <v/>
      </c>
      <c r="P9" s="137" t="str">
        <f>IF(ISBLANK('サービスコードマスタ（入力シート説明）'!$D13),"",IF($BK9=0,"",IF(OR($BK9=1,$BK9=3),MID('サービスコードマスタ（入力シート説明）'!$D13,$BL9+1,IF($BI9="",$BH9,$BI9-1)-$BL9)*IF($BG9&lt;&gt;"",$BF9,1),"")))</f>
        <v/>
      </c>
      <c r="Q9" s="137">
        <f>IF(ISBLANK('サービスコードマスタ（入力シート説明）'!$D13), "", IF($BK9=0, IF($BI9="",'サービスコードマスタ（入力シート説明）'!$D13,LEFT('サービスコードマスタ（入力シート説明）'!$D13,$BI9-1))*IF(BG9&lt;&gt;"",BF9,1),""))</f>
        <v>1</v>
      </c>
      <c r="R9" s="137" t="str">
        <f>IF(EXACT(T('サービスコードマスタ（入力シート説明）'!$C13),"全角"),"○","")</f>
        <v/>
      </c>
      <c r="S9" s="137" t="str">
        <f>IF(EXACT(T('サービスコードマスタ（入力シート説明）'!$C13),"全角カナ"),"○","")</f>
        <v/>
      </c>
      <c r="T9" s="136" t="str">
        <f>IF(ISBLANK('サービスコードマスタ（入力シート説明）'!$L13),"",IF(ISERROR(FIND("～",'サービスコードマスタ（入力シート説明）'!$L13,1)), 'サービスコードマスタ（入力シート説明）'!$L13, ""))</f>
        <v>Y,N</v>
      </c>
      <c r="U9" s="137" t="str">
        <f>IF(ISBLANK('サービスコードマスタ（入力シート説明）'!$L13),"",IF(ISERROR(FIND("～",'サービスコードマスタ（入力シート説明）'!$L13,1)), "", 'サービスコードマスタ（入力シート説明）'!$L13))</f>
        <v/>
      </c>
      <c r="V9" s="137" t="str">
        <f>IF(EXACT(T('サービスコードマスタ（入力シート説明）'!$I13),"あり"),"○","")</f>
        <v/>
      </c>
      <c r="W9" s="137" t="str">
        <f>IF(EXACT(T('サービスコードマスタ（入力シート説明）'!$C13),"全銀協"),"○","")</f>
        <v/>
      </c>
      <c r="X9" s="137" t="str">
        <f>IF(EXACT(T('サービスコードマスタ（入力シート説明）'!$C13),"事業所コード"),"○","")</f>
        <v/>
      </c>
      <c r="Y9" s="137" t="str">
        <f>IF(EXACT(T('サービスコードマスタ（入力シート説明）'!$C13),"半角英数大文字・半角スペース"),"○","")</f>
        <v/>
      </c>
      <c r="Z9" s="137" t="str">
        <f>IF(EXACT(T('サービスコードマスタ（入力シート説明）'!$C13),"半角英数・半角ハイフン"),"○","")</f>
        <v/>
      </c>
      <c r="AA9" s="137" t="str">
        <f>IF(EXACT(T('サービスコードマスタ（入力シート説明）'!$C13),"全角英数カナ"),"○","")</f>
        <v/>
      </c>
      <c r="AB9" s="137" t="str">
        <f>IF(EXACT(T('サービスコードマスタ（入力シート説明）'!$C13),"半角英数カナ"),"○","")</f>
        <v/>
      </c>
      <c r="AC9" s="137" t="str">
        <f>IF(EXACT(T('サービスコードマスタ（入力シート説明）'!$C13),"全半角英数カナ"),"○","")</f>
        <v/>
      </c>
      <c r="AD9" s="137" t="str">
        <f>IF(EXACT(T('サービスコードマスタ（入力シート説明）'!$C13),"通貨"),"○","")</f>
        <v/>
      </c>
      <c r="AE9" s="137" t="str">
        <f>IF(EXACT(T('サービスコードマスタ（入力シート説明）'!$C13),"半角"),"○","")</f>
        <v/>
      </c>
      <c r="AF9" s="137" t="str">
        <f>IF(EXACT(T('サービスコードマスタ（入力シート説明）'!$C13),"半角カナ"),"○","")</f>
        <v/>
      </c>
      <c r="AG9" s="137" t="str">
        <f>IF(EXACT(T('サービスコードマスタ（入力シート説明）'!$C13),"半角英数・半角アンダーバー"),"○","")</f>
        <v/>
      </c>
      <c r="AH9" s="137" t="str">
        <f>IF(EXACT(T('サービスコードマスタ（入力シート説明）'!$C13),"日付（スラッシュあり）"),"○","")</f>
        <v/>
      </c>
      <c r="AI9" s="137" t="str">
        <f>IF(EXACT(T('サービスコードマスタ（入力シート説明）'!$C13),"全角英数"),"○","")</f>
        <v/>
      </c>
      <c r="AJ9" s="137" t="str">
        <f>IF(ISBLANK('サービスコードマスタ（入力シート説明）'!$D13),"",IF(ISERROR(FIND("(", 'サービスコードマスタ（入力シート説明）'!$D13, 1)),"",MID('サービスコードマスタ（入力シート説明）'!$D13,$BI9+1,$BJ9-$BI9-1)))</f>
        <v/>
      </c>
      <c r="AK9" s="137" t="str">
        <f>IF(EXACT(T('サービスコードマスタ（入力シート説明）'!$F13),"あり"),"○","")</f>
        <v/>
      </c>
      <c r="AL9" s="138"/>
      <c r="AM9" s="137" t="str">
        <f>IF(EXACT(T('サービスコードマスタ（入力シート説明）'!$E13),"条件付き必須"),"○","")</f>
        <v/>
      </c>
      <c r="AN9" s="137" t="str">
        <f>IF(EXACT(T('サービスコードマスタ（入力シート説明）'!$G13),"あり"),"○","")</f>
        <v/>
      </c>
      <c r="AO9" s="137" t="str">
        <f>IF(ISBLANK('サービスコードマスタ（入力シート説明）'!$N13),"","○")</f>
        <v/>
      </c>
      <c r="AP9" s="42"/>
      <c r="AQ9" s="66" t="str">
        <f>T('サービスコードマスタ（入力シート説明）'!$H13)</f>
        <v>-</v>
      </c>
      <c r="AR9" s="67"/>
      <c r="AS9" s="67"/>
      <c r="AT9" s="67"/>
      <c r="AU9" s="67"/>
      <c r="AV9" s="68"/>
      <c r="AW9" s="69"/>
      <c r="AX9" s="114"/>
      <c r="AY9" s="70"/>
      <c r="AZ9" s="69"/>
      <c r="BA9" s="69"/>
      <c r="BB9" s="69"/>
      <c r="BC9" s="69"/>
      <c r="BD9" s="69"/>
      <c r="BE9" s="69"/>
      <c r="BF9" s="68">
        <v>1.5</v>
      </c>
      <c r="BG9" s="112"/>
      <c r="BH9" s="137">
        <f>IF(ISBLANK('サービスコードマスタ（入力シート説明）'!$D13),"",LEN('サービスコードマスタ（入力シート説明）'!$D13))</f>
        <v>1</v>
      </c>
      <c r="BI9" s="137" t="str">
        <f>IF(ISBLANK('サービスコードマスタ（入力シート説明）'!$D13),"",IF(ISERROR(FIND("(",'サービスコードマスタ（入力シート説明）'!$D13,1)),"",FIND("(",'サービスコードマスタ（入力シート説明）'!$D13,1)))</f>
        <v/>
      </c>
      <c r="BJ9" s="137" t="str">
        <f>IF(ISBLANK('サービスコードマスタ（入力シート説明）'!$D13),"",IF(ISERROR(FIND("(",'サービスコードマスタ（入力シート説明）'!$D13,1)),"",FIND(")",'サービスコードマスタ（入力シート説明）'!$D13,1)))</f>
        <v/>
      </c>
      <c r="BK9" s="137">
        <f>IF(ISBLANK('サービスコードマスタ（入力シート説明）'!$D13),"",IF($BL9="",0,IF($BL9=1,1,IF((IF($BI9="",$BH9,$BI9-1))=$BL9,2,3))))</f>
        <v>0</v>
      </c>
      <c r="BL9" s="137" t="str">
        <f>IF(ISBLANK('サービスコードマスタ（入力シート説明）'!$D13),"",IF(ISERROR(FIND("～",'サービスコードマスタ（入力シート説明）'!$D13,1)),"",FIND("～",'サービスコードマスタ（入力シート説明）'!$D13,1)))</f>
        <v/>
      </c>
    </row>
    <row r="10" spans="1:64" s="4" customFormat="1">
      <c r="A10" s="132">
        <f t="shared" si="0"/>
        <v>8</v>
      </c>
      <c r="B10" s="133" t="str">
        <f t="shared" si="1"/>
        <v>I</v>
      </c>
      <c r="C10" s="134"/>
      <c r="D10" s="135" t="str">
        <f>VLOOKUP($A10,'サービスコードマスタ（入力シート説明）'!$A$7:$B$109,2,$A10)</f>
        <v>レベル</v>
      </c>
      <c r="E10" s="134"/>
      <c r="F10" s="136" t="str">
        <f t="shared" si="2"/>
        <v/>
      </c>
      <c r="G10" s="42"/>
      <c r="H10" s="137" t="str">
        <f>IF(EXACT(T('サービスコードマスタ（入力シート説明）'!$E14),"必須"),"○","")</f>
        <v/>
      </c>
      <c r="I10" s="137" t="str">
        <f>IF(EXACT(T('サービスコードマスタ（入力シート説明）'!$C14),"数値"),"○","")</f>
        <v>○</v>
      </c>
      <c r="J10" s="137" t="str">
        <f>IF(EXACT(T('サービスコードマスタ（入力シート説明）'!$C14),"電話番号"),"○","")</f>
        <v/>
      </c>
      <c r="K10" s="137" t="str">
        <f>IF(EXACT(T('サービスコードマスタ（入力シート説明）'!$C14),"郵便番号"),"○","")</f>
        <v/>
      </c>
      <c r="L10" s="137" t="str">
        <f>IF(EXACT(T('サービスコードマスタ（入力シート説明）'!$C14),"日付（スラッシュなし）"),"○","")</f>
        <v/>
      </c>
      <c r="M10" s="137" t="str">
        <f>IF(EXACT(T('サービスコードマスタ（入力シート説明）'!$C14),"半角英数"),"○","")</f>
        <v/>
      </c>
      <c r="N10" s="137" t="str">
        <f>IF(ISBLANK('サービスコードマスタ（入力シート説明）'!$D14),"", IF(ISERROR(FIND("～", 'サービスコードマスタ（入力シート説明）'!$D14, 1)), "", IF(EXACT('サービスコードマスタ（入力シート説明）'!$D14,"～"), "", IF(LEN(LEFT('サービスコードマスタ（入力シート説明）'!$D14, FIND("～", 'サービスコードマスタ（入力シート説明）'!$D14, 1) - 1)) &gt;= 1, LEFT('サービスコードマスタ（入力シート説明）'!$D14, FIND("～", 'サービスコードマスタ（入力シート説明）'!$D14, 1) - 1), ""))))</f>
        <v/>
      </c>
      <c r="O10" s="137">
        <f>IF(T10&lt;&gt;"","",IF(OR('サービスコードマスタ（入力シート説明）'!C14="全半角",'サービスコードマスタ（入力シート説明）'!C14="全角",'サービスコードマスタ（入力シート説明）'!C14="全角英数",'サービスコードマスタ（入力シート説明）'!C14="全半角英数カナ",'サービスコードマスタ（入力シート説明）'!C14="全角英数カナ",'サービスコードマスタ（入力シート説明）'!C14="全角カナ",'サービスコードマスタ（入力シート説明）'!C14="半角カナ",'サービスコードマスタ（入力シート説明）'!C14="全銀協"),IF(OR(P10&lt;&gt;"",Q10&lt;&gt;""),TRUNC(IF(P10="",Q10/BF10,P10/BF10),0),""),IF(OR(P10&lt;&gt;"",Q10&lt;&gt;""),IF(P10="",Q10,P10),"")))</f>
        <v>1</v>
      </c>
      <c r="P10" s="137" t="str">
        <f>IF(ISBLANK('サービスコードマスタ（入力シート説明）'!$D14),"",IF($BK10=0,"",IF(OR($BK10=1,$BK10=3),MID('サービスコードマスタ（入力シート説明）'!$D14,$BL10+1,IF($BI10="",$BH10,$BI10-1)-$BL10)*IF($BG10&lt;&gt;"",$BF10,1),"")))</f>
        <v/>
      </c>
      <c r="Q10" s="137">
        <f>IF(ISBLANK('サービスコードマスタ（入力シート説明）'!$D14), "", IF($BK10=0, IF($BI10="",'サービスコードマスタ（入力シート説明）'!$D14,LEFT('サービスコードマスタ（入力シート説明）'!$D14,$BI10-1))*IF(BG10&lt;&gt;"",BF10,1),""))</f>
        <v>1</v>
      </c>
      <c r="R10" s="137" t="str">
        <f>IF(EXACT(T('サービスコードマスタ（入力シート説明）'!$C14),"全角"),"○","")</f>
        <v/>
      </c>
      <c r="S10" s="137" t="str">
        <f>IF(EXACT(T('サービスコードマスタ（入力シート説明）'!$C14),"全角カナ"),"○","")</f>
        <v/>
      </c>
      <c r="T10" s="136" t="str">
        <f>IF(ISBLANK('サービスコードマスタ（入力シート説明）'!$L14),"",IF(ISERROR(FIND("～",'サービスコードマスタ（入力シート説明）'!$L14,1)), 'サービスコードマスタ（入力シート説明）'!$L14, ""))</f>
        <v/>
      </c>
      <c r="U10" s="137" t="str">
        <f>IF(ISBLANK('サービスコードマスタ（入力シート説明）'!$L14),"",IF(ISERROR(FIND("～",'サービスコードマスタ（入力シート説明）'!$L14,1)), "", 'サービスコードマスタ（入力シート説明）'!$L14))</f>
        <v>1～9</v>
      </c>
      <c r="V10" s="137" t="str">
        <f>IF(EXACT(T('サービスコードマスタ（入力シート説明）'!$I14),"あり"),"○","")</f>
        <v/>
      </c>
      <c r="W10" s="137" t="str">
        <f>IF(EXACT(T('サービスコードマスタ（入力シート説明）'!$C14),"全銀協"),"○","")</f>
        <v/>
      </c>
      <c r="X10" s="137" t="str">
        <f>IF(EXACT(T('サービスコードマスタ（入力シート説明）'!$C14),"事業所コード"),"○","")</f>
        <v/>
      </c>
      <c r="Y10" s="137" t="str">
        <f>IF(EXACT(T('サービスコードマスタ（入力シート説明）'!$C14),"半角英数大文字・半角スペース"),"○","")</f>
        <v/>
      </c>
      <c r="Z10" s="137" t="str">
        <f>IF(EXACT(T('サービスコードマスタ（入力シート説明）'!$C14),"半角英数・半角ハイフン"),"○","")</f>
        <v/>
      </c>
      <c r="AA10" s="137" t="str">
        <f>IF(EXACT(T('サービスコードマスタ（入力シート説明）'!$C14),"全角英数カナ"),"○","")</f>
        <v/>
      </c>
      <c r="AB10" s="137" t="str">
        <f>IF(EXACT(T('サービスコードマスタ（入力シート説明）'!$C14),"半角英数カナ"),"○","")</f>
        <v/>
      </c>
      <c r="AC10" s="137" t="str">
        <f>IF(EXACT(T('サービスコードマスタ（入力シート説明）'!$C14),"全半角英数カナ"),"○","")</f>
        <v/>
      </c>
      <c r="AD10" s="137" t="str">
        <f>IF(EXACT(T('サービスコードマスタ（入力シート説明）'!$C14),"通貨"),"○","")</f>
        <v/>
      </c>
      <c r="AE10" s="137" t="str">
        <f>IF(EXACT(T('サービスコードマスタ（入力シート説明）'!$C14),"半角"),"○","")</f>
        <v/>
      </c>
      <c r="AF10" s="137" t="str">
        <f>IF(EXACT(T('サービスコードマスタ（入力シート説明）'!$C14),"半角カナ"),"○","")</f>
        <v/>
      </c>
      <c r="AG10" s="137" t="str">
        <f>IF(EXACT(T('サービスコードマスタ（入力シート説明）'!$C14),"半角英数・半角アンダーバー"),"○","")</f>
        <v/>
      </c>
      <c r="AH10" s="137" t="str">
        <f>IF(EXACT(T('サービスコードマスタ（入力シート説明）'!$C14),"日付（スラッシュあり）"),"○","")</f>
        <v/>
      </c>
      <c r="AI10" s="137" t="str">
        <f>IF(EXACT(T('サービスコードマスタ（入力シート説明）'!$C14),"全角英数"),"○","")</f>
        <v/>
      </c>
      <c r="AJ10" s="137" t="str">
        <f>IF(ISBLANK('サービスコードマスタ（入力シート説明）'!$D14),"",IF(ISERROR(FIND("(", 'サービスコードマスタ（入力シート説明）'!$D14, 1)),"",MID('サービスコードマスタ（入力シート説明）'!$D14,$BI10+1,$BJ10-$BI10-1)))</f>
        <v/>
      </c>
      <c r="AK10" s="137" t="str">
        <f>IF(EXACT(T('サービスコードマスタ（入力シート説明）'!$F14),"あり"),"○","")</f>
        <v/>
      </c>
      <c r="AL10" s="138"/>
      <c r="AM10" s="137" t="str">
        <f>IF(EXACT(T('サービスコードマスタ（入力シート説明）'!$E14),"条件付き必須"),"○","")</f>
        <v/>
      </c>
      <c r="AN10" s="137" t="str">
        <f>IF(EXACT(T('サービスコードマスタ（入力シート説明）'!$G14),"あり"),"○","")</f>
        <v/>
      </c>
      <c r="AO10" s="137" t="str">
        <f>IF(ISBLANK('サービスコードマスタ（入力シート説明）'!$N14),"","○")</f>
        <v/>
      </c>
      <c r="AP10" s="42"/>
      <c r="AQ10" s="66" t="str">
        <f>T('サービスコードマスタ（入力シート説明）'!$H14)</f>
        <v>-</v>
      </c>
      <c r="AR10" s="67"/>
      <c r="AS10" s="67"/>
      <c r="AT10" s="67"/>
      <c r="AU10" s="67"/>
      <c r="AV10" s="68"/>
      <c r="AW10" s="69"/>
      <c r="AX10" s="114"/>
      <c r="AY10" s="70"/>
      <c r="AZ10" s="69"/>
      <c r="BA10" s="69"/>
      <c r="BB10" s="69"/>
      <c r="BC10" s="69"/>
      <c r="BD10" s="69"/>
      <c r="BE10" s="69"/>
      <c r="BF10" s="68">
        <v>1.5</v>
      </c>
      <c r="BG10" s="112"/>
      <c r="BH10" s="137">
        <f>IF(ISBLANK('サービスコードマスタ（入力シート説明）'!$D14),"",LEN('サービスコードマスタ（入力シート説明）'!$D14))</f>
        <v>1</v>
      </c>
      <c r="BI10" s="137" t="str">
        <f>IF(ISBLANK('サービスコードマスタ（入力シート説明）'!$D14),"",IF(ISERROR(FIND("(",'サービスコードマスタ（入力シート説明）'!$D14,1)),"",FIND("(",'サービスコードマスタ（入力シート説明）'!$D14,1)))</f>
        <v/>
      </c>
      <c r="BJ10" s="137" t="str">
        <f>IF(ISBLANK('サービスコードマスタ（入力シート説明）'!$D14),"",IF(ISERROR(FIND("(",'サービスコードマスタ（入力シート説明）'!$D14,1)),"",FIND(")",'サービスコードマスタ（入力シート説明）'!$D14,1)))</f>
        <v/>
      </c>
      <c r="BK10" s="137">
        <f>IF(ISBLANK('サービスコードマスタ（入力シート説明）'!$D14),"",IF($BL10="",0,IF($BL10=1,1,IF((IF($BI10="",$BH10,$BI10-1))=$BL10,2,3))))</f>
        <v>0</v>
      </c>
      <c r="BL10" s="137" t="str">
        <f>IF(ISBLANK('サービスコードマスタ（入力シート説明）'!$D14),"",IF(ISERROR(FIND("～",'サービスコードマスタ（入力シート説明）'!$D14,1)),"",FIND("～",'サービスコードマスタ（入力シート説明）'!$D14,1)))</f>
        <v/>
      </c>
    </row>
    <row r="11" spans="1:64" s="4" customFormat="1">
      <c r="A11" s="132">
        <f t="shared" si="0"/>
        <v>9</v>
      </c>
      <c r="B11" s="133" t="str">
        <f t="shared" si="1"/>
        <v>J</v>
      </c>
      <c r="C11" s="134"/>
      <c r="D11" s="135" t="str">
        <f>VLOOKUP($A11,'サービスコードマスタ（入力シート説明）'!$A$7:$B$109,2,$A11)</f>
        <v>親値のみ</v>
      </c>
      <c r="E11" s="134"/>
      <c r="F11" s="136" t="str">
        <f t="shared" si="2"/>
        <v>C,P</v>
      </c>
      <c r="G11" s="42"/>
      <c r="H11" s="137" t="str">
        <f>IF(EXACT(T('サービスコードマスタ（入力シート説明）'!$E15),"必須"),"○","")</f>
        <v/>
      </c>
      <c r="I11" s="137" t="str">
        <f>IF(EXACT(T('サービスコードマスタ（入力シート説明）'!$C15),"数値"),"○","")</f>
        <v/>
      </c>
      <c r="J11" s="137" t="str">
        <f>IF(EXACT(T('サービスコードマスタ（入力シート説明）'!$C15),"電話番号"),"○","")</f>
        <v/>
      </c>
      <c r="K11" s="137" t="str">
        <f>IF(EXACT(T('サービスコードマスタ（入力シート説明）'!$C15),"郵便番号"),"○","")</f>
        <v/>
      </c>
      <c r="L11" s="137" t="str">
        <f>IF(EXACT(T('サービスコードマスタ（入力シート説明）'!$C15),"日付（スラッシュなし）"),"○","")</f>
        <v/>
      </c>
      <c r="M11" s="137" t="str">
        <f>IF(EXACT(T('サービスコードマスタ（入力シート説明）'!$C15),"半角英数"),"○","")</f>
        <v>○</v>
      </c>
      <c r="N11" s="137" t="str">
        <f>IF(ISBLANK('サービスコードマスタ（入力シート説明）'!$D15),"", IF(ISERROR(FIND("～", 'サービスコードマスタ（入力シート説明）'!$D15, 1)), "", IF(EXACT('サービスコードマスタ（入力シート説明）'!$D15,"～"), "", IF(LEN(LEFT('サービスコードマスタ（入力シート説明）'!$D15, FIND("～", 'サービスコードマスタ（入力シート説明）'!$D15, 1) - 1)) &gt;= 1, LEFT('サービスコードマスタ（入力シート説明）'!$D15, FIND("～", 'サービスコードマスタ（入力シート説明）'!$D15, 1) - 1), ""))))</f>
        <v/>
      </c>
      <c r="O11" s="137" t="str">
        <f>IF(T11&lt;&gt;"","",IF(OR('サービスコードマスタ（入力シート説明）'!C15="全半角",'サービスコードマスタ（入力シート説明）'!C15="全角",'サービスコードマスタ（入力シート説明）'!C15="全角英数",'サービスコードマスタ（入力シート説明）'!C15="全半角英数カナ",'サービスコードマスタ（入力シート説明）'!C15="全角英数カナ",'サービスコードマスタ（入力シート説明）'!C15="全角カナ",'サービスコードマスタ（入力シート説明）'!C15="半角カナ",'サービスコードマスタ（入力シート説明）'!C15="全銀協"),IF(OR(P11&lt;&gt;"",Q11&lt;&gt;""),TRUNC(IF(P11="",Q11/BF11,P11/BF11),0),""),IF(OR(P11&lt;&gt;"",Q11&lt;&gt;""),IF(P11="",Q11,P11),"")))</f>
        <v/>
      </c>
      <c r="P11" s="137" t="str">
        <f>IF(ISBLANK('サービスコードマスタ（入力シート説明）'!$D15),"",IF($BK11=0,"",IF(OR($BK11=1,$BK11=3),MID('サービスコードマスタ（入力シート説明）'!$D15,$BL11+1,IF($BI11="",$BH11,$BI11-1)-$BL11)*IF($BG11&lt;&gt;"",$BF11,1),"")))</f>
        <v/>
      </c>
      <c r="Q11" s="137">
        <f>IF(ISBLANK('サービスコードマスタ（入力シート説明）'!$D15), "", IF($BK11=0, IF($BI11="",'サービスコードマスタ（入力シート説明）'!$D15,LEFT('サービスコードマスタ（入力シート説明）'!$D15,$BI11-1))*IF(BG11&lt;&gt;"",BF11,1),""))</f>
        <v>1</v>
      </c>
      <c r="R11" s="137" t="str">
        <f>IF(EXACT(T('サービスコードマスタ（入力シート説明）'!$C15),"全角"),"○","")</f>
        <v/>
      </c>
      <c r="S11" s="137" t="str">
        <f>IF(EXACT(T('サービスコードマスタ（入力シート説明）'!$C15),"全角カナ"),"○","")</f>
        <v/>
      </c>
      <c r="T11" s="136" t="str">
        <f>IF(ISBLANK('サービスコードマスタ（入力シート説明）'!$L15),"",IF(ISERROR(FIND("～",'サービスコードマスタ（入力シート説明）'!$L15,1)), 'サービスコードマスタ（入力シート説明）'!$L15, ""))</f>
        <v>C,P</v>
      </c>
      <c r="U11" s="137" t="str">
        <f>IF(ISBLANK('サービスコードマスタ（入力シート説明）'!$L15),"",IF(ISERROR(FIND("～",'サービスコードマスタ（入力シート説明）'!$L15,1)), "", 'サービスコードマスタ（入力シート説明）'!$L15))</f>
        <v/>
      </c>
      <c r="V11" s="137" t="str">
        <f>IF(EXACT(T('サービスコードマスタ（入力シート説明）'!$I15),"あり"),"○","")</f>
        <v/>
      </c>
      <c r="W11" s="137" t="str">
        <f>IF(EXACT(T('サービスコードマスタ（入力シート説明）'!$C15),"全銀協"),"○","")</f>
        <v/>
      </c>
      <c r="X11" s="137" t="str">
        <f>IF(EXACT(T('サービスコードマスタ（入力シート説明）'!$C15),"事業所コード"),"○","")</f>
        <v/>
      </c>
      <c r="Y11" s="137" t="str">
        <f>IF(EXACT(T('サービスコードマスタ（入力シート説明）'!$C15),"半角英数大文字・半角スペース"),"○","")</f>
        <v/>
      </c>
      <c r="Z11" s="137" t="str">
        <f>IF(EXACT(T('サービスコードマスタ（入力シート説明）'!$C15),"半角英数・半角ハイフン"),"○","")</f>
        <v/>
      </c>
      <c r="AA11" s="137" t="str">
        <f>IF(EXACT(T('サービスコードマスタ（入力シート説明）'!$C15),"全角英数カナ"),"○","")</f>
        <v/>
      </c>
      <c r="AB11" s="137" t="str">
        <f>IF(EXACT(T('サービスコードマスタ（入力シート説明）'!$C15),"半角英数カナ"),"○","")</f>
        <v/>
      </c>
      <c r="AC11" s="137" t="str">
        <f>IF(EXACT(T('サービスコードマスタ（入力シート説明）'!$C15),"全半角英数カナ"),"○","")</f>
        <v/>
      </c>
      <c r="AD11" s="137" t="str">
        <f>IF(EXACT(T('サービスコードマスタ（入力シート説明）'!$C15),"通貨"),"○","")</f>
        <v/>
      </c>
      <c r="AE11" s="137" t="str">
        <f>IF(EXACT(T('サービスコードマスタ（入力シート説明）'!$C15),"半角"),"○","")</f>
        <v/>
      </c>
      <c r="AF11" s="137" t="str">
        <f>IF(EXACT(T('サービスコードマスタ（入力シート説明）'!$C15),"半角カナ"),"○","")</f>
        <v/>
      </c>
      <c r="AG11" s="137" t="str">
        <f>IF(EXACT(T('サービスコードマスタ（入力シート説明）'!$C15),"半角英数・半角アンダーバー"),"○","")</f>
        <v/>
      </c>
      <c r="AH11" s="137" t="str">
        <f>IF(EXACT(T('サービスコードマスタ（入力シート説明）'!$C15),"日付（スラッシュあり）"),"○","")</f>
        <v/>
      </c>
      <c r="AI11" s="137" t="str">
        <f>IF(EXACT(T('サービスコードマスタ（入力シート説明）'!$C15),"全角英数"),"○","")</f>
        <v/>
      </c>
      <c r="AJ11" s="137" t="str">
        <f>IF(ISBLANK('サービスコードマスタ（入力シート説明）'!$D15),"",IF(ISERROR(FIND("(", 'サービスコードマスタ（入力シート説明）'!$D15, 1)),"",MID('サービスコードマスタ（入力シート説明）'!$D15,$BI11+1,$BJ11-$BI11-1)))</f>
        <v/>
      </c>
      <c r="AK11" s="137" t="str">
        <f>IF(EXACT(T('サービスコードマスタ（入力シート説明）'!$F15),"あり"),"○","")</f>
        <v/>
      </c>
      <c r="AL11" s="138"/>
      <c r="AM11" s="137" t="str">
        <f>IF(EXACT(T('サービスコードマスタ（入力シート説明）'!$E15),"条件付き必須"),"○","")</f>
        <v>○</v>
      </c>
      <c r="AN11" s="137" t="str">
        <f>IF(EXACT(T('サービスコードマスタ（入力シート説明）'!$G15),"あり"),"○","")</f>
        <v/>
      </c>
      <c r="AO11" s="137" t="str">
        <f>IF(ISBLANK('サービスコードマスタ（入力シート説明）'!$N15),"","○")</f>
        <v/>
      </c>
      <c r="AP11" s="42"/>
      <c r="AQ11" s="66" t="str">
        <f>T('サービスコードマスタ（入力シート説明）'!$H15)</f>
        <v>①「親」が「Y」（親値）のとき必須
③「親」が「N」（子値）のとき入力不可</v>
      </c>
      <c r="AR11" s="67"/>
      <c r="AS11" s="67"/>
      <c r="AT11" s="67"/>
      <c r="AU11" s="67"/>
      <c r="AV11" s="68"/>
      <c r="AW11" s="69"/>
      <c r="AX11" s="114"/>
      <c r="AY11" s="70"/>
      <c r="AZ11" s="114" t="s">
        <v>727</v>
      </c>
      <c r="BA11" s="69"/>
      <c r="BB11" s="69"/>
      <c r="BC11" s="114" t="s">
        <v>546</v>
      </c>
      <c r="BD11" s="69"/>
      <c r="BE11" s="69"/>
      <c r="BF11" s="68">
        <v>1.5</v>
      </c>
      <c r="BG11" s="112"/>
      <c r="BH11" s="137">
        <f>IF(ISBLANK('サービスコードマスタ（入力シート説明）'!$D15),"",LEN('サービスコードマスタ（入力シート説明）'!$D15))</f>
        <v>1</v>
      </c>
      <c r="BI11" s="137" t="str">
        <f>IF(ISBLANK('サービスコードマスタ（入力シート説明）'!$D15),"",IF(ISERROR(FIND("(",'サービスコードマスタ（入力シート説明）'!$D15,1)),"",FIND("(",'サービスコードマスタ（入力シート説明）'!$D15,1)))</f>
        <v/>
      </c>
      <c r="BJ11" s="137" t="str">
        <f>IF(ISBLANK('サービスコードマスタ（入力シート説明）'!$D15),"",IF(ISERROR(FIND("(",'サービスコードマスタ（入力シート説明）'!$D15,1)),"",FIND(")",'サービスコードマスタ（入力シート説明）'!$D15,1)))</f>
        <v/>
      </c>
      <c r="BK11" s="137">
        <f>IF(ISBLANK('サービスコードマスタ（入力シート説明）'!$D15),"",IF($BL11="",0,IF($BL11=1,1,IF((IF($BI11="",$BH11,$BI11-1))=$BL11,2,3))))</f>
        <v>0</v>
      </c>
      <c r="BL11" s="137" t="str">
        <f>IF(ISBLANK('サービスコードマスタ（入力シート説明）'!$D15),"",IF(ISERROR(FIND("～",'サービスコードマスタ（入力シート説明）'!$D15,1)),"",FIND("～",'サービスコードマスタ（入力シート説明）'!$D15,1)))</f>
        <v/>
      </c>
    </row>
    <row r="12" spans="1:64" s="4" customFormat="1" ht="87" customHeight="1">
      <c r="A12" s="132">
        <f t="shared" si="0"/>
        <v>10</v>
      </c>
      <c r="B12" s="133" t="str">
        <f t="shared" si="1"/>
        <v>K</v>
      </c>
      <c r="C12" s="134"/>
      <c r="D12" s="135" t="str">
        <f>VLOOKUP($A12,'サービスコードマスタ（入力シート説明）'!$A$7:$B$109,2,$A12)</f>
        <v>集計範囲（FROM）</v>
      </c>
      <c r="E12" s="134"/>
      <c r="F12" s="136" t="str">
        <f t="shared" si="2"/>
        <v/>
      </c>
      <c r="G12" s="42"/>
      <c r="H12" s="137" t="str">
        <f>IF(EXACT(T('サービスコードマスタ（入力シート説明）'!$E16),"必須"),"○","")</f>
        <v/>
      </c>
      <c r="I12" s="137" t="str">
        <f>IF(EXACT(T('サービスコードマスタ（入力シート説明）'!$C16),"数値"),"○","")</f>
        <v/>
      </c>
      <c r="J12" s="137" t="str">
        <f>IF(EXACT(T('サービスコードマスタ（入力シート説明）'!$C16),"電話番号"),"○","")</f>
        <v/>
      </c>
      <c r="K12" s="137" t="str">
        <f>IF(EXACT(T('サービスコードマスタ（入力シート説明）'!$C16),"郵便番号"),"○","")</f>
        <v/>
      </c>
      <c r="L12" s="137" t="str">
        <f>IF(EXACT(T('サービスコードマスタ（入力シート説明）'!$C16),"日付（スラッシュなし）"),"○","")</f>
        <v/>
      </c>
      <c r="M12" s="137" t="str">
        <f>IF(EXACT(T('サービスコードマスタ（入力シート説明）'!$C16),"半角英数"),"○","")</f>
        <v>○</v>
      </c>
      <c r="N12" s="137" t="str">
        <f>IF(ISBLANK('サービスコードマスタ（入力シート説明）'!$D16),"", IF(ISERROR(FIND("～", 'サービスコードマスタ（入力シート説明）'!$D16, 1)), "", IF(EXACT('サービスコードマスタ（入力シート説明）'!$D16,"～"), "", IF(LEN(LEFT('サービスコードマスタ（入力シート説明）'!$D16, FIND("～", 'サービスコードマスタ（入力シート説明）'!$D16, 1) - 1)) &gt;= 1, LEFT('サービスコードマスタ（入力シート説明）'!$D16, FIND("～", 'サービスコードマスタ（入力シート説明）'!$D16, 1) - 1), ""))))</f>
        <v/>
      </c>
      <c r="O12" s="137">
        <f>IF(T12&lt;&gt;"","",IF(OR('サービスコードマスタ（入力シート説明）'!C16="全半角",'サービスコードマスタ（入力シート説明）'!C16="全角",'サービスコードマスタ（入力シート説明）'!C16="全角英数",'サービスコードマスタ（入力シート説明）'!C16="全半角英数カナ",'サービスコードマスタ（入力シート説明）'!C16="全角英数カナ",'サービスコードマスタ（入力シート説明）'!C16="全角カナ",'サービスコードマスタ（入力シート説明）'!C16="半角カナ",'サービスコードマスタ（入力シート説明）'!C16="全銀協"),IF(OR(P12&lt;&gt;"",Q12&lt;&gt;""),TRUNC(IF(P12="",Q12/BF12,P12/BF12),0),""),IF(OR(P12&lt;&gt;"",Q12&lt;&gt;""),IF(P12="",Q12,P12),"")))</f>
        <v>10</v>
      </c>
      <c r="P12" s="137" t="str">
        <f>IF(ISBLANK('サービスコードマスタ（入力シート説明）'!$D16),"",IF($BK12=0,"",IF(OR($BK12=1,$BK12=3),MID('サービスコードマスタ（入力シート説明）'!$D16,$BL12+1,IF($BI12="",$BH12,$BI12-1)-$BL12)*IF($BG12&lt;&gt;"",$BF12,1),"")))</f>
        <v/>
      </c>
      <c r="Q12" s="137">
        <f>IF(ISBLANK('サービスコードマスタ（入力シート説明）'!$D16), "", IF($BK12=0, IF($BI12="",'サービスコードマスタ（入力シート説明）'!$D16,LEFT('サービスコードマスタ（入力シート説明）'!$D16,$BI12-1))*IF(BG12&lt;&gt;"",BF12,1),""))</f>
        <v>10</v>
      </c>
      <c r="R12" s="137" t="str">
        <f>IF(EXACT(T('サービスコードマスタ（入力シート説明）'!$C16),"全角"),"○","")</f>
        <v/>
      </c>
      <c r="S12" s="137" t="str">
        <f>IF(EXACT(T('サービスコードマスタ（入力シート説明）'!$C16),"全角カナ"),"○","")</f>
        <v/>
      </c>
      <c r="T12" s="136" t="str">
        <f>IF(ISBLANK('サービスコードマスタ（入力シート説明）'!$L16),"",IF(ISERROR(FIND("～",'サービスコードマスタ（入力シート説明）'!$L16,1)), 'サービスコードマスタ（入力シート説明）'!$L16, ""))</f>
        <v/>
      </c>
      <c r="U12" s="137" t="str">
        <f>IF(ISBLANK('サービスコードマスタ（入力シート説明）'!$L16),"",IF(ISERROR(FIND("～",'サービスコードマスタ（入力シート説明）'!$L16,1)), "", 'サービスコードマスタ（入力シート説明）'!$L16))</f>
        <v/>
      </c>
      <c r="V12" s="137" t="str">
        <f>IF(EXACT(T('サービスコードマスタ（入力シート説明）'!$I16),"あり"),"○","")</f>
        <v/>
      </c>
      <c r="W12" s="137" t="str">
        <f>IF(EXACT(T('サービスコードマスタ（入力シート説明）'!$C16),"全銀協"),"○","")</f>
        <v/>
      </c>
      <c r="X12" s="137" t="str">
        <f>IF(EXACT(T('サービスコードマスタ（入力シート説明）'!$C16),"事業所コード"),"○","")</f>
        <v/>
      </c>
      <c r="Y12" s="137" t="str">
        <f>IF(EXACT(T('サービスコードマスタ（入力シート説明）'!$C16),"半角英数大文字・半角スペース"),"○","")</f>
        <v/>
      </c>
      <c r="Z12" s="137" t="str">
        <f>IF(EXACT(T('サービスコードマスタ（入力シート説明）'!$C16),"半角英数・半角ハイフン"),"○","")</f>
        <v/>
      </c>
      <c r="AA12" s="137" t="str">
        <f>IF(EXACT(T('サービスコードマスタ（入力シート説明）'!$C16),"全角英数カナ"),"○","")</f>
        <v/>
      </c>
      <c r="AB12" s="137" t="str">
        <f>IF(EXACT(T('サービスコードマスタ（入力シート説明）'!$C16),"半角英数カナ"),"○","")</f>
        <v/>
      </c>
      <c r="AC12" s="137" t="str">
        <f>IF(EXACT(T('サービスコードマスタ（入力シート説明）'!$C16),"全半角英数カナ"),"○","")</f>
        <v/>
      </c>
      <c r="AD12" s="137" t="str">
        <f>IF(EXACT(T('サービスコードマスタ（入力シート説明）'!$C16),"通貨"),"○","")</f>
        <v/>
      </c>
      <c r="AE12" s="137" t="str">
        <f>IF(EXACT(T('サービスコードマスタ（入力シート説明）'!$C16),"半角"),"○","")</f>
        <v/>
      </c>
      <c r="AF12" s="137" t="str">
        <f>IF(EXACT(T('サービスコードマスタ（入力シート説明）'!$C16),"半角カナ"),"○","")</f>
        <v/>
      </c>
      <c r="AG12" s="137" t="str">
        <f>IF(EXACT(T('サービスコードマスタ（入力シート説明）'!$C16),"半角英数・半角アンダーバー"),"○","")</f>
        <v/>
      </c>
      <c r="AH12" s="137" t="str">
        <f>IF(EXACT(T('サービスコードマスタ（入力シート説明）'!$C16),"日付（スラッシュあり）"),"○","")</f>
        <v/>
      </c>
      <c r="AI12" s="137" t="str">
        <f>IF(EXACT(T('サービスコードマスタ（入力シート説明）'!$C16),"全角英数"),"○","")</f>
        <v/>
      </c>
      <c r="AJ12" s="137" t="str">
        <f>IF(ISBLANK('サービスコードマスタ（入力シート説明）'!$D16),"",IF(ISERROR(FIND("(", 'サービスコードマスタ（入力シート説明）'!$D16, 1)),"",MID('サービスコードマスタ（入力シート説明）'!$D16,$BI12+1,$BJ12-$BI12-1)))</f>
        <v/>
      </c>
      <c r="AK12" s="137" t="str">
        <f>IF(EXACT(T('サービスコードマスタ（入力シート説明）'!$F16),"あり"),"○","")</f>
        <v/>
      </c>
      <c r="AL12" s="138"/>
      <c r="AM12" s="137" t="str">
        <f>IF(EXACT(T('サービスコードマスタ（入力シート説明）'!$E16),"条件付き必須"),"○","")</f>
        <v>○</v>
      </c>
      <c r="AN12" s="137" t="str">
        <f>IF(EXACT(T('サービスコードマスタ（入力シート説明）'!$G16),"あり"),"○","")</f>
        <v/>
      </c>
      <c r="AO12" s="137" t="str">
        <f>IF(ISBLANK('サービスコードマスタ（入力シート説明）'!$N16),"","○")</f>
        <v/>
      </c>
      <c r="AP12" s="42" t="s">
        <v>487</v>
      </c>
      <c r="AQ12" s="161" t="str">
        <f>T('サービスコードマスタ（入力シート説明）'!$H16)</f>
        <v>①「親」が「Y」（親値）のとき必須
③「親」が「N」（子値）のとき入力不可
③集計範囲（FROM）≦集計範囲（TO）であること。
③集計範囲属性が「P:親値のみ」の場合、
　　自身の値が集計範囲(FROM)～集計範囲(TO)
　　に含まれないこと。</v>
      </c>
      <c r="AR12" s="67"/>
      <c r="AS12" s="67"/>
      <c r="AT12" s="67"/>
      <c r="AU12" s="67"/>
      <c r="AV12" s="68"/>
      <c r="AW12" s="69"/>
      <c r="AX12" s="114"/>
      <c r="AY12" s="70"/>
      <c r="AZ12" s="114" t="s">
        <v>547</v>
      </c>
      <c r="BA12" s="69"/>
      <c r="BB12" s="69"/>
      <c r="BC12" s="114" t="s">
        <v>728</v>
      </c>
      <c r="BD12" s="114"/>
      <c r="BE12" s="114"/>
      <c r="BF12" s="68">
        <v>1.5</v>
      </c>
      <c r="BG12" s="112"/>
      <c r="BH12" s="137">
        <f>IF(ISBLANK('サービスコードマスタ（入力シート説明）'!$D16),"",LEN('サービスコードマスタ（入力シート説明）'!$D16))</f>
        <v>2</v>
      </c>
      <c r="BI12" s="137" t="str">
        <f>IF(ISBLANK('サービスコードマスタ（入力シート説明）'!$D16),"",IF(ISERROR(FIND("(",'サービスコードマスタ（入力シート説明）'!$D16,1)),"",FIND("(",'サービスコードマスタ（入力シート説明）'!$D16,1)))</f>
        <v/>
      </c>
      <c r="BJ12" s="137" t="str">
        <f>IF(ISBLANK('サービスコードマスタ（入力シート説明）'!$D16),"",IF(ISERROR(FIND("(",'サービスコードマスタ（入力シート説明）'!$D16,1)),"",FIND(")",'サービスコードマスタ（入力シート説明）'!$D16,1)))</f>
        <v/>
      </c>
      <c r="BK12" s="137">
        <f>IF(ISBLANK('サービスコードマスタ（入力シート説明）'!$D16),"",IF($BL12="",0,IF($BL12=1,1,IF((IF($BI12="",$BH12,$BI12-1))=$BL12,2,3))))</f>
        <v>0</v>
      </c>
      <c r="BL12" s="137" t="str">
        <f>IF(ISBLANK('サービスコードマスタ（入力シート説明）'!$D16),"",IF(ISERROR(FIND("～",'サービスコードマスタ（入力シート説明）'!$D16,1)),"",FIND("～",'サービスコードマスタ（入力シート説明）'!$D16,1)))</f>
        <v/>
      </c>
    </row>
    <row r="13" spans="1:64" s="4" customFormat="1" ht="87" customHeight="1">
      <c r="A13" s="132">
        <f t="shared" si="0"/>
        <v>11</v>
      </c>
      <c r="B13" s="133" t="str">
        <f t="shared" si="1"/>
        <v>L</v>
      </c>
      <c r="C13" s="134"/>
      <c r="D13" s="135" t="str">
        <f>VLOOKUP($A13,'サービスコードマスタ（入力シート説明）'!$A$7:$B$109,2,$A13)</f>
        <v>集計範囲（TO）</v>
      </c>
      <c r="E13" s="134"/>
      <c r="F13" s="136" t="str">
        <f t="shared" si="2"/>
        <v/>
      </c>
      <c r="G13" s="42"/>
      <c r="H13" s="137" t="str">
        <f>IF(EXACT(T('サービスコードマスタ（入力シート説明）'!$E17),"必須"),"○","")</f>
        <v/>
      </c>
      <c r="I13" s="137" t="str">
        <f>IF(EXACT(T('サービスコードマスタ（入力シート説明）'!$C17),"数値"),"○","")</f>
        <v/>
      </c>
      <c r="J13" s="137" t="str">
        <f>IF(EXACT(T('サービスコードマスタ（入力シート説明）'!$C17),"電話番号"),"○","")</f>
        <v/>
      </c>
      <c r="K13" s="137" t="str">
        <f>IF(EXACT(T('サービスコードマスタ（入力シート説明）'!$C17),"郵便番号"),"○","")</f>
        <v/>
      </c>
      <c r="L13" s="137" t="str">
        <f>IF(EXACT(T('サービスコードマスタ（入力シート説明）'!$C17),"日付（スラッシュなし）"),"○","")</f>
        <v/>
      </c>
      <c r="M13" s="137" t="str">
        <f>IF(EXACT(T('サービスコードマスタ（入力シート説明）'!$C17),"半角英数"),"○","")</f>
        <v>○</v>
      </c>
      <c r="N13" s="137" t="str">
        <f>IF(ISBLANK('サービスコードマスタ（入力シート説明）'!$D17),"", IF(ISERROR(FIND("～", 'サービスコードマスタ（入力シート説明）'!$D17, 1)), "", IF(EXACT('サービスコードマスタ（入力シート説明）'!$D17,"～"), "", IF(LEN(LEFT('サービスコードマスタ（入力シート説明）'!$D17, FIND("～", 'サービスコードマスタ（入力シート説明）'!$D17, 1) - 1)) &gt;= 1, LEFT('サービスコードマスタ（入力シート説明）'!$D17, FIND("～", 'サービスコードマスタ（入力シート説明）'!$D17, 1) - 1), ""))))</f>
        <v/>
      </c>
      <c r="O13" s="137">
        <f>IF(T13&lt;&gt;"","",IF(OR('サービスコードマスタ（入力シート説明）'!C17="全半角",'サービスコードマスタ（入力シート説明）'!C17="全角",'サービスコードマスタ（入力シート説明）'!C17="全角英数",'サービスコードマスタ（入力シート説明）'!C17="全半角英数カナ",'サービスコードマスタ（入力シート説明）'!C17="全角英数カナ",'サービスコードマスタ（入力シート説明）'!C17="全角カナ",'サービスコードマスタ（入力シート説明）'!C17="半角カナ",'サービスコードマスタ（入力シート説明）'!C17="全銀協"),IF(OR(P13&lt;&gt;"",Q13&lt;&gt;""),TRUNC(IF(P13="",Q13/BF13,P13/BF13),0),""),IF(OR(P13&lt;&gt;"",Q13&lt;&gt;""),IF(P13="",Q13,P13),"")))</f>
        <v>10</v>
      </c>
      <c r="P13" s="137" t="str">
        <f>IF(ISBLANK('サービスコードマスタ（入力シート説明）'!$D17),"",IF($BK13=0,"",IF(OR($BK13=1,$BK13=3),MID('サービスコードマスタ（入力シート説明）'!$D17,$BL13+1,IF($BI13="",$BH13,$BI13-1)-$BL13)*IF($BG13&lt;&gt;"",$BF13,1),"")))</f>
        <v/>
      </c>
      <c r="Q13" s="137">
        <f>IF(ISBLANK('サービスコードマスタ（入力シート説明）'!$D17), "", IF($BK13=0, IF($BI13="",'サービスコードマスタ（入力シート説明）'!$D17,LEFT('サービスコードマスタ（入力シート説明）'!$D17,$BI13-1))*IF(BG13&lt;&gt;"",BF13,1),""))</f>
        <v>10</v>
      </c>
      <c r="R13" s="137" t="str">
        <f>IF(EXACT(T('サービスコードマスタ（入力シート説明）'!$C17),"全角"),"○","")</f>
        <v/>
      </c>
      <c r="S13" s="137" t="str">
        <f>IF(EXACT(T('サービスコードマスタ（入力シート説明）'!$C17),"全角カナ"),"○","")</f>
        <v/>
      </c>
      <c r="T13" s="136" t="str">
        <f>IF(ISBLANK('サービスコードマスタ（入力シート説明）'!$L17),"",IF(ISERROR(FIND("～",'サービスコードマスタ（入力シート説明）'!$L17,1)), 'サービスコードマスタ（入力シート説明）'!$L17, ""))</f>
        <v/>
      </c>
      <c r="U13" s="137" t="str">
        <f>IF(ISBLANK('サービスコードマスタ（入力シート説明）'!$L17),"",IF(ISERROR(FIND("～",'サービスコードマスタ（入力シート説明）'!$L17,1)), "", 'サービスコードマスタ（入力シート説明）'!$L17))</f>
        <v/>
      </c>
      <c r="V13" s="137" t="str">
        <f>IF(EXACT(T('サービスコードマスタ（入力シート説明）'!$I17),"あり"),"○","")</f>
        <v/>
      </c>
      <c r="W13" s="137" t="str">
        <f>IF(EXACT(T('サービスコードマスタ（入力シート説明）'!$C17),"全銀協"),"○","")</f>
        <v/>
      </c>
      <c r="X13" s="137" t="str">
        <f>IF(EXACT(T('サービスコードマスタ（入力シート説明）'!$C17),"事業所コード"),"○","")</f>
        <v/>
      </c>
      <c r="Y13" s="137" t="str">
        <f>IF(EXACT(T('サービスコードマスタ（入力シート説明）'!$C17),"半角英数大文字・半角スペース"),"○","")</f>
        <v/>
      </c>
      <c r="Z13" s="137" t="str">
        <f>IF(EXACT(T('サービスコードマスタ（入力シート説明）'!$C17),"半角英数・半角ハイフン"),"○","")</f>
        <v/>
      </c>
      <c r="AA13" s="137" t="str">
        <f>IF(EXACT(T('サービスコードマスタ（入力シート説明）'!$C17),"全角英数カナ"),"○","")</f>
        <v/>
      </c>
      <c r="AB13" s="137" t="str">
        <f>IF(EXACT(T('サービスコードマスタ（入力シート説明）'!$C17),"半角英数カナ"),"○","")</f>
        <v/>
      </c>
      <c r="AC13" s="137" t="str">
        <f>IF(EXACT(T('サービスコードマスタ（入力シート説明）'!$C17),"全半角英数カナ"),"○","")</f>
        <v/>
      </c>
      <c r="AD13" s="137" t="str">
        <f>IF(EXACT(T('サービスコードマスタ（入力シート説明）'!$C17),"通貨"),"○","")</f>
        <v/>
      </c>
      <c r="AE13" s="137" t="str">
        <f>IF(EXACT(T('サービスコードマスタ（入力シート説明）'!$C17),"半角"),"○","")</f>
        <v/>
      </c>
      <c r="AF13" s="137" t="str">
        <f>IF(EXACT(T('サービスコードマスタ（入力シート説明）'!$C17),"半角カナ"),"○","")</f>
        <v/>
      </c>
      <c r="AG13" s="137" t="str">
        <f>IF(EXACT(T('サービスコードマスタ（入力シート説明）'!$C17),"半角英数・半角アンダーバー"),"○","")</f>
        <v/>
      </c>
      <c r="AH13" s="137" t="str">
        <f>IF(EXACT(T('サービスコードマスタ（入力シート説明）'!$C17),"日付（スラッシュあり）"),"○","")</f>
        <v/>
      </c>
      <c r="AI13" s="137" t="str">
        <f>IF(EXACT(T('サービスコードマスタ（入力シート説明）'!$C17),"全角英数"),"○","")</f>
        <v/>
      </c>
      <c r="AJ13" s="137" t="str">
        <f>IF(ISBLANK('サービスコードマスタ（入力シート説明）'!$D17),"",IF(ISERROR(FIND("(", 'サービスコードマスタ（入力シート説明）'!$D17, 1)),"",MID('サービスコードマスタ（入力シート説明）'!$D17,$BI13+1,$BJ13-$BI13-1)))</f>
        <v/>
      </c>
      <c r="AK13" s="137" t="str">
        <f>IF(EXACT(T('サービスコードマスタ（入力シート説明）'!$F17),"あり"),"○","")</f>
        <v/>
      </c>
      <c r="AL13" s="138"/>
      <c r="AM13" s="137" t="str">
        <f>IF(EXACT(T('サービスコードマスタ（入力シート説明）'!$E17),"条件付き必須"),"○","")</f>
        <v>○</v>
      </c>
      <c r="AN13" s="137" t="str">
        <f>IF(EXACT(T('サービスコードマスタ（入力シート説明）'!$G17),"あり"),"○","")</f>
        <v/>
      </c>
      <c r="AO13" s="137" t="str">
        <f>IF(ISBLANK('サービスコードマスタ（入力シート説明）'!$N17),"","○")</f>
        <v/>
      </c>
      <c r="AP13" s="42"/>
      <c r="AQ13" s="161" t="str">
        <f>T('サービスコードマスタ（入力シート説明）'!$H17)</f>
        <v>①「親」が「Y」（親値）のとき必須
③「親」が「N」（子値）のとき入力不可
③集計範囲（FROM）≦集計範囲（TO）であること。
③集計範囲属性が「P:親値のみ」の場合、
　　自身の値が集計範囲(FROM)～集計範囲(TO)
　　に含まれないこと。</v>
      </c>
      <c r="AR13" s="67"/>
      <c r="AS13" s="67"/>
      <c r="AT13" s="67"/>
      <c r="AU13" s="67"/>
      <c r="AV13" s="68"/>
      <c r="AW13" s="69"/>
      <c r="AX13" s="114"/>
      <c r="AY13" s="70"/>
      <c r="AZ13" s="114" t="s">
        <v>548</v>
      </c>
      <c r="BA13" s="69"/>
      <c r="BB13" s="69"/>
      <c r="BC13" s="114" t="s">
        <v>549</v>
      </c>
      <c r="BD13" s="114"/>
      <c r="BE13" s="114"/>
      <c r="BF13" s="68">
        <v>1.5</v>
      </c>
      <c r="BG13" s="112"/>
      <c r="BH13" s="137">
        <f>IF(ISBLANK('サービスコードマスタ（入力シート説明）'!$D17),"",LEN('サービスコードマスタ（入力シート説明）'!$D17))</f>
        <v>2</v>
      </c>
      <c r="BI13" s="137" t="str">
        <f>IF(ISBLANK('サービスコードマスタ（入力シート説明）'!$D17),"",IF(ISERROR(FIND("(",'サービスコードマスタ（入力シート説明）'!$D17,1)),"",FIND("(",'サービスコードマスタ（入力シート説明）'!$D17,1)))</f>
        <v/>
      </c>
      <c r="BJ13" s="137" t="str">
        <f>IF(ISBLANK('サービスコードマスタ（入力シート説明）'!$D17),"",IF(ISERROR(FIND("(",'サービスコードマスタ（入力シート説明）'!$D17,1)),"",FIND(")",'サービスコードマスタ（入力シート説明）'!$D17,1)))</f>
        <v/>
      </c>
      <c r="BK13" s="137">
        <f>IF(ISBLANK('サービスコードマスタ（入力シート説明）'!$D17),"",IF($BL13="",0,IF($BL13=1,1,IF((IF($BI13="",$BH13,$BI13-1))=$BL13,2,3))))</f>
        <v>0</v>
      </c>
      <c r="BL13" s="137" t="str">
        <f>IF(ISBLANK('サービスコードマスタ（入力シート説明）'!$D17),"",IF(ISERROR(FIND("～",'サービスコードマスタ（入力シート説明）'!$D17,1)),"",FIND("～",'サービスコードマスタ（入力シート説明）'!$D17,1)))</f>
        <v/>
      </c>
    </row>
    <row r="14" spans="1:64" s="4" customFormat="1" ht="60" customHeight="1">
      <c r="A14" s="132">
        <f t="shared" si="0"/>
        <v>12</v>
      </c>
      <c r="B14" s="133" t="str">
        <f t="shared" si="1"/>
        <v>M</v>
      </c>
      <c r="C14" s="134"/>
      <c r="D14" s="135" t="str">
        <f>VLOOKUP($A14,'サービスコードマスタ（入力シート説明）'!$A$7:$B$109,2,$A14)</f>
        <v>費用仕訳レベル</v>
      </c>
      <c r="E14" s="134"/>
      <c r="F14" s="136" t="str">
        <f t="shared" si="2"/>
        <v/>
      </c>
      <c r="G14" s="42"/>
      <c r="H14" s="137" t="str">
        <f>IF(EXACT(T('サービスコードマスタ（入力シート説明）'!$E18),"必須"),"○","")</f>
        <v/>
      </c>
      <c r="I14" s="137" t="str">
        <f>IF(EXACT(T('サービスコードマスタ（入力シート説明）'!$C18),"数値"),"○","")</f>
        <v/>
      </c>
      <c r="J14" s="137" t="str">
        <f>IF(EXACT(T('サービスコードマスタ（入力シート説明）'!$C18),"電話番号"),"○","")</f>
        <v/>
      </c>
      <c r="K14" s="137" t="str">
        <f>IF(EXACT(T('サービスコードマスタ（入力シート説明）'!$C18),"郵便番号"),"○","")</f>
        <v/>
      </c>
      <c r="L14" s="137" t="str">
        <f>IF(EXACT(T('サービスコードマスタ（入力シート説明）'!$C18),"日付（スラッシュなし）"),"○","")</f>
        <v/>
      </c>
      <c r="M14" s="137" t="str">
        <f>IF(EXACT(T('サービスコードマスタ（入力シート説明）'!$C18),"半角英数"),"○","")</f>
        <v>○</v>
      </c>
      <c r="N14" s="137" t="str">
        <f>IF(ISBLANK('サービスコードマスタ（入力シート説明）'!$D18),"", IF(ISERROR(FIND("～", 'サービスコードマスタ（入力シート説明）'!$D18, 1)), "", IF(EXACT('サービスコードマスタ（入力シート説明）'!$D18,"～"), "", IF(LEN(LEFT('サービスコードマスタ（入力シート説明）'!$D18, FIND("～", 'サービスコードマスタ（入力シート説明）'!$D18, 1) - 1)) &gt;= 1, LEFT('サービスコードマスタ（入力シート説明）'!$D18, FIND("～", 'サービスコードマスタ（入力シート説明）'!$D18, 1) - 1), ""))))</f>
        <v/>
      </c>
      <c r="O14" s="137">
        <f>IF(T14&lt;&gt;"","",IF(OR('サービスコードマスタ（入力シート説明）'!C18="全半角",'サービスコードマスタ（入力シート説明）'!C18="全角",'サービスコードマスタ（入力シート説明）'!C18="全角英数",'サービスコードマスタ（入力シート説明）'!C18="全半角英数カナ",'サービスコードマスタ（入力シート説明）'!C18="全角英数カナ",'サービスコードマスタ（入力シート説明）'!C18="全角カナ",'サービスコードマスタ（入力シート説明）'!C18="半角カナ",'サービスコードマスタ（入力シート説明）'!C18="全銀協"),IF(OR(P14&lt;&gt;"",Q14&lt;&gt;""),TRUNC(IF(P14="",Q14/BF14,P14/BF14),0),""),IF(OR(P14&lt;&gt;"",Q14&lt;&gt;""),IF(P14="",Q14,P14),"")))</f>
        <v>10</v>
      </c>
      <c r="P14" s="137" t="str">
        <f>IF(ISBLANK('サービスコードマスタ（入力シート説明）'!$D18),"",IF($BK14=0,"",IF(OR($BK14=1,$BK14=3),MID('サービスコードマスタ（入力シート説明）'!$D18,$BL14+1,IF($BI14="",$BH14,$BI14-1)-$BL14)*IF($BG14&lt;&gt;"",$BF14,1),"")))</f>
        <v/>
      </c>
      <c r="Q14" s="137">
        <f>IF(ISBLANK('サービスコードマスタ（入力シート説明）'!$D18), "", IF($BK14=0, IF($BI14="",'サービスコードマスタ（入力シート説明）'!$D18,LEFT('サービスコードマスタ（入力シート説明）'!$D18,$BI14-1))*IF(BG14&lt;&gt;"",BF14,1),""))</f>
        <v>10</v>
      </c>
      <c r="R14" s="137" t="str">
        <f>IF(EXACT(T('サービスコードマスタ（入力シート説明）'!$C18),"全角"),"○","")</f>
        <v/>
      </c>
      <c r="S14" s="137" t="str">
        <f>IF(EXACT(T('サービスコードマスタ（入力シート説明）'!$C18),"全角カナ"),"○","")</f>
        <v/>
      </c>
      <c r="T14" s="136" t="str">
        <f>IF(ISBLANK('サービスコードマスタ（入力シート説明）'!$L18),"",IF(ISERROR(FIND("～",'サービスコードマスタ（入力シート説明）'!$L18,1)), 'サービスコードマスタ（入力シート説明）'!$L18, ""))</f>
        <v/>
      </c>
      <c r="U14" s="137" t="str">
        <f>IF(ISBLANK('サービスコードマスタ（入力シート説明）'!$L18),"",IF(ISERROR(FIND("～",'サービスコードマスタ（入力シート説明）'!$L18,1)), "", 'サービスコードマスタ（入力シート説明）'!$L18))</f>
        <v/>
      </c>
      <c r="V14" s="137" t="str">
        <f>IF(EXACT(T('サービスコードマスタ（入力シート説明）'!$I18),"あり"),"○","")</f>
        <v/>
      </c>
      <c r="W14" s="137" t="str">
        <f>IF(EXACT(T('サービスコードマスタ（入力シート説明）'!$C18),"全銀協"),"○","")</f>
        <v/>
      </c>
      <c r="X14" s="137" t="str">
        <f>IF(EXACT(T('サービスコードマスタ（入力シート説明）'!$C18),"事業所コード"),"○","")</f>
        <v/>
      </c>
      <c r="Y14" s="137" t="str">
        <f>IF(EXACT(T('サービスコードマスタ（入力シート説明）'!$C18),"半角英数大文字・半角スペース"),"○","")</f>
        <v/>
      </c>
      <c r="Z14" s="137" t="str">
        <f>IF(EXACT(T('サービスコードマスタ（入力シート説明）'!$C18),"半角英数・半角ハイフン"),"○","")</f>
        <v/>
      </c>
      <c r="AA14" s="137" t="str">
        <f>IF(EXACT(T('サービスコードマスタ（入力シート説明）'!$C18),"全角英数カナ"),"○","")</f>
        <v/>
      </c>
      <c r="AB14" s="137" t="str">
        <f>IF(EXACT(T('サービスコードマスタ（入力シート説明）'!$C18),"半角英数カナ"),"○","")</f>
        <v/>
      </c>
      <c r="AC14" s="137" t="str">
        <f>IF(EXACT(T('サービスコードマスタ（入力シート説明）'!$C18),"全半角英数カナ"),"○","")</f>
        <v/>
      </c>
      <c r="AD14" s="137" t="str">
        <f>IF(EXACT(T('サービスコードマスタ（入力シート説明）'!$C18),"通貨"),"○","")</f>
        <v/>
      </c>
      <c r="AE14" s="137" t="str">
        <f>IF(EXACT(T('サービスコードマスタ（入力シート説明）'!$C18),"半角"),"○","")</f>
        <v/>
      </c>
      <c r="AF14" s="137" t="str">
        <f>IF(EXACT(T('サービスコードマスタ（入力シート説明）'!$C18),"半角カナ"),"○","")</f>
        <v/>
      </c>
      <c r="AG14" s="137" t="str">
        <f>IF(EXACT(T('サービスコードマスタ（入力シート説明）'!$C18),"半角英数・半角アンダーバー"),"○","")</f>
        <v/>
      </c>
      <c r="AH14" s="137" t="str">
        <f>IF(EXACT(T('サービスコードマスタ（入力シート説明）'!$C18),"日付（スラッシュあり）"),"○","")</f>
        <v/>
      </c>
      <c r="AI14" s="137" t="str">
        <f>IF(EXACT(T('サービスコードマスタ（入力シート説明）'!$C18),"全角英数"),"○","")</f>
        <v/>
      </c>
      <c r="AJ14" s="137" t="str">
        <f>IF(ISBLANK('サービスコードマスタ（入力シート説明）'!$D18),"",IF(ISERROR(FIND("(", 'サービスコードマスタ（入力シート説明）'!$D18, 1)),"",MID('サービスコードマスタ（入力シート説明）'!$D18,$BI14+1,$BJ14-$BI14-1)))</f>
        <v/>
      </c>
      <c r="AK14" s="137" t="str">
        <f>IF(EXACT(T('サービスコードマスタ（入力シート説明）'!$F18),"あり"),"○","")</f>
        <v/>
      </c>
      <c r="AL14" s="138"/>
      <c r="AM14" s="137" t="str">
        <f>IF(EXACT(T('サービスコードマスタ（入力シート説明）'!$E18),"条件付き必須"),"○","")</f>
        <v>○</v>
      </c>
      <c r="AN14" s="137" t="str">
        <f>IF(EXACT(T('サービスコードマスタ（入力シート説明）'!$G18),"あり"),"○","")</f>
        <v>○</v>
      </c>
      <c r="AO14" s="137" t="str">
        <f>IF(ISBLANK('サービスコードマスタ（入力シート説明）'!$N18),"","○")</f>
        <v/>
      </c>
      <c r="AP14" s="42"/>
      <c r="AQ14" s="161" t="str">
        <f>T('サービスコードマスタ（入力シート説明）'!$H18)</f>
        <v xml:space="preserve">①「親」が「N」（子値）のとき必須
③「親」が「Y」（親値）のとき入力不可
③「費用仕訳レベル」が入力されている場合、
　　 「サービスコード（値）」＝「費用仕訳レベル」であること。
</v>
      </c>
      <c r="AR14" s="67"/>
      <c r="AS14" s="67"/>
      <c r="AT14" s="67"/>
      <c r="AU14" s="67"/>
      <c r="AV14" s="68"/>
      <c r="AW14" s="69"/>
      <c r="AX14" s="114"/>
      <c r="AY14" s="70"/>
      <c r="AZ14" s="114" t="s">
        <v>730</v>
      </c>
      <c r="BA14" s="69"/>
      <c r="BB14" s="69"/>
      <c r="BC14" s="114" t="s">
        <v>731</v>
      </c>
      <c r="BD14" s="114" t="s">
        <v>732</v>
      </c>
      <c r="BE14" s="69"/>
      <c r="BF14" s="68">
        <v>1.5</v>
      </c>
      <c r="BG14" s="112"/>
      <c r="BH14" s="137">
        <f>IF(ISBLANK('サービスコードマスタ（入力シート説明）'!$D18),"",LEN('サービスコードマスタ（入力シート説明）'!$D18))</f>
        <v>2</v>
      </c>
      <c r="BI14" s="137" t="str">
        <f>IF(ISBLANK('サービスコードマスタ（入力シート説明）'!$D18),"",IF(ISERROR(FIND("(",'サービスコードマスタ（入力シート説明）'!$D18,1)),"",FIND("(",'サービスコードマスタ（入力シート説明）'!$D18,1)))</f>
        <v/>
      </c>
      <c r="BJ14" s="137" t="str">
        <f>IF(ISBLANK('サービスコードマスタ（入力シート説明）'!$D18),"",IF(ISERROR(FIND("(",'サービスコードマスタ（入力シート説明）'!$D18,1)),"",FIND(")",'サービスコードマスタ（入力シート説明）'!$D18,1)))</f>
        <v/>
      </c>
      <c r="BK14" s="137">
        <f>IF(ISBLANK('サービスコードマスタ（入力シート説明）'!$D18),"",IF($BL14="",0,IF($BL14=1,1,IF((IF($BI14="",$BH14,$BI14-1))=$BL14,2,3))))</f>
        <v>0</v>
      </c>
      <c r="BL14" s="137" t="str">
        <f>IF(ISBLANK('サービスコードマスタ（入力シート説明）'!$D18),"",IF(ISERROR(FIND("～",'サービスコードマスタ（入力シート説明）'!$D18,1)),"",FIND("～",'サービスコードマスタ（入力シート説明）'!$D18,1)))</f>
        <v/>
      </c>
    </row>
    <row r="15" spans="1:64" s="4" customFormat="1">
      <c r="A15" s="132">
        <f t="shared" si="0"/>
        <v>13</v>
      </c>
      <c r="B15" s="133" t="str">
        <f t="shared" si="1"/>
        <v>N</v>
      </c>
      <c r="C15" s="134"/>
      <c r="D15" s="135" t="str">
        <f>VLOOKUP($A15,'サービスコードマスタ（入力シート説明）'!$A$7:$B$109,2,$A15)</f>
        <v>事業区分レベル</v>
      </c>
      <c r="E15" s="134"/>
      <c r="F15" s="136" t="str">
        <f t="shared" si="2"/>
        <v/>
      </c>
      <c r="G15" s="42"/>
      <c r="H15" s="137" t="str">
        <f>IF(EXACT(T('サービスコードマスタ（入力シート説明）'!$E19),"必須"),"○","")</f>
        <v/>
      </c>
      <c r="I15" s="137" t="str">
        <f>IF(EXACT(T('サービスコードマスタ（入力シート説明）'!$C19),"数値"),"○","")</f>
        <v/>
      </c>
      <c r="J15" s="137" t="str">
        <f>IF(EXACT(T('サービスコードマスタ（入力シート説明）'!$C19),"電話番号"),"○","")</f>
        <v/>
      </c>
      <c r="K15" s="137" t="str">
        <f>IF(EXACT(T('サービスコードマスタ（入力シート説明）'!$C19),"郵便番号"),"○","")</f>
        <v/>
      </c>
      <c r="L15" s="137" t="str">
        <f>IF(EXACT(T('サービスコードマスタ（入力シート説明）'!$C19),"日付（スラッシュなし）"),"○","")</f>
        <v/>
      </c>
      <c r="M15" s="137" t="str">
        <f>IF(EXACT(T('サービスコードマスタ（入力シート説明）'!$C19),"半角英数"),"○","")</f>
        <v>○</v>
      </c>
      <c r="N15" s="137" t="str">
        <f>IF(ISBLANK('サービスコードマスタ（入力シート説明）'!$D19),"", IF(ISERROR(FIND("～", 'サービスコードマスタ（入力シート説明）'!$D19, 1)), "", IF(EXACT('サービスコードマスタ（入力シート説明）'!$D19,"～"), "", IF(LEN(LEFT('サービスコードマスタ（入力シート説明）'!$D19, FIND("～", 'サービスコードマスタ（入力シート説明）'!$D19, 1) - 1)) &gt;= 1, LEFT('サービスコードマスタ（入力シート説明）'!$D19, FIND("～", 'サービスコードマスタ（入力シート説明）'!$D19, 1) - 1), ""))))</f>
        <v/>
      </c>
      <c r="O15" s="137">
        <f>IF(T15&lt;&gt;"","",IF(OR('サービスコードマスタ（入力シート説明）'!C19="全半角",'サービスコードマスタ（入力シート説明）'!C19="全角",'サービスコードマスタ（入力シート説明）'!C19="全角英数",'サービスコードマスタ（入力シート説明）'!C19="全半角英数カナ",'サービスコードマスタ（入力シート説明）'!C19="全角英数カナ",'サービスコードマスタ（入力シート説明）'!C19="全角カナ",'サービスコードマスタ（入力シート説明）'!C19="半角カナ",'サービスコードマスタ（入力シート説明）'!C19="全銀協"),IF(OR(P15&lt;&gt;"",Q15&lt;&gt;""),TRUNC(IF(P15="",Q15/BF15,P15/BF15),0),""),IF(OR(P15&lt;&gt;"",Q15&lt;&gt;""),IF(P15="",Q15,P15),"")))</f>
        <v>10</v>
      </c>
      <c r="P15" s="137" t="str">
        <f>IF(ISBLANK('サービスコードマスタ（入力シート説明）'!$D19),"",IF($BK15=0,"",IF(OR($BK15=1,$BK15=3),MID('サービスコードマスタ（入力シート説明）'!$D19,$BL15+1,IF($BI15="",$BH15,$BI15-1)-$BL15)*IF($BG15&lt;&gt;"",$BF15,1),"")))</f>
        <v/>
      </c>
      <c r="Q15" s="137">
        <f>IF(ISBLANK('サービスコードマスタ（入力シート説明）'!$D19), "", IF($BK15=0, IF($BI15="",'サービスコードマスタ（入力シート説明）'!$D19,LEFT('サービスコードマスタ（入力シート説明）'!$D19,$BI15-1))*IF(BG15&lt;&gt;"",BF15,1),""))</f>
        <v>10</v>
      </c>
      <c r="R15" s="137" t="str">
        <f>IF(EXACT(T('サービスコードマスタ（入力シート説明）'!$C19),"全角"),"○","")</f>
        <v/>
      </c>
      <c r="S15" s="137" t="str">
        <f>IF(EXACT(T('サービスコードマスタ（入力シート説明）'!$C19),"全角カナ"),"○","")</f>
        <v/>
      </c>
      <c r="T15" s="136" t="str">
        <f>IF(ISBLANK('サービスコードマスタ（入力シート説明）'!$L19),"",IF(ISERROR(FIND("～",'サービスコードマスタ（入力シート説明）'!$L19,1)), 'サービスコードマスタ（入力シート説明）'!$L19, ""))</f>
        <v/>
      </c>
      <c r="U15" s="137" t="str">
        <f>IF(ISBLANK('サービスコードマスタ（入力シート説明）'!$L19),"",IF(ISERROR(FIND("～",'サービスコードマスタ（入力シート説明）'!$L19,1)), "", 'サービスコードマスタ（入力シート説明）'!$L19))</f>
        <v/>
      </c>
      <c r="V15" s="137" t="str">
        <f>IF(EXACT(T('サービスコードマスタ（入力シート説明）'!$I19),"あり"),"○","")</f>
        <v/>
      </c>
      <c r="W15" s="137" t="str">
        <f>IF(EXACT(T('サービスコードマスタ（入力シート説明）'!$C19),"全銀協"),"○","")</f>
        <v/>
      </c>
      <c r="X15" s="137" t="str">
        <f>IF(EXACT(T('サービスコードマスタ（入力シート説明）'!$C19),"事業所コード"),"○","")</f>
        <v/>
      </c>
      <c r="Y15" s="137" t="str">
        <f>IF(EXACT(T('サービスコードマスタ（入力シート説明）'!$C19),"半角英数大文字・半角スペース"),"○","")</f>
        <v/>
      </c>
      <c r="Z15" s="137" t="str">
        <f>IF(EXACT(T('サービスコードマスタ（入力シート説明）'!$C19),"半角英数・半角ハイフン"),"○","")</f>
        <v/>
      </c>
      <c r="AA15" s="137" t="str">
        <f>IF(EXACT(T('サービスコードマスタ（入力シート説明）'!$C19),"全角英数カナ"),"○","")</f>
        <v/>
      </c>
      <c r="AB15" s="137" t="str">
        <f>IF(EXACT(T('サービスコードマスタ（入力シート説明）'!$C19),"半角英数カナ"),"○","")</f>
        <v/>
      </c>
      <c r="AC15" s="137" t="str">
        <f>IF(EXACT(T('サービスコードマスタ（入力シート説明）'!$C19),"全半角英数カナ"),"○","")</f>
        <v/>
      </c>
      <c r="AD15" s="137" t="str">
        <f>IF(EXACT(T('サービスコードマスタ（入力シート説明）'!$C19),"通貨"),"○","")</f>
        <v/>
      </c>
      <c r="AE15" s="137" t="str">
        <f>IF(EXACT(T('サービスコードマスタ（入力シート説明）'!$C19),"半角"),"○","")</f>
        <v/>
      </c>
      <c r="AF15" s="137" t="str">
        <f>IF(EXACT(T('サービスコードマスタ（入力シート説明）'!$C19),"半角カナ"),"○","")</f>
        <v/>
      </c>
      <c r="AG15" s="137" t="str">
        <f>IF(EXACT(T('サービスコードマスタ（入力シート説明）'!$C19),"半角英数・半角アンダーバー"),"○","")</f>
        <v/>
      </c>
      <c r="AH15" s="137" t="str">
        <f>IF(EXACT(T('サービスコードマスタ（入力シート説明）'!$C19),"日付（スラッシュあり）"),"○","")</f>
        <v/>
      </c>
      <c r="AI15" s="137" t="str">
        <f>IF(EXACT(T('サービスコードマスタ（入力シート説明）'!$C19),"全角英数"),"○","")</f>
        <v/>
      </c>
      <c r="AJ15" s="137" t="str">
        <f>IF(ISBLANK('サービスコードマスタ（入力シート説明）'!$D19),"",IF(ISERROR(FIND("(", 'サービスコードマスタ（入力シート説明）'!$D19, 1)),"",MID('サービスコードマスタ（入力シート説明）'!$D19,$BI15+1,$BJ15-$BI15-1)))</f>
        <v/>
      </c>
      <c r="AK15" s="137" t="str">
        <f>IF(EXACT(T('サービスコードマスタ（入力シート説明）'!$F19),"あり"),"○","")</f>
        <v/>
      </c>
      <c r="AL15" s="138"/>
      <c r="AM15" s="137" t="str">
        <f>IF(EXACT(T('サービスコードマスタ（入力シート説明）'!$E19),"条件付き必須"),"○","")</f>
        <v/>
      </c>
      <c r="AN15" s="137" t="str">
        <f>IF(EXACT(T('サービスコードマスタ（入力シート説明）'!$G19),"あり"),"○","")</f>
        <v>○</v>
      </c>
      <c r="AO15" s="137" t="str">
        <f>IF(ISBLANK('サービスコードマスタ（入力シート説明）'!$N19),"","○")</f>
        <v/>
      </c>
      <c r="AP15" s="42" t="s">
        <v>487</v>
      </c>
      <c r="AQ15" s="161" t="str">
        <f>T('サービスコードマスタ（入力シート説明）'!$H19)</f>
        <v/>
      </c>
      <c r="AR15" s="67"/>
      <c r="AS15" s="67"/>
      <c r="AT15" s="67"/>
      <c r="AU15" s="67"/>
      <c r="AV15" s="68"/>
      <c r="AW15" s="69"/>
      <c r="AX15" s="114"/>
      <c r="AY15" s="70"/>
      <c r="AZ15" s="114"/>
      <c r="BA15" s="69"/>
      <c r="BB15" s="69"/>
      <c r="BC15" s="114" t="s">
        <v>734</v>
      </c>
      <c r="BD15" s="114" t="s">
        <v>748</v>
      </c>
      <c r="BE15" s="114"/>
      <c r="BF15" s="68">
        <v>1.5</v>
      </c>
      <c r="BG15" s="112"/>
      <c r="BH15" s="137">
        <f>IF(ISBLANK('サービスコードマスタ（入力シート説明）'!$D19),"",LEN('サービスコードマスタ（入力シート説明）'!$D19))</f>
        <v>2</v>
      </c>
      <c r="BI15" s="137" t="str">
        <f>IF(ISBLANK('サービスコードマスタ（入力シート説明）'!$D19),"",IF(ISERROR(FIND("(",'サービスコードマスタ（入力シート説明）'!$D19,1)),"",FIND("(",'サービスコードマスタ（入力シート説明）'!$D19,1)))</f>
        <v/>
      </c>
      <c r="BJ15" s="137" t="str">
        <f>IF(ISBLANK('サービスコードマスタ（入力シート説明）'!$D19),"",IF(ISERROR(FIND("(",'サービスコードマスタ（入力シート説明）'!$D19,1)),"",FIND(")",'サービスコードマスタ（入力シート説明）'!$D19,1)))</f>
        <v/>
      </c>
      <c r="BK15" s="137">
        <f>IF(ISBLANK('サービスコードマスタ（入力シート説明）'!$D19),"",IF($BL15="",0,IF($BL15=1,1,IF((IF($BI15="",$BH15,$BI15-1))=$BL15,2,3))))</f>
        <v>0</v>
      </c>
      <c r="BL15" s="137" t="str">
        <f>IF(ISBLANK('サービスコードマスタ（入力シート説明）'!$D19),"",IF(ISERROR(FIND("～",'サービスコードマスタ（入力シート説明）'!$D19,1)),"",FIND("～",'サービスコードマスタ（入力シート説明）'!$D19,1)))</f>
        <v/>
      </c>
    </row>
    <row r="16" spans="1:64" s="4" customFormat="1" ht="75" customHeight="1">
      <c r="A16" s="132">
        <f t="shared" si="0"/>
        <v>14</v>
      </c>
      <c r="B16" s="133" t="str">
        <f t="shared" si="1"/>
        <v>O</v>
      </c>
      <c r="C16" s="134"/>
      <c r="D16" s="135" t="str">
        <f>VLOOKUP($A16,'サービスコードマスタ（入力シート説明）'!$A$7:$B$109,2,$A16)</f>
        <v>収益フラグ</v>
      </c>
      <c r="E16" s="134"/>
      <c r="F16" s="136" t="str">
        <f t="shared" si="2"/>
        <v>Y</v>
      </c>
      <c r="G16" s="42"/>
      <c r="H16" s="137" t="str">
        <f>IF(EXACT(T('サービスコードマスタ（入力シート説明）'!$E20),"必須"),"○","")</f>
        <v/>
      </c>
      <c r="I16" s="137" t="str">
        <f>IF(EXACT(T('サービスコードマスタ（入力シート説明）'!$C20),"数値"),"○","")</f>
        <v/>
      </c>
      <c r="J16" s="137" t="str">
        <f>IF(EXACT(T('サービスコードマスタ（入力シート説明）'!$C20),"電話番号"),"○","")</f>
        <v/>
      </c>
      <c r="K16" s="137" t="str">
        <f>IF(EXACT(T('サービスコードマスタ（入力シート説明）'!$C20),"郵便番号"),"○","")</f>
        <v/>
      </c>
      <c r="L16" s="137" t="str">
        <f>IF(EXACT(T('サービスコードマスタ（入力シート説明）'!$C20),"日付（スラッシュなし）"),"○","")</f>
        <v/>
      </c>
      <c r="M16" s="137" t="str">
        <f>IF(EXACT(T('サービスコードマスタ（入力シート説明）'!$C20),"半角英数"),"○","")</f>
        <v>○</v>
      </c>
      <c r="N16" s="137" t="str">
        <f>IF(ISBLANK('サービスコードマスタ（入力シート説明）'!$D20),"", IF(ISERROR(FIND("～", 'サービスコードマスタ（入力シート説明）'!$D20, 1)), "", IF(EXACT('サービスコードマスタ（入力シート説明）'!$D20,"～"), "", IF(LEN(LEFT('サービスコードマスタ（入力シート説明）'!$D20, FIND("～", 'サービスコードマスタ（入力シート説明）'!$D20, 1) - 1)) &gt;= 1, LEFT('サービスコードマスタ（入力シート説明）'!$D20, FIND("～", 'サービスコードマスタ（入力シート説明）'!$D20, 1) - 1), ""))))</f>
        <v/>
      </c>
      <c r="O16" s="137" t="str">
        <f>IF(T16&lt;&gt;"","",IF(OR('サービスコードマスタ（入力シート説明）'!C20="全半角",'サービスコードマスタ（入力シート説明）'!C20="全角",'サービスコードマスタ（入力シート説明）'!C20="全角英数",'サービスコードマスタ（入力シート説明）'!C20="全半角英数カナ",'サービスコードマスタ（入力シート説明）'!C20="全角英数カナ",'サービスコードマスタ（入力シート説明）'!C20="全角カナ",'サービスコードマスタ（入力シート説明）'!C20="半角カナ",'サービスコードマスタ（入力シート説明）'!C20="全銀協"),IF(OR(P16&lt;&gt;"",Q16&lt;&gt;""),TRUNC(IF(P16="",Q16/BF16,P16/BF16),0),""),IF(OR(P16&lt;&gt;"",Q16&lt;&gt;""),IF(P16="",Q16,P16),"")))</f>
        <v/>
      </c>
      <c r="P16" s="137" t="str">
        <f>IF(ISBLANK('サービスコードマスタ（入力シート説明）'!$D20),"",IF($BK16=0,"",IF(OR($BK16=1,$BK16=3),MID('サービスコードマスタ（入力シート説明）'!$D20,$BL16+1,IF($BI16="",$BH16,$BI16-1)-$BL16)*IF($BG16&lt;&gt;"",$BF16,1),"")))</f>
        <v/>
      </c>
      <c r="Q16" s="137">
        <f>IF(ISBLANK('サービスコードマスタ（入力シート説明）'!$D20), "", IF($BK16=0, IF($BI16="",'サービスコードマスタ（入力シート説明）'!$D20,LEFT('サービスコードマスタ（入力シート説明）'!$D20,$BI16-1))*IF(BG16&lt;&gt;"",BF16,1),""))</f>
        <v>1</v>
      </c>
      <c r="R16" s="137" t="str">
        <f>IF(EXACT(T('サービスコードマスタ（入力シート説明）'!$C20),"全角"),"○","")</f>
        <v/>
      </c>
      <c r="S16" s="137" t="str">
        <f>IF(EXACT(T('サービスコードマスタ（入力シート説明）'!$C20),"全角カナ"),"○","")</f>
        <v/>
      </c>
      <c r="T16" s="136" t="str">
        <f>IF(ISBLANK('サービスコードマスタ（入力シート説明）'!$L20),"",IF(ISERROR(FIND("～",'サービスコードマスタ（入力シート説明）'!$L20,1)), 'サービスコードマスタ（入力シート説明）'!$L20, ""))</f>
        <v>Y</v>
      </c>
      <c r="U16" s="137" t="str">
        <f>IF(ISBLANK('サービスコードマスタ（入力シート説明）'!$L20),"",IF(ISERROR(FIND("～",'サービスコードマスタ（入力シート説明）'!$L20,1)), "", 'サービスコードマスタ（入力シート説明）'!$L20))</f>
        <v/>
      </c>
      <c r="V16" s="137" t="str">
        <f>IF(EXACT(T('サービスコードマスタ（入力シート説明）'!$I20),"あり"),"○","")</f>
        <v/>
      </c>
      <c r="W16" s="137" t="str">
        <f>IF(EXACT(T('サービスコードマスタ（入力シート説明）'!$C20),"全銀協"),"○","")</f>
        <v/>
      </c>
      <c r="X16" s="137" t="str">
        <f>IF(EXACT(T('サービスコードマスタ（入力シート説明）'!$C20),"事業所コード"),"○","")</f>
        <v/>
      </c>
      <c r="Y16" s="137" t="str">
        <f>IF(EXACT(T('サービスコードマスタ（入力シート説明）'!$C20),"半角英数大文字・半角スペース"),"○","")</f>
        <v/>
      </c>
      <c r="Z16" s="137" t="str">
        <f>IF(EXACT(T('サービスコードマスタ（入力シート説明）'!$C20),"半角英数・半角ハイフン"),"○","")</f>
        <v/>
      </c>
      <c r="AA16" s="137" t="str">
        <f>IF(EXACT(T('サービスコードマスタ（入力シート説明）'!$C20),"全角英数カナ"),"○","")</f>
        <v/>
      </c>
      <c r="AB16" s="137" t="str">
        <f>IF(EXACT(T('サービスコードマスタ（入力シート説明）'!$C20),"半角英数カナ"),"○","")</f>
        <v/>
      </c>
      <c r="AC16" s="137" t="str">
        <f>IF(EXACT(T('サービスコードマスタ（入力シート説明）'!$C20),"全半角英数カナ"),"○","")</f>
        <v/>
      </c>
      <c r="AD16" s="137" t="str">
        <f>IF(EXACT(T('サービスコードマスタ（入力シート説明）'!$C20),"通貨"),"○","")</f>
        <v/>
      </c>
      <c r="AE16" s="137" t="str">
        <f>IF(EXACT(T('サービスコードマスタ（入力シート説明）'!$C20),"半角"),"○","")</f>
        <v/>
      </c>
      <c r="AF16" s="137" t="str">
        <f>IF(EXACT(T('サービスコードマスタ（入力シート説明）'!$C20),"半角カナ"),"○","")</f>
        <v/>
      </c>
      <c r="AG16" s="137" t="str">
        <f>IF(EXACT(T('サービスコードマスタ（入力シート説明）'!$C20),"半角英数・半角アンダーバー"),"○","")</f>
        <v/>
      </c>
      <c r="AH16" s="137" t="str">
        <f>IF(EXACT(T('サービスコードマスタ（入力シート説明）'!$C20),"日付（スラッシュあり）"),"○","")</f>
        <v/>
      </c>
      <c r="AI16" s="137" t="str">
        <f>IF(EXACT(T('サービスコードマスタ（入力シート説明）'!$C20),"全角英数"),"○","")</f>
        <v/>
      </c>
      <c r="AJ16" s="137" t="str">
        <f>IF(ISBLANK('サービスコードマスタ（入力シート説明）'!$D20),"",IF(ISERROR(FIND("(", 'サービスコードマスタ（入力シート説明）'!$D20, 1)),"",MID('サービスコードマスタ（入力シート説明）'!$D20,$BI16+1,$BJ16-$BI16-1)))</f>
        <v/>
      </c>
      <c r="AK16" s="137" t="str">
        <f>IF(EXACT(T('サービスコードマスタ（入力シート説明）'!$F20),"あり"),"○","")</f>
        <v/>
      </c>
      <c r="AL16" s="138"/>
      <c r="AM16" s="137" t="str">
        <f>IF(EXACT(T('サービスコードマスタ（入力シート説明）'!$E20),"条件付き必須"),"○","")</f>
        <v/>
      </c>
      <c r="AN16" s="137" t="str">
        <f>IF(EXACT(T('サービスコードマスタ（入力シート説明）'!$G20),"あり"),"○","")</f>
        <v>○</v>
      </c>
      <c r="AO16" s="137" t="str">
        <f>IF(ISBLANK('サービスコードマスタ（入力シート説明）'!$N20),"","○")</f>
        <v/>
      </c>
      <c r="AP16" s="42"/>
      <c r="AQ16" s="161" t="str">
        <f>T('サービスコードマスタ（入力シート説明）'!$H20)</f>
        <v>③「親」が「Y」（親値）のとき入力不可
③「サービスコード」＝「0000000000」の場合、
　　　　「収益フラグ」は未設定であること。
③「親」＝「N」かつ「区分経理フラグ」＝「Y」以外の場合
　　　　「収益フラグ」と「費用フラグ」のどちらかが「Y」であること。</v>
      </c>
      <c r="AR16" s="67"/>
      <c r="AS16" s="67"/>
      <c r="AT16" s="67"/>
      <c r="AU16" s="67"/>
      <c r="AV16" s="68"/>
      <c r="AW16" s="69"/>
      <c r="AX16" s="114"/>
      <c r="AY16" s="70"/>
      <c r="AZ16" s="114"/>
      <c r="BA16" s="69"/>
      <c r="BB16" s="69"/>
      <c r="BC16" s="114" t="s">
        <v>733</v>
      </c>
      <c r="BD16" s="114" t="s">
        <v>735</v>
      </c>
      <c r="BE16" s="263"/>
      <c r="BF16" s="68">
        <v>1.5</v>
      </c>
      <c r="BG16" s="112"/>
      <c r="BH16" s="137">
        <f>IF(ISBLANK('サービスコードマスタ（入力シート説明）'!$D20),"",LEN('サービスコードマスタ（入力シート説明）'!$D20))</f>
        <v>1</v>
      </c>
      <c r="BI16" s="137" t="str">
        <f>IF(ISBLANK('サービスコードマスタ（入力シート説明）'!$D20),"",IF(ISERROR(FIND("(",'サービスコードマスタ（入力シート説明）'!$D20,1)),"",FIND("(",'サービスコードマスタ（入力シート説明）'!$D20,1)))</f>
        <v/>
      </c>
      <c r="BJ16" s="137" t="str">
        <f>IF(ISBLANK('サービスコードマスタ（入力シート説明）'!$D20),"",IF(ISERROR(FIND("(",'サービスコードマスタ（入力シート説明）'!$D20,1)),"",FIND(")",'サービスコードマスタ（入力シート説明）'!$D20,1)))</f>
        <v/>
      </c>
      <c r="BK16" s="137">
        <f>IF(ISBLANK('サービスコードマスタ（入力シート説明）'!$D20),"",IF($BL16="",0,IF($BL16=1,1,IF((IF($BI16="",$BH16,$BI16-1))=$BL16,2,3))))</f>
        <v>0</v>
      </c>
      <c r="BL16" s="137" t="str">
        <f>IF(ISBLANK('サービスコードマスタ（入力シート説明）'!$D20),"",IF(ISERROR(FIND("～",'サービスコードマスタ（入力シート説明）'!$D20,1)),"",FIND("～",'サービスコードマスタ（入力シート説明）'!$D20,1)))</f>
        <v/>
      </c>
    </row>
    <row r="17" spans="1:64" s="4" customFormat="1" ht="72" customHeight="1">
      <c r="A17" s="132">
        <f t="shared" si="0"/>
        <v>15</v>
      </c>
      <c r="B17" s="133" t="str">
        <f t="shared" si="1"/>
        <v>P</v>
      </c>
      <c r="C17" s="134"/>
      <c r="D17" s="135" t="str">
        <f>VLOOKUP($A17,'サービスコードマスタ（入力シート説明）'!$A$7:$B$109,2,$A17)</f>
        <v>費用フラグ</v>
      </c>
      <c r="E17" s="134"/>
      <c r="F17" s="136" t="str">
        <f t="shared" si="2"/>
        <v>Y</v>
      </c>
      <c r="G17" s="42"/>
      <c r="H17" s="137" t="str">
        <f>IF(EXACT(T('サービスコードマスタ（入力シート説明）'!$E21),"必須"),"○","")</f>
        <v/>
      </c>
      <c r="I17" s="137" t="str">
        <f>IF(EXACT(T('サービスコードマスタ（入力シート説明）'!$C21),"数値"),"○","")</f>
        <v/>
      </c>
      <c r="J17" s="137" t="str">
        <f>IF(EXACT(T('サービスコードマスタ（入力シート説明）'!$C21),"電話番号"),"○","")</f>
        <v/>
      </c>
      <c r="K17" s="137" t="str">
        <f>IF(EXACT(T('サービスコードマスタ（入力シート説明）'!$C21),"郵便番号"),"○","")</f>
        <v/>
      </c>
      <c r="L17" s="137" t="str">
        <f>IF(EXACT(T('サービスコードマスタ（入力シート説明）'!$C21),"日付（スラッシュなし）"),"○","")</f>
        <v/>
      </c>
      <c r="M17" s="137" t="str">
        <f>IF(EXACT(T('サービスコードマスタ（入力シート説明）'!$C21),"半角英数"),"○","")</f>
        <v>○</v>
      </c>
      <c r="N17" s="137" t="str">
        <f>IF(ISBLANK('サービスコードマスタ（入力シート説明）'!$D21),"", IF(ISERROR(FIND("～", 'サービスコードマスタ（入力シート説明）'!$D21, 1)), "", IF(EXACT('サービスコードマスタ（入力シート説明）'!$D21,"～"), "", IF(LEN(LEFT('サービスコードマスタ（入力シート説明）'!$D21, FIND("～", 'サービスコードマスタ（入力シート説明）'!$D21, 1) - 1)) &gt;= 1, LEFT('サービスコードマスタ（入力シート説明）'!$D21, FIND("～", 'サービスコードマスタ（入力シート説明）'!$D21, 1) - 1), ""))))</f>
        <v/>
      </c>
      <c r="O17" s="137" t="str">
        <f>IF(T17&lt;&gt;"","",IF(OR('サービスコードマスタ（入力シート説明）'!C21="全半角",'サービスコードマスタ（入力シート説明）'!C21="全角",'サービスコードマスタ（入力シート説明）'!C21="全角英数",'サービスコードマスタ（入力シート説明）'!C21="全半角英数カナ",'サービスコードマスタ（入力シート説明）'!C21="全角英数カナ",'サービスコードマスタ（入力シート説明）'!C21="全角カナ",'サービスコードマスタ（入力シート説明）'!C21="半角カナ",'サービスコードマスタ（入力シート説明）'!C21="全銀協"),IF(OR(P17&lt;&gt;"",Q17&lt;&gt;""),TRUNC(IF(P17="",Q17/BF17,P17/BF17),0),""),IF(OR(P17&lt;&gt;"",Q17&lt;&gt;""),IF(P17="",Q17,P17),"")))</f>
        <v/>
      </c>
      <c r="P17" s="137" t="str">
        <f>IF(ISBLANK('サービスコードマスタ（入力シート説明）'!$D21),"",IF($BK17=0,"",IF(OR($BK17=1,$BK17=3),MID('サービスコードマスタ（入力シート説明）'!$D21,$BL17+1,IF($BI17="",$BH17,$BI17-1)-$BL17)*IF($BG17&lt;&gt;"",$BF17,1),"")))</f>
        <v/>
      </c>
      <c r="Q17" s="137">
        <f>IF(ISBLANK('サービスコードマスタ（入力シート説明）'!$D21), "", IF($BK17=0, IF($BI17="",'サービスコードマスタ（入力シート説明）'!$D21,LEFT('サービスコードマスタ（入力シート説明）'!$D21,$BI17-1))*IF(BG17&lt;&gt;"",BF17,1),""))</f>
        <v>1</v>
      </c>
      <c r="R17" s="137" t="str">
        <f>IF(EXACT(T('サービスコードマスタ（入力シート説明）'!$C21),"全角"),"○","")</f>
        <v/>
      </c>
      <c r="S17" s="137" t="str">
        <f>IF(EXACT(T('サービスコードマスタ（入力シート説明）'!$C21),"全角カナ"),"○","")</f>
        <v/>
      </c>
      <c r="T17" s="136" t="str">
        <f>IF(ISBLANK('サービスコードマスタ（入力シート説明）'!$L21),"",IF(ISERROR(FIND("～",'サービスコードマスタ（入力シート説明）'!$L21,1)), 'サービスコードマスタ（入力シート説明）'!$L21, ""))</f>
        <v>Y</v>
      </c>
      <c r="U17" s="137" t="str">
        <f>IF(ISBLANK('サービスコードマスタ（入力シート説明）'!$L21),"",IF(ISERROR(FIND("～",'サービスコードマスタ（入力シート説明）'!$L21,1)), "", 'サービスコードマスタ（入力シート説明）'!$L21))</f>
        <v/>
      </c>
      <c r="V17" s="137" t="str">
        <f>IF(EXACT(T('サービスコードマスタ（入力シート説明）'!$I21),"あり"),"○","")</f>
        <v/>
      </c>
      <c r="W17" s="137" t="str">
        <f>IF(EXACT(T('サービスコードマスタ（入力シート説明）'!$C21),"全銀協"),"○","")</f>
        <v/>
      </c>
      <c r="X17" s="137" t="str">
        <f>IF(EXACT(T('サービスコードマスタ（入力シート説明）'!$C21),"事業所コード"),"○","")</f>
        <v/>
      </c>
      <c r="Y17" s="137" t="str">
        <f>IF(EXACT(T('サービスコードマスタ（入力シート説明）'!$C21),"半角英数大文字・半角スペース"),"○","")</f>
        <v/>
      </c>
      <c r="Z17" s="137" t="str">
        <f>IF(EXACT(T('サービスコードマスタ（入力シート説明）'!$C21),"半角英数・半角ハイフン"),"○","")</f>
        <v/>
      </c>
      <c r="AA17" s="137" t="str">
        <f>IF(EXACT(T('サービスコードマスタ（入力シート説明）'!$C21),"全角英数カナ"),"○","")</f>
        <v/>
      </c>
      <c r="AB17" s="137" t="str">
        <f>IF(EXACT(T('サービスコードマスタ（入力シート説明）'!$C21),"半角英数カナ"),"○","")</f>
        <v/>
      </c>
      <c r="AC17" s="137" t="str">
        <f>IF(EXACT(T('サービスコードマスタ（入力シート説明）'!$C21),"全半角英数カナ"),"○","")</f>
        <v/>
      </c>
      <c r="AD17" s="137" t="str">
        <f>IF(EXACT(T('サービスコードマスタ（入力シート説明）'!$C21),"通貨"),"○","")</f>
        <v/>
      </c>
      <c r="AE17" s="137" t="str">
        <f>IF(EXACT(T('サービスコードマスタ（入力シート説明）'!$C21),"半角"),"○","")</f>
        <v/>
      </c>
      <c r="AF17" s="137" t="str">
        <f>IF(EXACT(T('サービスコードマスタ（入力シート説明）'!$C21),"半角カナ"),"○","")</f>
        <v/>
      </c>
      <c r="AG17" s="137" t="str">
        <f>IF(EXACT(T('サービスコードマスタ（入力シート説明）'!$C21),"半角英数・半角アンダーバー"),"○","")</f>
        <v/>
      </c>
      <c r="AH17" s="137" t="str">
        <f>IF(EXACT(T('サービスコードマスタ（入力シート説明）'!$C21),"日付（スラッシュあり）"),"○","")</f>
        <v/>
      </c>
      <c r="AI17" s="137" t="str">
        <f>IF(EXACT(T('サービスコードマスタ（入力シート説明）'!$C21),"全角英数"),"○","")</f>
        <v/>
      </c>
      <c r="AJ17" s="137" t="str">
        <f>IF(ISBLANK('サービスコードマスタ（入力シート説明）'!$D21),"",IF(ISERROR(FIND("(", 'サービスコードマスタ（入力シート説明）'!$D21, 1)),"",MID('サービスコードマスタ（入力シート説明）'!$D21,$BI17+1,$BJ17-$BI17-1)))</f>
        <v/>
      </c>
      <c r="AK17" s="137" t="str">
        <f>IF(EXACT(T('サービスコードマスタ（入力シート説明）'!$F21),"あり"),"○","")</f>
        <v/>
      </c>
      <c r="AL17" s="138"/>
      <c r="AM17" s="137" t="str">
        <f>IF(EXACT(T('サービスコードマスタ（入力シート説明）'!$E21),"条件付き必須"),"○","")</f>
        <v/>
      </c>
      <c r="AN17" s="137" t="str">
        <f>IF(EXACT(T('サービスコードマスタ（入力シート説明）'!$G21),"あり"),"○","")</f>
        <v>○</v>
      </c>
      <c r="AO17" s="137" t="str">
        <f>IF(ISBLANK('サービスコードマスタ（入力シート説明）'!$N21),"","○")</f>
        <v/>
      </c>
      <c r="AP17" s="42"/>
      <c r="AQ17" s="161" t="str">
        <f>T('サービスコードマスタ（入力シート説明）'!$H21)</f>
        <v>③「親」が「Y」（親値）のとき入力不可
③「サービスコード」＝「0000000000」の場合、
　　　　「費用フラグ」＝「Y]であること。
③「親」＝「N」かつ「区分経理フラグ」＝「Y」以外の場合
　　　　「収益フラグ」と「費用フラグ」のどちらかが「Y」であること。</v>
      </c>
      <c r="AR17" s="67"/>
      <c r="AS17" s="67"/>
      <c r="AT17" s="67"/>
      <c r="AU17" s="67"/>
      <c r="AV17" s="68"/>
      <c r="AW17" s="69"/>
      <c r="AX17" s="114"/>
      <c r="AY17" s="70"/>
      <c r="AZ17" s="114"/>
      <c r="BA17" s="69"/>
      <c r="BB17" s="69"/>
      <c r="BC17" s="114" t="s">
        <v>736</v>
      </c>
      <c r="BD17" s="114" t="s">
        <v>737</v>
      </c>
      <c r="BE17" s="69"/>
      <c r="BF17" s="68">
        <v>1.5</v>
      </c>
      <c r="BG17" s="112"/>
      <c r="BH17" s="137">
        <f>IF(ISBLANK('サービスコードマスタ（入力シート説明）'!$D21),"",LEN('サービスコードマスタ（入力シート説明）'!$D21))</f>
        <v>1</v>
      </c>
      <c r="BI17" s="137" t="str">
        <f>IF(ISBLANK('サービスコードマスタ（入力シート説明）'!$D21),"",IF(ISERROR(FIND("(",'サービスコードマスタ（入力シート説明）'!$D21,1)),"",FIND("(",'サービスコードマスタ（入力シート説明）'!$D21,1)))</f>
        <v/>
      </c>
      <c r="BJ17" s="137" t="str">
        <f>IF(ISBLANK('サービスコードマスタ（入力シート説明）'!$D21),"",IF(ISERROR(FIND("(",'サービスコードマスタ（入力シート説明）'!$D21,1)),"",FIND(")",'サービスコードマスタ（入力シート説明）'!$D21,1)))</f>
        <v/>
      </c>
      <c r="BK17" s="137">
        <f>IF(ISBLANK('サービスコードマスタ（入力シート説明）'!$D21),"",IF($BL17="",0,IF($BL17=1,1,IF((IF($BI17="",$BH17,$BI17-1))=$BL17,2,3))))</f>
        <v>0</v>
      </c>
      <c r="BL17" s="137" t="str">
        <f>IF(ISBLANK('サービスコードマスタ（入力シート説明）'!$D21),"",IF(ISERROR(FIND("～",'サービスコードマスタ（入力シート説明）'!$D21,1)),"",FIND("～",'サービスコードマスタ（入力シート説明）'!$D21,1)))</f>
        <v/>
      </c>
    </row>
    <row r="18" spans="1:64" s="4" customFormat="1" ht="117" customHeight="1">
      <c r="A18" s="132">
        <f t="shared" si="0"/>
        <v>16</v>
      </c>
      <c r="B18" s="133" t="str">
        <f t="shared" si="1"/>
        <v>Q</v>
      </c>
      <c r="C18" s="134"/>
      <c r="D18" s="135" t="str">
        <f>VLOOKUP($A18,'サービスコードマスタ（入力シート説明）'!$A$7:$B$109,2,$A18)</f>
        <v>固定資産フラグ</v>
      </c>
      <c r="E18" s="134"/>
      <c r="F18" s="136" t="str">
        <f t="shared" si="2"/>
        <v>Y</v>
      </c>
      <c r="G18" s="42"/>
      <c r="H18" s="137" t="str">
        <f>IF(EXACT(T('サービスコードマスタ（入力シート説明）'!$E22),"必須"),"○","")</f>
        <v/>
      </c>
      <c r="I18" s="137" t="str">
        <f>IF(EXACT(T('サービスコードマスタ（入力シート説明）'!$C22),"数値"),"○","")</f>
        <v/>
      </c>
      <c r="J18" s="137" t="str">
        <f>IF(EXACT(T('サービスコードマスタ（入力シート説明）'!$C22),"電話番号"),"○","")</f>
        <v/>
      </c>
      <c r="K18" s="137" t="str">
        <f>IF(EXACT(T('サービスコードマスタ（入力シート説明）'!$C22),"郵便番号"),"○","")</f>
        <v/>
      </c>
      <c r="L18" s="137" t="str">
        <f>IF(EXACT(T('サービスコードマスタ（入力シート説明）'!$C22),"日付（スラッシュなし）"),"○","")</f>
        <v/>
      </c>
      <c r="M18" s="137" t="str">
        <f>IF(EXACT(T('サービスコードマスタ（入力シート説明）'!$C22),"半角英数"),"○","")</f>
        <v>○</v>
      </c>
      <c r="N18" s="137" t="str">
        <f>IF(ISBLANK('サービスコードマスタ（入力シート説明）'!$D22),"", IF(ISERROR(FIND("～", 'サービスコードマスタ（入力シート説明）'!$D22, 1)), "", IF(EXACT('サービスコードマスタ（入力シート説明）'!$D22,"～"), "", IF(LEN(LEFT('サービスコードマスタ（入力シート説明）'!$D22, FIND("～", 'サービスコードマスタ（入力シート説明）'!$D22, 1) - 1)) &gt;= 1, LEFT('サービスコードマスタ（入力シート説明）'!$D22, FIND("～", 'サービスコードマスタ（入力シート説明）'!$D22, 1) - 1), ""))))</f>
        <v/>
      </c>
      <c r="O18" s="137" t="str">
        <f>IF(T18&lt;&gt;"","",IF(OR('サービスコードマスタ（入力シート説明）'!C22="全半角",'サービスコードマスタ（入力シート説明）'!C22="全角",'サービスコードマスタ（入力シート説明）'!C22="全角英数",'サービスコードマスタ（入力シート説明）'!C22="全半角英数カナ",'サービスコードマスタ（入力シート説明）'!C22="全角英数カナ",'サービスコードマスタ（入力シート説明）'!C22="全角カナ",'サービスコードマスタ（入力シート説明）'!C22="半角カナ",'サービスコードマスタ（入力シート説明）'!C22="全銀協"),IF(OR(P18&lt;&gt;"",Q18&lt;&gt;""),TRUNC(IF(P18="",Q18/BF18,P18/BF18),0),""),IF(OR(P18&lt;&gt;"",Q18&lt;&gt;""),IF(P18="",Q18,P18),"")))</f>
        <v/>
      </c>
      <c r="P18" s="137" t="str">
        <f>IF(ISBLANK('サービスコードマスタ（入力シート説明）'!$D22),"",IF($BK18=0,"",IF(OR($BK18=1,$BK18=3),MID('サービスコードマスタ（入力シート説明）'!$D22,$BL18+1,IF($BI18="",$BH18,$BI18-1)-$BL18)*IF($BG18&lt;&gt;"",$BF18,1),"")))</f>
        <v/>
      </c>
      <c r="Q18" s="137">
        <f>IF(ISBLANK('サービスコードマスタ（入力シート説明）'!$D22), "", IF($BK18=0, IF($BI18="",'サービスコードマスタ（入力シート説明）'!$D22,LEFT('サービスコードマスタ（入力シート説明）'!$D22,$BI18-1))*IF(BG18&lt;&gt;"",BF18,1),""))</f>
        <v>1</v>
      </c>
      <c r="R18" s="137" t="str">
        <f>IF(EXACT(T('サービスコードマスタ（入力シート説明）'!$C22),"全角"),"○","")</f>
        <v/>
      </c>
      <c r="S18" s="137" t="str">
        <f>IF(EXACT(T('サービスコードマスタ（入力シート説明）'!$C22),"全角カナ"),"○","")</f>
        <v/>
      </c>
      <c r="T18" s="136" t="str">
        <f>IF(ISBLANK('サービスコードマスタ（入力シート説明）'!$L22),"",IF(ISERROR(FIND("～",'サービスコードマスタ（入力シート説明）'!$L22,1)), 'サービスコードマスタ（入力シート説明）'!$L22, ""))</f>
        <v>Y</v>
      </c>
      <c r="U18" s="137" t="str">
        <f>IF(ISBLANK('サービスコードマスタ（入力シート説明）'!$L22),"",IF(ISERROR(FIND("～",'サービスコードマスタ（入力シート説明）'!$L22,1)), "", 'サービスコードマスタ（入力シート説明）'!$L22))</f>
        <v/>
      </c>
      <c r="V18" s="137" t="str">
        <f>IF(EXACT(T('サービスコードマスタ（入力シート説明）'!$I22),"あり"),"○","")</f>
        <v/>
      </c>
      <c r="W18" s="137" t="str">
        <f>IF(EXACT(T('サービスコードマスタ（入力シート説明）'!$C22),"全銀協"),"○","")</f>
        <v/>
      </c>
      <c r="X18" s="137" t="str">
        <f>IF(EXACT(T('サービスコードマスタ（入力シート説明）'!$C22),"事業所コード"),"○","")</f>
        <v/>
      </c>
      <c r="Y18" s="137" t="str">
        <f>IF(EXACT(T('サービスコードマスタ（入力シート説明）'!$C22),"半角英数大文字・半角スペース"),"○","")</f>
        <v/>
      </c>
      <c r="Z18" s="137" t="str">
        <f>IF(EXACT(T('サービスコードマスタ（入力シート説明）'!$C22),"半角英数・半角ハイフン"),"○","")</f>
        <v/>
      </c>
      <c r="AA18" s="137" t="str">
        <f>IF(EXACT(T('サービスコードマスタ（入力シート説明）'!$C22),"全角英数カナ"),"○","")</f>
        <v/>
      </c>
      <c r="AB18" s="137" t="str">
        <f>IF(EXACT(T('サービスコードマスタ（入力シート説明）'!$C22),"半角英数カナ"),"○","")</f>
        <v/>
      </c>
      <c r="AC18" s="137" t="str">
        <f>IF(EXACT(T('サービスコードマスタ（入力シート説明）'!$C22),"全半角英数カナ"),"○","")</f>
        <v/>
      </c>
      <c r="AD18" s="137" t="str">
        <f>IF(EXACT(T('サービスコードマスタ（入力シート説明）'!$C22),"通貨"),"○","")</f>
        <v/>
      </c>
      <c r="AE18" s="137" t="str">
        <f>IF(EXACT(T('サービスコードマスタ（入力シート説明）'!$C22),"半角"),"○","")</f>
        <v/>
      </c>
      <c r="AF18" s="137" t="str">
        <f>IF(EXACT(T('サービスコードマスタ（入力シート説明）'!$C22),"半角カナ"),"○","")</f>
        <v/>
      </c>
      <c r="AG18" s="137" t="str">
        <f>IF(EXACT(T('サービスコードマスタ（入力シート説明）'!$C22),"半角英数・半角アンダーバー"),"○","")</f>
        <v/>
      </c>
      <c r="AH18" s="137" t="str">
        <f>IF(EXACT(T('サービスコードマスタ（入力シート説明）'!$C22),"日付（スラッシュあり）"),"○","")</f>
        <v/>
      </c>
      <c r="AI18" s="137" t="str">
        <f>IF(EXACT(T('サービスコードマスタ（入力シート説明）'!$C22),"全角英数"),"○","")</f>
        <v/>
      </c>
      <c r="AJ18" s="137" t="str">
        <f>IF(ISBLANK('サービスコードマスタ（入力シート説明）'!$D22),"",IF(ISERROR(FIND("(", 'サービスコードマスタ（入力シート説明）'!$D22, 1)),"",MID('サービスコードマスタ（入力シート説明）'!$D22,$BI18+1,$BJ18-$BI18-1)))</f>
        <v/>
      </c>
      <c r="AK18" s="137" t="str">
        <f>IF(EXACT(T('サービスコードマスタ（入力シート説明）'!$F22),"あり"),"○","")</f>
        <v/>
      </c>
      <c r="AL18" s="138"/>
      <c r="AM18" s="137" t="str">
        <f>IF(EXACT(T('サービスコードマスタ（入力シート説明）'!$E22),"条件付き必須"),"○","")</f>
        <v/>
      </c>
      <c r="AN18" s="137" t="str">
        <f>IF(EXACT(T('サービスコードマスタ（入力シート説明）'!$G22),"あり"),"○","")</f>
        <v>○</v>
      </c>
      <c r="AO18" s="137" t="str">
        <f>IF(ISBLANK('サービスコードマスタ（入力シート説明）'!$N22),"","○")</f>
        <v/>
      </c>
      <c r="AP18" s="42"/>
      <c r="AQ18" s="161" t="str">
        <f>T('サービスコードマスタ（入力シート説明）'!$H22)</f>
        <v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v>
      </c>
      <c r="AR18" s="67"/>
      <c r="AS18" s="67"/>
      <c r="AT18" s="67"/>
      <c r="AU18" s="67"/>
      <c r="AV18" s="68"/>
      <c r="AW18" s="69"/>
      <c r="AX18" s="114"/>
      <c r="AY18" s="70"/>
      <c r="AZ18" s="114"/>
      <c r="BA18" s="69"/>
      <c r="BB18" s="69"/>
      <c r="BC18" s="114" t="s">
        <v>551</v>
      </c>
      <c r="BD18" s="114" t="s">
        <v>747</v>
      </c>
      <c r="BE18" s="114"/>
      <c r="BF18" s="68">
        <v>1.5</v>
      </c>
      <c r="BG18" s="112"/>
      <c r="BH18" s="137">
        <f>IF(ISBLANK('サービスコードマスタ（入力シート説明）'!$D22),"",LEN('サービスコードマスタ（入力シート説明）'!$D22))</f>
        <v>1</v>
      </c>
      <c r="BI18" s="137" t="str">
        <f>IF(ISBLANK('サービスコードマスタ（入力シート説明）'!$D22),"",IF(ISERROR(FIND("(",'サービスコードマスタ（入力シート説明）'!$D22,1)),"",FIND("(",'サービスコードマスタ（入力シート説明）'!$D22,1)))</f>
        <v/>
      </c>
      <c r="BJ18" s="137" t="str">
        <f>IF(ISBLANK('サービスコードマスタ（入力シート説明）'!$D22),"",IF(ISERROR(FIND("(",'サービスコードマスタ（入力シート説明）'!$D22,1)),"",FIND(")",'サービスコードマスタ（入力シート説明）'!$D22,1)))</f>
        <v/>
      </c>
      <c r="BK18" s="137">
        <f>IF(ISBLANK('サービスコードマスタ（入力シート説明）'!$D22),"",IF($BL18="",0,IF($BL18=1,1,IF((IF($BI18="",$BH18,$BI18-1))=$BL18,2,3))))</f>
        <v>0</v>
      </c>
      <c r="BL18" s="137" t="str">
        <f>IF(ISBLANK('サービスコードマスタ（入力シート説明）'!$D22),"",IF(ISERROR(FIND("～",'サービスコードマスタ（入力シート説明）'!$D22,1)),"",FIND("～",'サービスコードマスタ（入力シート説明）'!$D22,1)))</f>
        <v/>
      </c>
    </row>
    <row r="19" spans="1:64" s="4" customFormat="1" ht="129" customHeight="1">
      <c r="A19" s="132">
        <f t="shared" si="0"/>
        <v>17</v>
      </c>
      <c r="B19" s="133" t="str">
        <f t="shared" si="1"/>
        <v>R</v>
      </c>
      <c r="C19" s="134"/>
      <c r="D19" s="135" t="str">
        <f>VLOOKUP($A19,'サービスコードマスタ（入力シート説明）'!$A$7:$B$109,2,$A19)</f>
        <v>区分経理フラグ</v>
      </c>
      <c r="E19" s="134"/>
      <c r="F19" s="136" t="str">
        <f t="shared" si="2"/>
        <v>Y</v>
      </c>
      <c r="G19" s="42"/>
      <c r="H19" s="137" t="str">
        <f>IF(EXACT(T('サービスコードマスタ（入力シート説明）'!$E23),"必須"),"○","")</f>
        <v/>
      </c>
      <c r="I19" s="137" t="str">
        <f>IF(EXACT(T('サービスコードマスタ（入力シート説明）'!$C23),"数値"),"○","")</f>
        <v/>
      </c>
      <c r="J19" s="137" t="str">
        <f>IF(EXACT(T('サービスコードマスタ（入力シート説明）'!$C23),"電話番号"),"○","")</f>
        <v/>
      </c>
      <c r="K19" s="137" t="str">
        <f>IF(EXACT(T('サービスコードマスタ（入力シート説明）'!$C23),"郵便番号"),"○","")</f>
        <v/>
      </c>
      <c r="L19" s="137" t="str">
        <f>IF(EXACT(T('サービスコードマスタ（入力シート説明）'!$C23),"日付（スラッシュなし）"),"○","")</f>
        <v/>
      </c>
      <c r="M19" s="137" t="str">
        <f>IF(EXACT(T('サービスコードマスタ（入力シート説明）'!$C23),"半角英数"),"○","")</f>
        <v>○</v>
      </c>
      <c r="N19" s="137" t="str">
        <f>IF(ISBLANK('サービスコードマスタ（入力シート説明）'!$D23),"", IF(ISERROR(FIND("～", 'サービスコードマスタ（入力シート説明）'!$D23, 1)), "", IF(EXACT('サービスコードマスタ（入力シート説明）'!$D23,"～"), "", IF(LEN(LEFT('サービスコードマスタ（入力シート説明）'!$D23, FIND("～", 'サービスコードマスタ（入力シート説明）'!$D23, 1) - 1)) &gt;= 1, LEFT('サービスコードマスタ（入力シート説明）'!$D23, FIND("～", 'サービスコードマスタ（入力シート説明）'!$D23, 1) - 1), ""))))</f>
        <v/>
      </c>
      <c r="O19" s="137" t="str">
        <f>IF(T19&lt;&gt;"","",IF(OR('サービスコードマスタ（入力シート説明）'!C23="全半角",'サービスコードマスタ（入力シート説明）'!C23="全角",'サービスコードマスタ（入力シート説明）'!C23="全角英数",'サービスコードマスタ（入力シート説明）'!C23="全半角英数カナ",'サービスコードマスタ（入力シート説明）'!C23="全角英数カナ",'サービスコードマスタ（入力シート説明）'!C23="全角カナ",'サービスコードマスタ（入力シート説明）'!C23="半角カナ",'サービスコードマスタ（入力シート説明）'!C23="全銀協"),IF(OR(P19&lt;&gt;"",Q19&lt;&gt;""),TRUNC(IF(P19="",Q19/BF19,P19/BF19),0),""),IF(OR(P19&lt;&gt;"",Q19&lt;&gt;""),IF(P19="",Q19,P19),"")))</f>
        <v/>
      </c>
      <c r="P19" s="137" t="str">
        <f>IF(ISBLANK('サービスコードマスタ（入力シート説明）'!$D23),"",IF($BK19=0,"",IF(OR($BK19=1,$BK19=3),MID('サービスコードマスタ（入力シート説明）'!$D23,$BL19+1,IF($BI19="",$BH19,$BI19-1)-$BL19)*IF($BG19&lt;&gt;"",$BF19,1),"")))</f>
        <v/>
      </c>
      <c r="Q19" s="137">
        <f>IF(ISBLANK('サービスコードマスタ（入力シート説明）'!$D23), "", IF($BK19=0, IF($BI19="",'サービスコードマスタ（入力シート説明）'!$D23,LEFT('サービスコードマスタ（入力シート説明）'!$D23,$BI19-1))*IF(BG19&lt;&gt;"",BF19,1),""))</f>
        <v>1</v>
      </c>
      <c r="R19" s="137" t="str">
        <f>IF(EXACT(T('サービスコードマスタ（入力シート説明）'!$C23),"全角"),"○","")</f>
        <v/>
      </c>
      <c r="S19" s="137" t="str">
        <f>IF(EXACT(T('サービスコードマスタ（入力シート説明）'!$C23),"全角カナ"),"○","")</f>
        <v/>
      </c>
      <c r="T19" s="136" t="str">
        <f>IF(ISBLANK('サービスコードマスタ（入力シート説明）'!$L23),"",IF(ISERROR(FIND("～",'サービスコードマスタ（入力シート説明）'!$L23,1)), 'サービスコードマスタ（入力シート説明）'!$L23, ""))</f>
        <v>Y</v>
      </c>
      <c r="U19" s="137" t="str">
        <f>IF(ISBLANK('サービスコードマスタ（入力シート説明）'!$L23),"",IF(ISERROR(FIND("～",'サービスコードマスタ（入力シート説明）'!$L23,1)), "", 'サービスコードマスタ（入力シート説明）'!$L23))</f>
        <v/>
      </c>
      <c r="V19" s="137" t="str">
        <f>IF(EXACT(T('サービスコードマスタ（入力シート説明）'!$I23),"あり"),"○","")</f>
        <v/>
      </c>
      <c r="W19" s="137" t="str">
        <f>IF(EXACT(T('サービスコードマスタ（入力シート説明）'!$C23),"全銀協"),"○","")</f>
        <v/>
      </c>
      <c r="X19" s="137" t="str">
        <f>IF(EXACT(T('サービスコードマスタ（入力シート説明）'!$C23),"事業所コード"),"○","")</f>
        <v/>
      </c>
      <c r="Y19" s="137" t="str">
        <f>IF(EXACT(T('サービスコードマスタ（入力シート説明）'!$C23),"半角英数大文字・半角スペース"),"○","")</f>
        <v/>
      </c>
      <c r="Z19" s="137" t="str">
        <f>IF(EXACT(T('サービスコードマスタ（入力シート説明）'!$C23),"半角英数・半角ハイフン"),"○","")</f>
        <v/>
      </c>
      <c r="AA19" s="137" t="str">
        <f>IF(EXACT(T('サービスコードマスタ（入力シート説明）'!$C23),"全角英数カナ"),"○","")</f>
        <v/>
      </c>
      <c r="AB19" s="137" t="str">
        <f>IF(EXACT(T('サービスコードマスタ（入力シート説明）'!$C23),"半角英数カナ"),"○","")</f>
        <v/>
      </c>
      <c r="AC19" s="137" t="str">
        <f>IF(EXACT(T('サービスコードマスタ（入力シート説明）'!$C23),"全半角英数カナ"),"○","")</f>
        <v/>
      </c>
      <c r="AD19" s="137" t="str">
        <f>IF(EXACT(T('サービスコードマスタ（入力シート説明）'!$C23),"通貨"),"○","")</f>
        <v/>
      </c>
      <c r="AE19" s="137" t="str">
        <f>IF(EXACT(T('サービスコードマスタ（入力シート説明）'!$C23),"半角"),"○","")</f>
        <v/>
      </c>
      <c r="AF19" s="137" t="str">
        <f>IF(EXACT(T('サービスコードマスタ（入力シート説明）'!$C23),"半角カナ"),"○","")</f>
        <v/>
      </c>
      <c r="AG19" s="137" t="str">
        <f>IF(EXACT(T('サービスコードマスタ（入力シート説明）'!$C23),"半角英数・半角アンダーバー"),"○","")</f>
        <v/>
      </c>
      <c r="AH19" s="137" t="str">
        <f>IF(EXACT(T('サービスコードマスタ（入力シート説明）'!$C23),"日付（スラッシュあり）"),"○","")</f>
        <v/>
      </c>
      <c r="AI19" s="137" t="str">
        <f>IF(EXACT(T('サービスコードマスタ（入力シート説明）'!$C23),"全角英数"),"○","")</f>
        <v/>
      </c>
      <c r="AJ19" s="137" t="str">
        <f>IF(ISBLANK('サービスコードマスタ（入力シート説明）'!$D23),"",IF(ISERROR(FIND("(", 'サービスコードマスタ（入力シート説明）'!$D23, 1)),"",MID('サービスコードマスタ（入力シート説明）'!$D23,$BI19+1,$BJ19-$BI19-1)))</f>
        <v/>
      </c>
      <c r="AK19" s="137" t="str">
        <f>IF(EXACT(T('サービスコードマスタ（入力シート説明）'!$F23),"あり"),"○","")</f>
        <v/>
      </c>
      <c r="AL19" s="138"/>
      <c r="AM19" s="137" t="str">
        <f>IF(EXACT(T('サービスコードマスタ（入力シート説明）'!$E23),"条件付き必須"),"○","")</f>
        <v/>
      </c>
      <c r="AN19" s="137" t="str">
        <f>IF(EXACT(T('サービスコードマスタ（入力シート説明）'!$G23),"あり"),"○","")</f>
        <v>○</v>
      </c>
      <c r="AO19" s="137" t="str">
        <f>IF(ISBLANK('サービスコードマスタ（入力シート説明）'!$N23),"","○")</f>
        <v/>
      </c>
      <c r="AP19" s="42"/>
      <c r="AQ19" s="161" t="str">
        <f>T('サービスコードマスタ（入力シート説明）'!$H23)</f>
        <v>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v>
      </c>
      <c r="AR19" s="67"/>
      <c r="AS19" s="67"/>
      <c r="AT19" s="67"/>
      <c r="AU19" s="67"/>
      <c r="AV19" s="68"/>
      <c r="AW19" s="69"/>
      <c r="AX19" s="114"/>
      <c r="AY19" s="70"/>
      <c r="AZ19" s="114"/>
      <c r="BA19" s="69"/>
      <c r="BB19" s="69"/>
      <c r="BC19" s="114" t="s">
        <v>738</v>
      </c>
      <c r="BD19" s="114" t="s">
        <v>743</v>
      </c>
      <c r="BE19" s="114"/>
      <c r="BF19" s="68">
        <v>1.5</v>
      </c>
      <c r="BG19" s="112"/>
      <c r="BH19" s="137">
        <f>IF(ISBLANK('サービスコードマスタ（入力シート説明）'!$D23),"",LEN('サービスコードマスタ（入力シート説明）'!$D23))</f>
        <v>1</v>
      </c>
      <c r="BI19" s="137" t="str">
        <f>IF(ISBLANK('サービスコードマスタ（入力シート説明）'!$D23),"",IF(ISERROR(FIND("(",'サービスコードマスタ（入力シート説明）'!$D23,1)),"",FIND("(",'サービスコードマスタ（入力シート説明）'!$D23,1)))</f>
        <v/>
      </c>
      <c r="BJ19" s="137" t="str">
        <f>IF(ISBLANK('サービスコードマスタ（入力シート説明）'!$D23),"",IF(ISERROR(FIND("(",'サービスコードマスタ（入力シート説明）'!$D23,1)),"",FIND(")",'サービスコードマスタ（入力シート説明）'!$D23,1)))</f>
        <v/>
      </c>
      <c r="BK19" s="137">
        <f>IF(ISBLANK('サービスコードマスタ（入力シート説明）'!$D23),"",IF($BL19="",0,IF($BL19=1,1,IF((IF($BI19="",$BH19,$BI19-1))=$BL19,2,3))))</f>
        <v>0</v>
      </c>
      <c r="BL19" s="137" t="str">
        <f>IF(ISBLANK('サービスコードマスタ（入力シート説明）'!$D23),"",IF(ISERROR(FIND("～",'サービスコードマスタ（入力シート説明）'!$D23,1)),"",FIND("～",'サービスコードマスタ（入力シート説明）'!$D23,1)))</f>
        <v/>
      </c>
    </row>
    <row r="20" spans="1:64" s="4" customFormat="1" ht="116.25" customHeight="1">
      <c r="A20" s="132">
        <f t="shared" si="0"/>
        <v>18</v>
      </c>
      <c r="B20" s="133" t="str">
        <f t="shared" si="1"/>
        <v>S</v>
      </c>
      <c r="C20" s="134"/>
      <c r="D20" s="135" t="str">
        <f>VLOOKUP($A20,'サービスコードマスタ（入力シート説明）'!$A$7:$B$109,2,$A20)</f>
        <v>税金グループ</v>
      </c>
      <c r="E20" s="134"/>
      <c r="F20" s="136" t="str">
        <f t="shared" si="2"/>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G20" s="42"/>
      <c r="H20" s="137" t="str">
        <f>IF(EXACT(T('サービスコードマスタ（入力シート説明）'!$E24),"必須"),"○","")</f>
        <v/>
      </c>
      <c r="I20" s="137" t="str">
        <f>IF(EXACT(T('サービスコードマスタ（入力シート説明）'!$C24),"数値"),"○","")</f>
        <v/>
      </c>
      <c r="J20" s="137" t="str">
        <f>IF(EXACT(T('サービスコードマスタ（入力シート説明）'!$C24),"電話番号"),"○","")</f>
        <v/>
      </c>
      <c r="K20" s="137" t="str">
        <f>IF(EXACT(T('サービスコードマスタ（入力シート説明）'!$C24),"郵便番号"),"○","")</f>
        <v/>
      </c>
      <c r="L20" s="137" t="str">
        <f>IF(EXACT(T('サービスコードマスタ（入力シート説明）'!$C24),"日付（スラッシュなし）"),"○","")</f>
        <v/>
      </c>
      <c r="M20" s="137" t="str">
        <f>IF(EXACT(T('サービスコードマスタ（入力シート説明）'!$C24),"半角英数"),"○","")</f>
        <v>○</v>
      </c>
      <c r="N20" s="137" t="str">
        <f>IF(ISBLANK('サービスコードマスタ（入力シート説明）'!$D24),"", IF(ISERROR(FIND("～", 'サービスコードマスタ（入力シート説明）'!$D24, 1)), "", IF(EXACT('サービスコードマスタ（入力シート説明）'!$D24,"～"), "", IF(LEN(LEFT('サービスコードマスタ（入力シート説明）'!$D24, FIND("～", 'サービスコードマスタ（入力シート説明）'!$D24, 1) - 1)) &gt;= 1, LEFT('サービスコードマスタ（入力シート説明）'!$D24, FIND("～", 'サービスコードマスタ（入力シート説明）'!$D24, 1) - 1), ""))))</f>
        <v/>
      </c>
      <c r="O20" s="137" t="str">
        <f>IF(T20&lt;&gt;"","",IF(OR('サービスコードマスタ（入力シート説明）'!C24="全半角",'サービスコードマスタ（入力シート説明）'!C24="全角",'サービスコードマスタ（入力シート説明）'!C24="全角英数",'サービスコードマスタ（入力シート説明）'!C24="全半角英数カナ",'サービスコードマスタ（入力シート説明）'!C24="全角英数カナ",'サービスコードマスタ（入力シート説明）'!C24="全角カナ",'サービスコードマスタ（入力シート説明）'!C24="半角カナ",'サービスコードマスタ（入力シート説明）'!C24="全銀協"),IF(OR(P20&lt;&gt;"",Q20&lt;&gt;""),TRUNC(IF(P20="",Q20/BF20,P20/BF20),0),""),IF(OR(P20&lt;&gt;"",Q20&lt;&gt;""),IF(P20="",Q20,P20),"")))</f>
        <v/>
      </c>
      <c r="P20" s="137" t="str">
        <f>IF(ISBLANK('サービスコードマスタ（入力シート説明）'!$D24),"",IF($BK20=0,"",IF(OR($BK20=1,$BK20=3),MID('サービスコードマスタ（入力シート説明）'!$D24,$BL20+1,IF($BI20="",$BH20,$BI20-1)-$BL20)*IF($BG20&lt;&gt;"",$BF20,1),"")))</f>
        <v/>
      </c>
      <c r="Q20" s="137">
        <f>IF(ISBLANK('サービスコードマスタ（入力シート説明）'!$D24), "", IF($BK20=0, IF($BI20="",'サービスコードマスタ（入力シート説明）'!$D24,LEFT('サービスコードマスタ（入力シート説明）'!$D24,$BI20-1))*IF(BG20&lt;&gt;"",BF20,1),""))</f>
        <v>3</v>
      </c>
      <c r="R20" s="137" t="str">
        <f>IF(EXACT(T('サービスコードマスタ（入力シート説明）'!$C24),"全角"),"○","")</f>
        <v/>
      </c>
      <c r="S20" s="137" t="str">
        <f>IF(EXACT(T('サービスコードマスタ（入力シート説明）'!$C24),"全角カナ"),"○","")</f>
        <v/>
      </c>
      <c r="T20" s="136" t="str">
        <f>IF(ISBLANK('サービスコードマスタ（入力シート説明）'!$L24),"",IF(ISERROR(FIND("～",'サービスコードマスタ（入力シート説明）'!$L24,1)), 'サービスコードマスタ（入力シート説明）'!$L24, ""))</f>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U20" s="137" t="str">
        <f>IF(ISBLANK('サービスコードマスタ（入力シート説明）'!$L24),"",IF(ISERROR(FIND("～",'サービスコードマスタ（入力シート説明）'!$L24,1)), "", 'サービスコードマスタ（入力シート説明）'!$L24))</f>
        <v/>
      </c>
      <c r="V20" s="137" t="str">
        <f>IF(EXACT(T('サービスコードマスタ（入力シート説明）'!$I24),"あり"),"○","")</f>
        <v/>
      </c>
      <c r="W20" s="137" t="str">
        <f>IF(EXACT(T('サービスコードマスタ（入力シート説明）'!$C24),"全銀協"),"○","")</f>
        <v/>
      </c>
      <c r="X20" s="137" t="str">
        <f>IF(EXACT(T('サービスコードマスタ（入力シート説明）'!$C24),"事業所コード"),"○","")</f>
        <v/>
      </c>
      <c r="Y20" s="137" t="str">
        <f>IF(EXACT(T('サービスコードマスタ（入力シート説明）'!$C24),"半角英数大文字・半角スペース"),"○","")</f>
        <v/>
      </c>
      <c r="Z20" s="137" t="str">
        <f>IF(EXACT(T('サービスコードマスタ（入力シート説明）'!$C24),"半角英数・半角ハイフン"),"○","")</f>
        <v/>
      </c>
      <c r="AA20" s="137" t="str">
        <f>IF(EXACT(T('サービスコードマスタ（入力シート説明）'!$C24),"全角英数カナ"),"○","")</f>
        <v/>
      </c>
      <c r="AB20" s="137" t="str">
        <f>IF(EXACT(T('サービスコードマスタ（入力シート説明）'!$C24),"半角英数カナ"),"○","")</f>
        <v/>
      </c>
      <c r="AC20" s="137" t="str">
        <f>IF(EXACT(T('サービスコードマスタ（入力シート説明）'!$C24),"全半角英数カナ"),"○","")</f>
        <v/>
      </c>
      <c r="AD20" s="137" t="str">
        <f>IF(EXACT(T('サービスコードマスタ（入力シート説明）'!$C24),"通貨"),"○","")</f>
        <v/>
      </c>
      <c r="AE20" s="137" t="str">
        <f>IF(EXACT(T('サービスコードマスタ（入力シート説明）'!$C24),"半角"),"○","")</f>
        <v/>
      </c>
      <c r="AF20" s="137" t="str">
        <f>IF(EXACT(T('サービスコードマスタ（入力シート説明）'!$C24),"半角カナ"),"○","")</f>
        <v/>
      </c>
      <c r="AG20" s="137" t="str">
        <f>IF(EXACT(T('サービスコードマスタ（入力シート説明）'!$C24),"半角英数・半角アンダーバー"),"○","")</f>
        <v/>
      </c>
      <c r="AH20" s="137" t="str">
        <f>IF(EXACT(T('サービスコードマスタ（入力シート説明）'!$C24),"日付（スラッシュあり）"),"○","")</f>
        <v/>
      </c>
      <c r="AI20" s="137" t="str">
        <f>IF(EXACT(T('サービスコードマスタ（入力シート説明）'!$C24),"全角英数"),"○","")</f>
        <v/>
      </c>
      <c r="AJ20" s="137" t="str">
        <f>IF(ISBLANK('サービスコードマスタ（入力シート説明）'!$D24),"",IF(ISERROR(FIND("(", 'サービスコードマスタ（入力シート説明）'!$D24, 1)),"",MID('サービスコードマスタ（入力シート説明）'!$D24,$BI20+1,$BJ20-$BI20-1)))</f>
        <v/>
      </c>
      <c r="AK20" s="137" t="str">
        <f>IF(EXACT(T('サービスコードマスタ（入力シート説明）'!$F24),"あり"),"○","")</f>
        <v/>
      </c>
      <c r="AL20" s="138"/>
      <c r="AM20" s="137" t="str">
        <f>IF(EXACT(T('サービスコードマスタ（入力シート説明）'!$E24),"条件付き必須"),"○","")</f>
        <v>○</v>
      </c>
      <c r="AN20" s="137" t="str">
        <f>IF(EXACT(T('サービスコードマスタ（入力シート説明）'!$G24),"あり"),"○","")</f>
        <v>○</v>
      </c>
      <c r="AO20" s="137" t="str">
        <f>IF(ISBLANK('サービスコードマスタ（入力シート説明）'!$N24),"","○")</f>
        <v/>
      </c>
      <c r="AP20" s="42"/>
      <c r="AQ20" s="161" t="str">
        <f>T('サービスコードマスタ（入力シート説明）'!$H24)</f>
        <v>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v>
      </c>
      <c r="AR20" s="67"/>
      <c r="AS20" s="67"/>
      <c r="AT20" s="67"/>
      <c r="AU20" s="67"/>
      <c r="AV20" s="68"/>
      <c r="AW20" s="69"/>
      <c r="AX20" s="114"/>
      <c r="AY20" s="70"/>
      <c r="AZ20" s="114" t="s">
        <v>739</v>
      </c>
      <c r="BA20" s="114"/>
      <c r="BB20" s="69"/>
      <c r="BC20" s="114" t="s">
        <v>740</v>
      </c>
      <c r="BD20" s="114" t="s">
        <v>744</v>
      </c>
      <c r="BE20" s="114"/>
      <c r="BF20" s="68">
        <v>1.5</v>
      </c>
      <c r="BG20" s="112"/>
      <c r="BH20" s="137">
        <f>IF(ISBLANK('サービスコードマスタ（入力シート説明）'!$D24),"",LEN('サービスコードマスタ（入力シート説明）'!$D24))</f>
        <v>1</v>
      </c>
      <c r="BI20" s="137" t="str">
        <f>IF(ISBLANK('サービスコードマスタ（入力シート説明）'!$D24),"",IF(ISERROR(FIND("(",'サービスコードマスタ（入力シート説明）'!$D24,1)),"",FIND("(",'サービスコードマスタ（入力シート説明）'!$D24,1)))</f>
        <v/>
      </c>
      <c r="BJ20" s="137" t="str">
        <f>IF(ISBLANK('サービスコードマスタ（入力シート説明）'!$D24),"",IF(ISERROR(FIND("(",'サービスコードマスタ（入力シート説明）'!$D24,1)),"",FIND(")",'サービスコードマスタ（入力シート説明）'!$D24,1)))</f>
        <v/>
      </c>
      <c r="BK20" s="137">
        <f>IF(ISBLANK('サービスコードマスタ（入力シート説明）'!$D24),"",IF($BL20="",0,IF($BL20=1,1,IF((IF($BI20="",$BH20,$BI20-1))=$BL20,2,3))))</f>
        <v>0</v>
      </c>
      <c r="BL20" s="137" t="str">
        <f>IF(ISBLANK('サービスコードマスタ（入力シート説明）'!$D24),"",IF(ISERROR(FIND("～",'サービスコードマスタ（入力シート説明）'!$D24,1)),"",FIND("～",'サービスコードマスタ（入力シート説明）'!$D24,1)))</f>
        <v/>
      </c>
    </row>
    <row r="21" spans="1:64" s="4" customFormat="1" ht="100.5" customHeight="1">
      <c r="A21" s="132">
        <f t="shared" si="0"/>
        <v>19</v>
      </c>
      <c r="B21" s="133" t="str">
        <f t="shared" si="1"/>
        <v>T</v>
      </c>
      <c r="C21" s="134"/>
      <c r="D21" s="135" t="str">
        <f>VLOOKUP($A21,'サービスコードマスタ（入力シート説明）'!$A$7:$B$109,2,$A21)</f>
        <v>WBSマスタ登録可否フラグ</v>
      </c>
      <c r="E21" s="134"/>
      <c r="F21" s="136" t="str">
        <f t="shared" si="2"/>
        <v>Y</v>
      </c>
      <c r="G21" s="42"/>
      <c r="H21" s="137" t="str">
        <f>IF(EXACT(T('サービスコードマスタ（入力シート説明）'!$E25),"必須"),"○","")</f>
        <v/>
      </c>
      <c r="I21" s="137" t="str">
        <f>IF(EXACT(T('サービスコードマスタ（入力シート説明）'!$C25),"数値"),"○","")</f>
        <v/>
      </c>
      <c r="J21" s="137" t="str">
        <f>IF(EXACT(T('サービスコードマスタ（入力シート説明）'!$C25),"電話番号"),"○","")</f>
        <v/>
      </c>
      <c r="K21" s="137" t="str">
        <f>IF(EXACT(T('サービスコードマスタ（入力シート説明）'!$C25),"郵便番号"),"○","")</f>
        <v/>
      </c>
      <c r="L21" s="137" t="str">
        <f>IF(EXACT(T('サービスコードマスタ（入力シート説明）'!$C25),"日付（スラッシュなし）"),"○","")</f>
        <v/>
      </c>
      <c r="M21" s="137" t="str">
        <f>IF(EXACT(T('サービスコードマスタ（入力シート説明）'!$C25),"半角英数"),"○","")</f>
        <v>○</v>
      </c>
      <c r="N21" s="137" t="str">
        <f>IF(ISBLANK('サービスコードマスタ（入力シート説明）'!$D25),"", IF(ISERROR(FIND("～", 'サービスコードマスタ（入力シート説明）'!$D25, 1)), "", IF(EXACT('サービスコードマスタ（入力シート説明）'!$D25,"～"), "", IF(LEN(LEFT('サービスコードマスタ（入力シート説明）'!$D25, FIND("～", 'サービスコードマスタ（入力シート説明）'!$D25, 1) - 1)) &gt;= 1, LEFT('サービスコードマスタ（入力シート説明）'!$D25, FIND("～", 'サービスコードマスタ（入力シート説明）'!$D25, 1) - 1), ""))))</f>
        <v/>
      </c>
      <c r="O21" s="137" t="str">
        <f>IF(T21&lt;&gt;"","",IF(OR('サービスコードマスタ（入力シート説明）'!C25="全半角",'サービスコードマスタ（入力シート説明）'!C25="全角",'サービスコードマスタ（入力シート説明）'!C25="全角英数",'サービスコードマスタ（入力シート説明）'!C25="全半角英数カナ",'サービスコードマスタ（入力シート説明）'!C25="全角英数カナ",'サービスコードマスタ（入力シート説明）'!C25="全角カナ",'サービスコードマスタ（入力シート説明）'!C25="半角カナ",'サービスコードマスタ（入力シート説明）'!C25="全銀協"),IF(OR(P21&lt;&gt;"",Q21&lt;&gt;""),TRUNC(IF(P21="",Q21/BF21,P21/BF21),0),""),IF(OR(P21&lt;&gt;"",Q21&lt;&gt;""),IF(P21="",Q21,P21),"")))</f>
        <v/>
      </c>
      <c r="P21" s="137" t="str">
        <f>IF(ISBLANK('サービスコードマスタ（入力シート説明）'!$D25),"",IF($BK21=0,"",IF(OR($BK21=1,$BK21=3),MID('サービスコードマスタ（入力シート説明）'!$D25,$BL21+1,IF($BI21="",$BH21,$BI21-1)-$BL21)*IF($BG21&lt;&gt;"",$BF21,1),"")))</f>
        <v/>
      </c>
      <c r="Q21" s="137">
        <f>IF(ISBLANK('サービスコードマスタ（入力シート説明）'!$D25), "", IF($BK21=0, IF($BI21="",'サービスコードマスタ（入力シート説明）'!$D25,LEFT('サービスコードマスタ（入力シート説明）'!$D25,$BI21-1))*IF(BG21&lt;&gt;"",BF21,1),""))</f>
        <v>1</v>
      </c>
      <c r="R21" s="137" t="str">
        <f>IF(EXACT(T('サービスコードマスタ（入力シート説明）'!$C25),"全角"),"○","")</f>
        <v/>
      </c>
      <c r="S21" s="137" t="str">
        <f>IF(EXACT(T('サービスコードマスタ（入力シート説明）'!$C25),"全角カナ"),"○","")</f>
        <v/>
      </c>
      <c r="T21" s="136" t="str">
        <f>IF(ISBLANK('サービスコードマスタ（入力シート説明）'!$L25),"",IF(ISERROR(FIND("～",'サービスコードマスタ（入力シート説明）'!$L25,1)), 'サービスコードマスタ（入力シート説明）'!$L25, ""))</f>
        <v>Y</v>
      </c>
      <c r="U21" s="137" t="str">
        <f>IF(ISBLANK('サービスコードマスタ（入力シート説明）'!$L25),"",IF(ISERROR(FIND("～",'サービスコードマスタ（入力シート説明）'!$L25,1)), "", 'サービスコードマスタ（入力シート説明）'!$L25))</f>
        <v/>
      </c>
      <c r="V21" s="137" t="str">
        <f>IF(EXACT(T('サービスコードマスタ（入力シート説明）'!$I25),"あり"),"○","")</f>
        <v/>
      </c>
      <c r="W21" s="137" t="str">
        <f>IF(EXACT(T('サービスコードマスタ（入力シート説明）'!$C25),"全銀協"),"○","")</f>
        <v/>
      </c>
      <c r="X21" s="137" t="str">
        <f>IF(EXACT(T('サービスコードマスタ（入力シート説明）'!$C25),"事業所コード"),"○","")</f>
        <v/>
      </c>
      <c r="Y21" s="137" t="str">
        <f>IF(EXACT(T('サービスコードマスタ（入力シート説明）'!$C25),"半角英数大文字・半角スペース"),"○","")</f>
        <v/>
      </c>
      <c r="Z21" s="137" t="str">
        <f>IF(EXACT(T('サービスコードマスタ（入力シート説明）'!$C25),"半角英数・半角ハイフン"),"○","")</f>
        <v/>
      </c>
      <c r="AA21" s="137" t="str">
        <f>IF(EXACT(T('サービスコードマスタ（入力シート説明）'!$C25),"全角英数カナ"),"○","")</f>
        <v/>
      </c>
      <c r="AB21" s="137" t="str">
        <f>IF(EXACT(T('サービスコードマスタ（入力シート説明）'!$C25),"半角英数カナ"),"○","")</f>
        <v/>
      </c>
      <c r="AC21" s="137" t="str">
        <f>IF(EXACT(T('サービスコードマスタ（入力シート説明）'!$C25),"全半角英数カナ"),"○","")</f>
        <v/>
      </c>
      <c r="AD21" s="137" t="str">
        <f>IF(EXACT(T('サービスコードマスタ（入力シート説明）'!$C25),"通貨"),"○","")</f>
        <v/>
      </c>
      <c r="AE21" s="137" t="str">
        <f>IF(EXACT(T('サービスコードマスタ（入力シート説明）'!$C25),"半角"),"○","")</f>
        <v/>
      </c>
      <c r="AF21" s="137" t="str">
        <f>IF(EXACT(T('サービスコードマスタ（入力シート説明）'!$C25),"半角カナ"),"○","")</f>
        <v/>
      </c>
      <c r="AG21" s="137" t="str">
        <f>IF(EXACT(T('サービスコードマスタ（入力シート説明）'!$C25),"半角英数・半角アンダーバー"),"○","")</f>
        <v/>
      </c>
      <c r="AH21" s="137" t="str">
        <f>IF(EXACT(T('サービスコードマスタ（入力シート説明）'!$C25),"日付（スラッシュあり）"),"○","")</f>
        <v/>
      </c>
      <c r="AI21" s="137" t="str">
        <f>IF(EXACT(T('サービスコードマスタ（入力シート説明）'!$C25),"全角英数"),"○","")</f>
        <v/>
      </c>
      <c r="AJ21" s="137" t="str">
        <f>IF(ISBLANK('サービスコードマスタ（入力シート説明）'!$D25),"",IF(ISERROR(FIND("(", 'サービスコードマスタ（入力シート説明）'!$D25, 1)),"",MID('サービスコードマスタ（入力シート説明）'!$D25,$BI21+1,$BJ21-$BI21-1)))</f>
        <v/>
      </c>
      <c r="AK21" s="137" t="str">
        <f>IF(EXACT(T('サービスコードマスタ（入力シート説明）'!$F25),"あり"),"○","")</f>
        <v/>
      </c>
      <c r="AL21" s="138"/>
      <c r="AM21" s="137" t="str">
        <f>IF(EXACT(T('サービスコードマスタ（入力シート説明）'!$E25),"条件付き必須"),"○","")</f>
        <v/>
      </c>
      <c r="AN21" s="137" t="str">
        <f>IF(EXACT(T('サービスコードマスタ（入力シート説明）'!$G25),"あり"),"○","")</f>
        <v>○</v>
      </c>
      <c r="AO21" s="137" t="str">
        <f>IF(ISBLANK('サービスコードマスタ（入力シート説明）'!$N25),"","○")</f>
        <v/>
      </c>
      <c r="AP21" s="42"/>
      <c r="AQ21" s="161" t="str">
        <f>T('サービスコードマスタ（入力シート説明）'!$H25)</f>
        <v>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v>
      </c>
      <c r="AR21" s="67"/>
      <c r="AS21" s="67"/>
      <c r="AT21" s="67"/>
      <c r="AU21" s="67"/>
      <c r="AV21" s="68"/>
      <c r="AW21" s="69"/>
      <c r="AX21" s="114"/>
      <c r="AY21" s="70"/>
      <c r="AZ21" s="114"/>
      <c r="BA21" s="69"/>
      <c r="BB21" s="69"/>
      <c r="BC21" s="114" t="s">
        <v>741</v>
      </c>
      <c r="BD21" s="114" t="s">
        <v>742</v>
      </c>
      <c r="BE21" s="69"/>
      <c r="BF21" s="68">
        <v>1.5</v>
      </c>
      <c r="BG21" s="112"/>
      <c r="BH21" s="137">
        <f>IF(ISBLANK('サービスコードマスタ（入力シート説明）'!$D25),"",LEN('サービスコードマスタ（入力シート説明）'!$D25))</f>
        <v>1</v>
      </c>
      <c r="BI21" s="137" t="str">
        <f>IF(ISBLANK('サービスコードマスタ（入力シート説明）'!$D25),"",IF(ISERROR(FIND("(",'サービスコードマスタ（入力シート説明）'!$D25,1)),"",FIND("(",'サービスコードマスタ（入力シート説明）'!$D25,1)))</f>
        <v/>
      </c>
      <c r="BJ21" s="137" t="str">
        <f>IF(ISBLANK('サービスコードマスタ（入力シート説明）'!$D25),"",IF(ISERROR(FIND("(",'サービスコードマスタ（入力シート説明）'!$D25,1)),"",FIND(")",'サービスコードマスタ（入力シート説明）'!$D25,1)))</f>
        <v/>
      </c>
      <c r="BK21" s="137">
        <f>IF(ISBLANK('サービスコードマスタ（入力シート説明）'!$D25),"",IF($BL21="",0,IF($BL21=1,1,IF((IF($BI21="",$BH21,$BI21-1))=$BL21,2,3))))</f>
        <v>0</v>
      </c>
      <c r="BL21" s="137" t="str">
        <f>IF(ISBLANK('サービスコードマスタ（入力シート説明）'!$D25),"",IF(ISERROR(FIND("～",'サービスコードマスタ（入力シート説明）'!$D25,1)),"",FIND("～",'サービスコードマスタ（入力シート説明）'!$D25,1)))</f>
        <v/>
      </c>
    </row>
    <row r="22" spans="1:64" s="4" customFormat="1">
      <c r="A22" s="132">
        <f t="shared" si="0"/>
        <v>20</v>
      </c>
      <c r="B22" s="133" t="str">
        <f t="shared" si="1"/>
        <v>U</v>
      </c>
      <c r="C22" s="134"/>
      <c r="D22" s="135" t="str">
        <f>VLOOKUP($A22,'サービスコードマスタ（入力シート説明）'!$A$7:$B$109,2,$A22)</f>
        <v>旧プロダクト</v>
      </c>
      <c r="E22" s="134"/>
      <c r="F22" s="136" t="str">
        <f t="shared" si="2"/>
        <v/>
      </c>
      <c r="G22" s="42"/>
      <c r="H22" s="137" t="str">
        <f>IF(EXACT(T('サービスコードマスタ（入力シート説明）'!$E26),"必須"),"○","")</f>
        <v/>
      </c>
      <c r="I22" s="137" t="str">
        <f>IF(EXACT(T('サービスコードマスタ（入力シート説明）'!$C26),"数値"),"○","")</f>
        <v/>
      </c>
      <c r="J22" s="137" t="str">
        <f>IF(EXACT(T('サービスコードマスタ（入力シート説明）'!$C26),"電話番号"),"○","")</f>
        <v/>
      </c>
      <c r="K22" s="137" t="str">
        <f>IF(EXACT(T('サービスコードマスタ（入力シート説明）'!$C26),"郵便番号"),"○","")</f>
        <v/>
      </c>
      <c r="L22" s="137" t="str">
        <f>IF(EXACT(T('サービスコードマスタ（入力シート説明）'!$C26),"日付（スラッシュなし）"),"○","")</f>
        <v/>
      </c>
      <c r="M22" s="137" t="str">
        <f>IF(EXACT(T('サービスコードマスタ（入力シート説明）'!$C26),"半角英数"),"○","")</f>
        <v>○</v>
      </c>
      <c r="N22" s="137" t="str">
        <f>IF(ISBLANK('サービスコードマスタ（入力シート説明）'!$D26),"", IF(ISERROR(FIND("～", 'サービスコードマスタ（入力シート説明）'!$D26, 1)), "", IF(EXACT('サービスコードマスタ（入力シート説明）'!$D26,"～"), "", IF(LEN(LEFT('サービスコードマスタ（入力シート説明）'!$D26, FIND("～", 'サービスコードマスタ（入力シート説明）'!$D26, 1) - 1)) &gt;= 1, LEFT('サービスコードマスタ（入力シート説明）'!$D26, FIND("～", 'サービスコードマスタ（入力シート説明）'!$D26, 1) - 1), ""))))</f>
        <v/>
      </c>
      <c r="O22" s="137">
        <f>IF(T22&lt;&gt;"","",IF(OR('サービスコードマスタ（入力シート説明）'!C26="全半角",'サービスコードマスタ（入力シート説明）'!C26="全角",'サービスコードマスタ（入力シート説明）'!C26="全角英数",'サービスコードマスタ（入力シート説明）'!C26="全半角英数カナ",'サービスコードマスタ（入力シート説明）'!C26="全角英数カナ",'サービスコードマスタ（入力シート説明）'!C26="全角カナ",'サービスコードマスタ（入力シート説明）'!C26="半角カナ",'サービスコードマスタ（入力シート説明）'!C26="全銀協"),IF(OR(P22&lt;&gt;"",Q22&lt;&gt;""),TRUNC(IF(P22="",Q22/BF22,P22/BF22),0),""),IF(OR(P22&lt;&gt;"",Q22&lt;&gt;""),IF(P22="",Q22,P22),"")))</f>
        <v>6</v>
      </c>
      <c r="P22" s="137" t="str">
        <f>IF(ISBLANK('サービスコードマスタ（入力シート説明）'!$D26),"",IF($BK22=0,"",IF(OR($BK22=1,$BK22=3),MID('サービスコードマスタ（入力シート説明）'!$D26,$BL22+1,IF($BI22="",$BH22,$BI22-1)-$BL22)*IF($BG22&lt;&gt;"",$BF22,1),"")))</f>
        <v/>
      </c>
      <c r="Q22" s="137">
        <f>IF(ISBLANK('サービスコードマスタ（入力シート説明）'!$D26), "", IF($BK22=0, IF($BI22="",'サービスコードマスタ（入力シート説明）'!$D26,LEFT('サービスコードマスタ（入力シート説明）'!$D26,$BI22-1))*IF(BG22&lt;&gt;"",BF22,1),""))</f>
        <v>6</v>
      </c>
      <c r="R22" s="137" t="str">
        <f>IF(EXACT(T('サービスコードマスタ（入力シート説明）'!$C26),"全角"),"○","")</f>
        <v/>
      </c>
      <c r="S22" s="137" t="str">
        <f>IF(EXACT(T('サービスコードマスタ（入力シート説明）'!$C26),"全角カナ"),"○","")</f>
        <v/>
      </c>
      <c r="T22" s="136" t="str">
        <f>IF(ISBLANK('サービスコードマスタ（入力シート説明）'!$L26),"",IF(ISERROR(FIND("～",'サービスコードマスタ（入力シート説明）'!$L26,1)), 'サービスコードマスタ（入力シート説明）'!$L26, ""))</f>
        <v/>
      </c>
      <c r="U22" s="137" t="str">
        <f>IF(ISBLANK('サービスコードマスタ（入力シート説明）'!$L26),"",IF(ISERROR(FIND("～",'サービスコードマスタ（入力シート説明）'!$L26,1)), "", 'サービスコードマスタ（入力シート説明）'!$L26))</f>
        <v/>
      </c>
      <c r="V22" s="137" t="str">
        <f>IF(EXACT(T('サービスコードマスタ（入力シート説明）'!$I26),"あり"),"○","")</f>
        <v/>
      </c>
      <c r="W22" s="137" t="str">
        <f>IF(EXACT(T('サービスコードマスタ（入力シート説明）'!$C26),"全銀協"),"○","")</f>
        <v/>
      </c>
      <c r="X22" s="137" t="str">
        <f>IF(EXACT(T('サービスコードマスタ（入力シート説明）'!$C26),"事業所コード"),"○","")</f>
        <v/>
      </c>
      <c r="Y22" s="137" t="str">
        <f>IF(EXACT(T('サービスコードマスタ（入力シート説明）'!$C26),"半角英数大文字・半角スペース"),"○","")</f>
        <v/>
      </c>
      <c r="Z22" s="137" t="str">
        <f>IF(EXACT(T('サービスコードマスタ（入力シート説明）'!$C26),"半角英数・半角ハイフン"),"○","")</f>
        <v/>
      </c>
      <c r="AA22" s="137" t="str">
        <f>IF(EXACT(T('サービスコードマスタ（入力シート説明）'!$C26),"全角英数カナ"),"○","")</f>
        <v/>
      </c>
      <c r="AB22" s="137" t="str">
        <f>IF(EXACT(T('サービスコードマスタ（入力シート説明）'!$C26),"半角英数カナ"),"○","")</f>
        <v/>
      </c>
      <c r="AC22" s="137" t="str">
        <f>IF(EXACT(T('サービスコードマスタ（入力シート説明）'!$C26),"全半角英数カナ"),"○","")</f>
        <v/>
      </c>
      <c r="AD22" s="137" t="str">
        <f>IF(EXACT(T('サービスコードマスタ（入力シート説明）'!$C26),"通貨"),"○","")</f>
        <v/>
      </c>
      <c r="AE22" s="137" t="str">
        <f>IF(EXACT(T('サービスコードマスタ（入力シート説明）'!$C26),"半角"),"○","")</f>
        <v/>
      </c>
      <c r="AF22" s="137" t="str">
        <f>IF(EXACT(T('サービスコードマスタ（入力シート説明）'!$C26),"半角カナ"),"○","")</f>
        <v/>
      </c>
      <c r="AG22" s="137" t="str">
        <f>IF(EXACT(T('サービスコードマスタ（入力シート説明）'!$C26),"半角英数・半角アンダーバー"),"○","")</f>
        <v/>
      </c>
      <c r="AH22" s="137" t="str">
        <f>IF(EXACT(T('サービスコードマスタ（入力シート説明）'!$C26),"日付（スラッシュあり）"),"○","")</f>
        <v/>
      </c>
      <c r="AI22" s="137" t="str">
        <f>IF(EXACT(T('サービスコードマスタ（入力シート説明）'!$C26),"全角英数"),"○","")</f>
        <v/>
      </c>
      <c r="AJ22" s="137" t="str">
        <f>IF(ISBLANK('サービスコードマスタ（入力シート説明）'!$D26),"",IF(ISERROR(FIND("(", 'サービスコードマスタ（入力シート説明）'!$D26, 1)),"",MID('サービスコードマスタ（入力シート説明）'!$D26,$BI22+1,$BJ22-$BI22-1)))</f>
        <v/>
      </c>
      <c r="AK22" s="137" t="str">
        <f>IF(EXACT(T('サービスコードマスタ（入力シート説明）'!$F26),"あり"),"○","")</f>
        <v/>
      </c>
      <c r="AL22" s="138"/>
      <c r="AM22" s="137" t="str">
        <f>IF(EXACT(T('サービスコードマスタ（入力シート説明）'!$E26),"条件付き必須"),"○","")</f>
        <v/>
      </c>
      <c r="AN22" s="137" t="str">
        <f>IF(EXACT(T('サービスコードマスタ（入力シート説明）'!$G26),"あり"),"○","")</f>
        <v/>
      </c>
      <c r="AO22" s="137" t="str">
        <f>IF(ISBLANK('サービスコードマスタ（入力シート説明）'!$N26),"","○")</f>
        <v/>
      </c>
      <c r="AP22" s="42"/>
      <c r="AQ22" s="66" t="str">
        <f>T('サービスコードマスタ（入力シート説明）'!$H26)</f>
        <v>-</v>
      </c>
      <c r="AR22" s="67"/>
      <c r="AS22" s="67"/>
      <c r="AT22" s="67"/>
      <c r="AU22" s="67"/>
      <c r="AV22" s="68"/>
      <c r="AW22" s="69"/>
      <c r="AX22" s="114"/>
      <c r="AY22" s="70"/>
      <c r="AZ22" s="114"/>
      <c r="BA22" s="69"/>
      <c r="BB22" s="69"/>
      <c r="BC22" s="69"/>
      <c r="BD22" s="69"/>
      <c r="BE22" s="69"/>
      <c r="BF22" s="68">
        <v>1.5</v>
      </c>
      <c r="BG22" s="112"/>
      <c r="BH22" s="137">
        <f>IF(ISBLANK('サービスコードマスタ（入力シート説明）'!$D26),"",LEN('サービスコードマスタ（入力シート説明）'!$D26))</f>
        <v>1</v>
      </c>
      <c r="BI22" s="137" t="str">
        <f>IF(ISBLANK('サービスコードマスタ（入力シート説明）'!$D26),"",IF(ISERROR(FIND("(",'サービスコードマスタ（入力シート説明）'!$D26,1)),"",FIND("(",'サービスコードマスタ（入力シート説明）'!$D26,1)))</f>
        <v/>
      </c>
      <c r="BJ22" s="137" t="str">
        <f>IF(ISBLANK('サービスコードマスタ（入力シート説明）'!$D26),"",IF(ISERROR(FIND("(",'サービスコードマスタ（入力シート説明）'!$D26,1)),"",FIND(")",'サービスコードマスタ（入力シート説明）'!$D26,1)))</f>
        <v/>
      </c>
      <c r="BK22" s="137">
        <f>IF(ISBLANK('サービスコードマスタ（入力シート説明）'!$D26),"",IF($BL22="",0,IF($BL22=1,1,IF((IF($BI22="",$BH22,$BI22-1))=$BL22,2,3))))</f>
        <v>0</v>
      </c>
      <c r="BL22" s="137" t="str">
        <f>IF(ISBLANK('サービスコードマスタ（入力シート説明）'!$D26),"",IF(ISERROR(FIND("～",'サービスコードマスタ（入力シート説明）'!$D26,1)),"",FIND("～",'サービスコードマスタ（入力シート説明）'!$D26,1)))</f>
        <v/>
      </c>
    </row>
    <row r="23" spans="1:64" s="4" customFormat="1">
      <c r="A23" s="132">
        <f t="shared" si="0"/>
        <v>21</v>
      </c>
      <c r="B23" s="133" t="str">
        <f t="shared" si="1"/>
        <v>V</v>
      </c>
      <c r="C23" s="134"/>
      <c r="D23" s="135" t="str">
        <f>VLOOKUP($A23,'サービスコードマスタ（入力シート説明）'!$A$7:$B$109,2,$A23)</f>
        <v>旧事業区分</v>
      </c>
      <c r="E23" s="134"/>
      <c r="F23" s="136" t="str">
        <f t="shared" si="2"/>
        <v/>
      </c>
      <c r="G23" s="42"/>
      <c r="H23" s="137" t="str">
        <f>IF(EXACT(T('サービスコードマスタ（入力シート説明）'!$E27),"必須"),"○","")</f>
        <v/>
      </c>
      <c r="I23" s="137" t="str">
        <f>IF(EXACT(T('サービスコードマスタ（入力シート説明）'!$C27),"数値"),"○","")</f>
        <v/>
      </c>
      <c r="J23" s="137" t="str">
        <f>IF(EXACT(T('サービスコードマスタ（入力シート説明）'!$C27),"電話番号"),"○","")</f>
        <v/>
      </c>
      <c r="K23" s="137" t="str">
        <f>IF(EXACT(T('サービスコードマスタ（入力シート説明）'!$C27),"郵便番号"),"○","")</f>
        <v/>
      </c>
      <c r="L23" s="137" t="str">
        <f>IF(EXACT(T('サービスコードマスタ（入力シート説明）'!$C27),"日付（スラッシュなし）"),"○","")</f>
        <v/>
      </c>
      <c r="M23" s="137" t="str">
        <f>IF(EXACT(T('サービスコードマスタ（入力シート説明）'!$C27),"半角英数"),"○","")</f>
        <v>○</v>
      </c>
      <c r="N23" s="137" t="str">
        <f>IF(ISBLANK('サービスコードマスタ（入力シート説明）'!$D27),"", IF(ISERROR(FIND("～", 'サービスコードマスタ（入力シート説明）'!$D27, 1)), "", IF(EXACT('サービスコードマスタ（入力シート説明）'!$D27,"～"), "", IF(LEN(LEFT('サービスコードマスタ（入力シート説明）'!$D27, FIND("～", 'サービスコードマスタ（入力シート説明）'!$D27, 1) - 1)) &gt;= 1, LEFT('サービスコードマスタ（入力シート説明）'!$D27, FIND("～", 'サービスコードマスタ（入力シート説明）'!$D27, 1) - 1), ""))))</f>
        <v/>
      </c>
      <c r="O23" s="137">
        <f>IF(T23&lt;&gt;"","",IF(OR('サービスコードマスタ（入力シート説明）'!C27="全半角",'サービスコードマスタ（入力シート説明）'!C27="全角",'サービスコードマスタ（入力シート説明）'!C27="全角英数",'サービスコードマスタ（入力シート説明）'!C27="全半角英数カナ",'サービスコードマスタ（入力シート説明）'!C27="全角英数カナ",'サービスコードマスタ（入力シート説明）'!C27="全角カナ",'サービスコードマスタ（入力シート説明）'!C27="半角カナ",'サービスコードマスタ（入力シート説明）'!C27="全銀協"),IF(OR(P23&lt;&gt;"",Q23&lt;&gt;""),TRUNC(IF(P23="",Q23/BF23,P23/BF23),0),""),IF(OR(P23&lt;&gt;"",Q23&lt;&gt;""),IF(P23="",Q23,P23),"")))</f>
        <v>5</v>
      </c>
      <c r="P23" s="137" t="str">
        <f>IF(ISBLANK('サービスコードマスタ（入力シート説明）'!$D27),"",IF($BK23=0,"",IF(OR($BK23=1,$BK23=3),MID('サービスコードマスタ（入力シート説明）'!$D27,$BL23+1,IF($BI23="",$BH23,$BI23-1)-$BL23)*IF($BG23&lt;&gt;"",$BF23,1),"")))</f>
        <v/>
      </c>
      <c r="Q23" s="137">
        <f>IF(ISBLANK('サービスコードマスタ（入力シート説明）'!$D27), "", IF($BK23=0, IF($BI23="",'サービスコードマスタ（入力シート説明）'!$D27,LEFT('サービスコードマスタ（入力シート説明）'!$D27,$BI23-1))*IF(BG23&lt;&gt;"",BF23,1),""))</f>
        <v>5</v>
      </c>
      <c r="R23" s="137" t="str">
        <f>IF(EXACT(T('サービスコードマスタ（入力シート説明）'!$C27),"全角"),"○","")</f>
        <v/>
      </c>
      <c r="S23" s="137" t="str">
        <f>IF(EXACT(T('サービスコードマスタ（入力シート説明）'!$C27),"全角カナ"),"○","")</f>
        <v/>
      </c>
      <c r="T23" s="136" t="str">
        <f>IF(ISBLANK('サービスコードマスタ（入力シート説明）'!$L27),"",IF(ISERROR(FIND("～",'サービスコードマスタ（入力シート説明）'!$L27,1)), 'サービスコードマスタ（入力シート説明）'!$L27, ""))</f>
        <v/>
      </c>
      <c r="U23" s="137" t="str">
        <f>IF(ISBLANK('サービスコードマスタ（入力シート説明）'!$L27),"",IF(ISERROR(FIND("～",'サービスコードマスタ（入力シート説明）'!$L27,1)), "", 'サービスコードマスタ（入力シート説明）'!$L27))</f>
        <v/>
      </c>
      <c r="V23" s="137" t="str">
        <f>IF(EXACT(T('サービスコードマスタ（入力シート説明）'!$I27),"あり"),"○","")</f>
        <v/>
      </c>
      <c r="W23" s="137" t="str">
        <f>IF(EXACT(T('サービスコードマスタ（入力シート説明）'!$C27),"全銀協"),"○","")</f>
        <v/>
      </c>
      <c r="X23" s="137" t="str">
        <f>IF(EXACT(T('サービスコードマスタ（入力シート説明）'!$C27),"事業所コード"),"○","")</f>
        <v/>
      </c>
      <c r="Y23" s="137" t="str">
        <f>IF(EXACT(T('サービスコードマスタ（入力シート説明）'!$C27),"半角英数大文字・半角スペース"),"○","")</f>
        <v/>
      </c>
      <c r="Z23" s="137" t="str">
        <f>IF(EXACT(T('サービスコードマスタ（入力シート説明）'!$C27),"半角英数・半角ハイフン"),"○","")</f>
        <v/>
      </c>
      <c r="AA23" s="137" t="str">
        <f>IF(EXACT(T('サービスコードマスタ（入力シート説明）'!$C27),"全角英数カナ"),"○","")</f>
        <v/>
      </c>
      <c r="AB23" s="137" t="str">
        <f>IF(EXACT(T('サービスコードマスタ（入力シート説明）'!$C27),"半角英数カナ"),"○","")</f>
        <v/>
      </c>
      <c r="AC23" s="137" t="str">
        <f>IF(EXACT(T('サービスコードマスタ（入力シート説明）'!$C27),"全半角英数カナ"),"○","")</f>
        <v/>
      </c>
      <c r="AD23" s="137" t="str">
        <f>IF(EXACT(T('サービスコードマスタ（入力シート説明）'!$C27),"通貨"),"○","")</f>
        <v/>
      </c>
      <c r="AE23" s="137" t="str">
        <f>IF(EXACT(T('サービスコードマスタ（入力シート説明）'!$C27),"半角"),"○","")</f>
        <v/>
      </c>
      <c r="AF23" s="137" t="str">
        <f>IF(EXACT(T('サービスコードマスタ（入力シート説明）'!$C27),"半角カナ"),"○","")</f>
        <v/>
      </c>
      <c r="AG23" s="137" t="str">
        <f>IF(EXACT(T('サービスコードマスタ（入力シート説明）'!$C27),"半角英数・半角アンダーバー"),"○","")</f>
        <v/>
      </c>
      <c r="AH23" s="137" t="str">
        <f>IF(EXACT(T('サービスコードマスタ（入力シート説明）'!$C27),"日付（スラッシュあり）"),"○","")</f>
        <v/>
      </c>
      <c r="AI23" s="137" t="str">
        <f>IF(EXACT(T('サービスコードマスタ（入力シート説明）'!$C27),"全角英数"),"○","")</f>
        <v/>
      </c>
      <c r="AJ23" s="137" t="str">
        <f>IF(ISBLANK('サービスコードマスタ（入力シート説明）'!$D27),"",IF(ISERROR(FIND("(", 'サービスコードマスタ（入力シート説明）'!$D27, 1)),"",MID('サービスコードマスタ（入力シート説明）'!$D27,$BI23+1,$BJ23-$BI23-1)))</f>
        <v/>
      </c>
      <c r="AK23" s="137" t="str">
        <f>IF(EXACT(T('サービスコードマスタ（入力シート説明）'!$F27),"あり"),"○","")</f>
        <v/>
      </c>
      <c r="AL23" s="138"/>
      <c r="AM23" s="137" t="str">
        <f>IF(EXACT(T('サービスコードマスタ（入力シート説明）'!$E27),"条件付き必須"),"○","")</f>
        <v/>
      </c>
      <c r="AN23" s="137" t="str">
        <f>IF(EXACT(T('サービスコードマスタ（入力シート説明）'!$G27),"あり"),"○","")</f>
        <v/>
      </c>
      <c r="AO23" s="137" t="str">
        <f>IF(ISBLANK('サービスコードマスタ（入力シート説明）'!$N27),"","○")</f>
        <v/>
      </c>
      <c r="AP23" s="42"/>
      <c r="AQ23" s="66" t="str">
        <f>T('サービスコードマスタ（入力シート説明）'!$H27)</f>
        <v>-</v>
      </c>
      <c r="AR23" s="67"/>
      <c r="AS23" s="67"/>
      <c r="AT23" s="67"/>
      <c r="AU23" s="67"/>
      <c r="AV23" s="68"/>
      <c r="AW23" s="69"/>
      <c r="AX23" s="114"/>
      <c r="AY23" s="70"/>
      <c r="AZ23" s="69"/>
      <c r="BA23" s="69"/>
      <c r="BB23" s="69"/>
      <c r="BC23" s="69"/>
      <c r="BD23" s="69"/>
      <c r="BE23" s="69"/>
      <c r="BF23" s="68">
        <v>1.5</v>
      </c>
      <c r="BG23" s="112"/>
      <c r="BH23" s="137">
        <f>IF(ISBLANK('サービスコードマスタ（入力シート説明）'!$D27),"",LEN('サービスコードマスタ（入力シート説明）'!$D27))</f>
        <v>1</v>
      </c>
      <c r="BI23" s="137" t="str">
        <f>IF(ISBLANK('サービスコードマスタ（入力シート説明）'!$D27),"",IF(ISERROR(FIND("(",'サービスコードマスタ（入力シート説明）'!$D27,1)),"",FIND("(",'サービスコードマスタ（入力シート説明）'!$D27,1)))</f>
        <v/>
      </c>
      <c r="BJ23" s="137" t="str">
        <f>IF(ISBLANK('サービスコードマスタ（入力シート説明）'!$D27),"",IF(ISERROR(FIND("(",'サービスコードマスタ（入力シート説明）'!$D27,1)),"",FIND(")",'サービスコードマスタ（入力シート説明）'!$D27,1)))</f>
        <v/>
      </c>
      <c r="BK23" s="137">
        <f>IF(ISBLANK('サービスコードマスタ（入力シート説明）'!$D27),"",IF($BL23="",0,IF($BL23=1,1,IF((IF($BI23="",$BH23,$BI23-1))=$BL23,2,3))))</f>
        <v>0</v>
      </c>
      <c r="BL23" s="137" t="str">
        <f>IF(ISBLANK('サービスコードマスタ（入力シート説明）'!$D27),"",IF(ISERROR(FIND("～",'サービスコードマスタ（入力シート説明）'!$D27,1)),"",FIND("～",'サービスコードマスタ（入力シート説明）'!$D27,1)))</f>
        <v/>
      </c>
    </row>
    <row r="24" spans="1:64" s="4" customFormat="1">
      <c r="A24" s="139">
        <f t="shared" si="0"/>
        <v>22</v>
      </c>
      <c r="B24" s="140" t="str">
        <f t="shared" si="1"/>
        <v>W</v>
      </c>
      <c r="C24" s="141"/>
      <c r="D24" s="142" t="str">
        <f>VLOOKUP($A24,'サービスコードマスタ（入力シート説明）'!$A$7:$B$109,2,$A24)</f>
        <v>更新区分</v>
      </c>
      <c r="E24" s="141"/>
      <c r="F24" s="143" t="str">
        <f t="shared" si="2"/>
        <v>1:変更,2:追加,-:データあり</v>
      </c>
      <c r="G24" s="79"/>
      <c r="H24" s="144" t="str">
        <f>IF(EXACT(T('サービスコードマスタ（入力シート説明）'!$E28),"必須"),"○","")</f>
        <v/>
      </c>
      <c r="I24" s="144" t="str">
        <f>IF(EXACT(T('サービスコードマスタ（入力シート説明）'!$C28),"数値"),"○","")</f>
        <v/>
      </c>
      <c r="J24" s="144" t="str">
        <f>IF(EXACT(T('サービスコードマスタ（入力シート説明）'!$C28),"電話番号"),"○","")</f>
        <v/>
      </c>
      <c r="K24" s="144" t="str">
        <f>IF(EXACT(T('サービスコードマスタ（入力シート説明）'!$C28),"郵便番号"),"○","")</f>
        <v/>
      </c>
      <c r="L24" s="144" t="str">
        <f>IF(EXACT(T('サービスコードマスタ（入力シート説明）'!$C28),"日付（スラッシュなし）"),"○","")</f>
        <v/>
      </c>
      <c r="M24" s="144" t="str">
        <f>IF(EXACT(T('サービスコードマスタ（入力シート説明）'!$C28),"半角英数"),"○","")</f>
        <v/>
      </c>
      <c r="N24" s="144" t="str">
        <f>IF(ISBLANK('サービスコードマスタ（入力シート説明）'!$D28),"", IF(ISERROR(FIND("～", 'サービスコードマスタ（入力シート説明）'!$D28, 1)), "", IF(EXACT('サービスコードマスタ（入力シート説明）'!$D28,"～"), "", IF(LEN(LEFT('サービスコードマスタ（入力シート説明）'!$D28, FIND("～", 'サービスコードマスタ（入力シート説明）'!$D28, 1) - 1)) &gt;= 1, LEFT('サービスコードマスタ（入力シート説明）'!$D28, FIND("～", 'サービスコードマスタ（入力シート説明）'!$D28, 1) - 1), ""))))</f>
        <v>1</v>
      </c>
      <c r="O24" s="144" t="str">
        <f>IF(T24&lt;&gt;"","",IF(OR('サービスコードマスタ（入力シート説明）'!C28="全半角",'サービスコードマスタ（入力シート説明）'!C28="全角",'サービスコードマスタ（入力シート説明）'!C28="全角英数",'サービスコードマスタ（入力シート説明）'!C28="全半角英数カナ",'サービスコードマスタ（入力シート説明）'!C28="全角英数カナ",'サービスコードマスタ（入力シート説明）'!C28="全角カナ",'サービスコードマスタ（入力シート説明）'!C28="半角カナ",'サービスコードマスタ（入力シート説明）'!C28="全銀協"),IF(OR(P24&lt;&gt;"",Q24&lt;&gt;""),TRUNC(IF(P24="",Q24/BF24,P24/BF24),0),""),IF(OR(P24&lt;&gt;"",Q24&lt;&gt;""),IF(P24="",Q24,P24),"")))</f>
        <v/>
      </c>
      <c r="P24" s="144" t="str">
        <f>IF(ISBLANK('サービスコードマスタ（入力シート説明）'!$D28),"",IF($BK24=0,"",IF(OR($BK24=1,$BK24=3),MID('サービスコードマスタ（入力シート説明）'!$D28,$BL24+1,IF($BI24="",$BH24,$BI24-1)-$BL24)*IF($BG24&lt;&gt;"",$BF24,1),"")))</f>
        <v/>
      </c>
      <c r="Q24" s="144" t="str">
        <f>IF(ISBLANK('サービスコードマスタ（入力シート説明）'!$D28), "", IF($BK24=0, IF($BI24="",'サービスコードマスタ（入力シート説明）'!$D28,LEFT('サービスコードマスタ（入力シート説明）'!$D28,$BI24-1))*IF(BG24&lt;&gt;"",BF24,1),""))</f>
        <v/>
      </c>
      <c r="R24" s="144" t="str">
        <f>IF(EXACT(T('サービスコードマスタ（入力シート説明）'!$C28),"全角"),"○","")</f>
        <v/>
      </c>
      <c r="S24" s="144" t="str">
        <f>IF(EXACT(T('サービスコードマスタ（入力シート説明）'!$C28),"全角カナ"),"○","")</f>
        <v/>
      </c>
      <c r="T24" s="143" t="str">
        <f>IF(ISBLANK('サービスコードマスタ（入力シート説明）'!$L28),"",IF(ISERROR(FIND("～",'サービスコードマスタ（入力シート説明）'!$L28,1)), 'サービスコードマスタ（入力シート説明）'!$L28, ""))</f>
        <v>1:変更,2:追加,-:データあり</v>
      </c>
      <c r="U24" s="144" t="str">
        <f>IF(ISBLANK('サービスコードマスタ（入力シート説明）'!$L28),"",IF(ISERROR(FIND("～",'サービスコードマスタ（入力シート説明）'!$L28,1)), "", 'サービスコードマスタ（入力シート説明）'!$L28))</f>
        <v/>
      </c>
      <c r="V24" s="144" t="str">
        <f>IF(EXACT(T('サービスコードマスタ（入力シート説明）'!$I28),"あり"),"○","")</f>
        <v/>
      </c>
      <c r="W24" s="144" t="str">
        <f>IF(EXACT(T('サービスコードマスタ（入力シート説明）'!$C28),"全銀協"),"○","")</f>
        <v/>
      </c>
      <c r="X24" s="144" t="str">
        <f>IF(EXACT(T('サービスコードマスタ（入力シート説明）'!$C28),"事業所コード"),"○","")</f>
        <v/>
      </c>
      <c r="Y24" s="144" t="str">
        <f>IF(EXACT(T('サービスコードマスタ（入力シート説明）'!$C28),"半角英数大文字・半角スペース"),"○","")</f>
        <v/>
      </c>
      <c r="Z24" s="144" t="str">
        <f>IF(EXACT(T('サービスコードマスタ（入力シート説明）'!$C28),"半角英数・半角ハイフン"),"○","")</f>
        <v/>
      </c>
      <c r="AA24" s="144" t="str">
        <f>IF(EXACT(T('サービスコードマスタ（入力シート説明）'!$C28),"全角英数カナ"),"○","")</f>
        <v/>
      </c>
      <c r="AB24" s="144" t="str">
        <f>IF(EXACT(T('サービスコードマスタ（入力シート説明）'!$C28),"半角英数カナ"),"○","")</f>
        <v/>
      </c>
      <c r="AC24" s="144" t="str">
        <f>IF(EXACT(T('サービスコードマスタ（入力シート説明）'!$C28),"全半角英数カナ"),"○","")</f>
        <v/>
      </c>
      <c r="AD24" s="144" t="str">
        <f>IF(EXACT(T('サービスコードマスタ（入力シート説明）'!$C28),"通貨"),"○","")</f>
        <v/>
      </c>
      <c r="AE24" s="144" t="str">
        <f>IF(EXACT(T('サービスコードマスタ（入力シート説明）'!$C28),"半角"),"○","")</f>
        <v/>
      </c>
      <c r="AF24" s="144" t="str">
        <f>IF(EXACT(T('サービスコードマスタ（入力シート説明）'!$C28),"半角カナ"),"○","")</f>
        <v/>
      </c>
      <c r="AG24" s="144" t="str">
        <f>IF(EXACT(T('サービスコードマスタ（入力シート説明）'!$C28),"半角英数・半角アンダーバー"),"○","")</f>
        <v/>
      </c>
      <c r="AH24" s="144" t="str">
        <f>IF(EXACT(T('サービスコードマスタ（入力シート説明）'!$C28),"日付（スラッシュあり）"),"○","")</f>
        <v/>
      </c>
      <c r="AI24" s="144" t="str">
        <f>IF(EXACT(T('サービスコードマスタ（入力シート説明）'!$C28),"全角英数"),"○","")</f>
        <v/>
      </c>
      <c r="AJ24" s="144" t="str">
        <f>IF(ISBLANK('サービスコードマスタ（入力シート説明）'!$D28),"",IF(ISERROR(FIND("(", 'サービスコードマスタ（入力シート説明）'!$D28, 1)),"",MID('サービスコードマスタ（入力シート説明）'!$D28,$BI24+1,$BJ24-$BI24-1)))</f>
        <v/>
      </c>
      <c r="AK24" s="144" t="str">
        <f>IF(EXACT(T('サービスコードマスタ（入力シート説明）'!$F28),"あり"),"○","")</f>
        <v/>
      </c>
      <c r="AL24" s="145"/>
      <c r="AM24" s="144" t="str">
        <f>IF(EXACT(T('サービスコードマスタ（入力シート説明）'!$E28),"条件付き必須"),"○","")</f>
        <v>○</v>
      </c>
      <c r="AN24" s="144" t="str">
        <f>IF(EXACT(T('サービスコードマスタ（入力シート説明）'!$G28),"あり"),"○","")</f>
        <v/>
      </c>
      <c r="AO24" s="144" t="str">
        <f>IF(ISBLANK('サービスコードマスタ（入力シート説明）'!$N28),"","○")</f>
        <v/>
      </c>
      <c r="AP24" s="79"/>
      <c r="AQ24" s="80" t="str">
        <f>T('サービスコードマスタ（入力シート説明）'!$H28)</f>
        <v>①前回報告から変更がある場合は変更内容が設定されていること</v>
      </c>
      <c r="AR24" s="81"/>
      <c r="AS24" s="81"/>
      <c r="AT24" s="81"/>
      <c r="AU24" s="81"/>
      <c r="AV24" s="82"/>
      <c r="AW24" s="83"/>
      <c r="AX24" s="131"/>
      <c r="AY24" s="84"/>
      <c r="AZ24" s="83"/>
      <c r="BA24" s="83"/>
      <c r="BB24" s="83"/>
      <c r="BC24" s="83"/>
      <c r="BD24" s="83"/>
      <c r="BE24" s="83"/>
      <c r="BF24" s="82">
        <v>1.5</v>
      </c>
      <c r="BG24" s="113"/>
      <c r="BH24" s="144">
        <f>IF(ISBLANK('サービスコードマスタ（入力シート説明）'!$D28),"",LEN('サービスコードマスタ（入力シート説明）'!$D28))</f>
        <v>2</v>
      </c>
      <c r="BI24" s="144" t="str">
        <f>IF(ISBLANK('サービスコードマスタ（入力シート説明）'!$D28),"",IF(ISERROR(FIND("(",'サービスコードマスタ（入力シート説明）'!$D28,1)),"",FIND("(",'サービスコードマスタ（入力シート説明）'!$D28,1)))</f>
        <v/>
      </c>
      <c r="BJ24" s="144" t="str">
        <f>IF(ISBLANK('サービスコードマスタ（入力シート説明）'!$D28),"",IF(ISERROR(FIND("(",'サービスコードマスタ（入力シート説明）'!$D28,1)),"",FIND(")",'サービスコードマスタ（入力シート説明）'!$D28,1)))</f>
        <v/>
      </c>
      <c r="BK24" s="144">
        <f>IF(ISBLANK('サービスコードマスタ（入力シート説明）'!$D28),"",IF($BL24="",0,IF($BL24=1,1,IF((IF($BI24="",$BH24,$BI24-1))=$BL24,2,3))))</f>
        <v>2</v>
      </c>
      <c r="BL24" s="144">
        <f>IF(ISBLANK('サービスコードマスタ（入力シート説明）'!$D28),"",IF(ISERROR(FIND("～",'サービスコードマスタ（入力シート説明）'!$D28,1)),"",FIND("～",'サービスコードマスタ（入力シート説明）'!$D28,1)))</f>
        <v>2</v>
      </c>
    </row>
    <row r="25" spans="1:64">
      <c r="X25" s="39"/>
      <c r="Y25" s="39"/>
      <c r="Z25" s="39"/>
      <c r="AA25" s="39"/>
      <c r="AB25" s="39"/>
      <c r="AC25" s="39"/>
      <c r="AD25" s="39"/>
      <c r="AE25" s="39"/>
      <c r="AF25" s="39"/>
      <c r="AG25" s="39"/>
      <c r="AH25" s="39"/>
      <c r="AI25" s="39"/>
      <c r="AJ25" s="39"/>
      <c r="AK25" s="2"/>
      <c r="AL25" s="2"/>
      <c r="AM25" s="2"/>
      <c r="AN25" s="2"/>
      <c r="AO25" s="2"/>
      <c r="AP25" s="2"/>
    </row>
    <row r="26" spans="1:64">
      <c r="B26" s="72"/>
      <c r="C26" s="73" t="s">
        <v>150</v>
      </c>
      <c r="G26" s="2" t="s">
        <v>151</v>
      </c>
      <c r="H26" t="s">
        <v>152</v>
      </c>
      <c r="X26" s="39"/>
      <c r="Y26" s="39"/>
      <c r="Z26" s="39"/>
      <c r="AA26" s="39"/>
      <c r="AB26" s="39"/>
      <c r="AC26" s="39"/>
      <c r="AD26" s="39"/>
      <c r="AE26" s="39"/>
      <c r="AF26" s="39"/>
      <c r="AG26" s="39"/>
      <c r="AH26" s="39"/>
      <c r="AI26" s="39"/>
      <c r="AJ26" s="39"/>
    </row>
    <row r="27" spans="1:64">
      <c r="X27" s="39"/>
      <c r="Y27" s="39"/>
      <c r="Z27" s="39"/>
      <c r="AA27" s="39"/>
      <c r="AB27" s="39"/>
      <c r="AC27" s="39"/>
      <c r="AD27" s="39"/>
      <c r="AE27" s="39"/>
      <c r="AF27" s="39"/>
      <c r="AG27" s="39"/>
      <c r="AH27" s="39"/>
      <c r="AI27" s="39"/>
      <c r="AJ27" s="39"/>
      <c r="AK27" s="2"/>
      <c r="AL27" s="2"/>
      <c r="AM27" s="2"/>
      <c r="AN27" s="2"/>
      <c r="AO27" s="2"/>
      <c r="AP27" s="2"/>
    </row>
    <row r="28" spans="1:64">
      <c r="B28" s="74"/>
      <c r="C28" s="73" t="s">
        <v>96</v>
      </c>
      <c r="D28" s="2"/>
      <c r="E28" s="2"/>
      <c r="F28" s="2"/>
      <c r="H28" s="2"/>
      <c r="I28" s="2"/>
      <c r="J28" s="2"/>
      <c r="K28" s="2"/>
      <c r="L28" s="2"/>
      <c r="M28" s="2"/>
      <c r="N28" s="2"/>
      <c r="O28" s="2"/>
      <c r="P28" s="2"/>
      <c r="Q28" s="2"/>
      <c r="R28" s="2"/>
      <c r="S28" s="2"/>
      <c r="T28" s="2"/>
      <c r="U28" s="2"/>
      <c r="V28" s="2"/>
      <c r="W28" s="2"/>
      <c r="X28" s="39"/>
      <c r="Y28" s="39"/>
      <c r="Z28" s="39"/>
      <c r="AA28" s="39"/>
      <c r="AB28" s="39"/>
      <c r="AC28" s="39"/>
      <c r="AD28" s="39"/>
      <c r="AE28" s="39"/>
      <c r="AF28" s="39"/>
      <c r="AG28" s="39"/>
      <c r="AH28" s="39"/>
      <c r="AI28" s="39"/>
      <c r="AJ28" s="39"/>
      <c r="AK28" s="2"/>
      <c r="AL28" s="2"/>
      <c r="AM28" s="2"/>
      <c r="AN28" s="2"/>
      <c r="AO28" s="2"/>
      <c r="AP28" s="2"/>
      <c r="AQ28" s="2"/>
      <c r="AR28" s="2"/>
      <c r="AS28" s="2"/>
      <c r="AT28" s="2"/>
      <c r="AU28" s="2"/>
      <c r="AV28" s="2"/>
    </row>
    <row r="29" spans="1:64">
      <c r="X29" s="39"/>
      <c r="Y29" s="39"/>
      <c r="Z29" s="39"/>
      <c r="AA29" s="39"/>
      <c r="AB29" s="39"/>
      <c r="AC29" s="39"/>
      <c r="AD29" s="39"/>
      <c r="AE29" s="39"/>
      <c r="AF29" s="39"/>
      <c r="AG29" s="39"/>
      <c r="AH29" s="39"/>
      <c r="AI29" s="39"/>
      <c r="AJ29" s="39"/>
      <c r="AK29" s="2"/>
      <c r="AL29" s="2"/>
      <c r="AM29" s="2"/>
      <c r="AN29" s="2"/>
      <c r="AO29" s="2"/>
      <c r="AP29" s="2"/>
    </row>
    <row r="30" spans="1:64">
      <c r="X30" s="39"/>
      <c r="Y30" s="39"/>
      <c r="Z30" s="39"/>
      <c r="AA30" s="39"/>
      <c r="AB30" s="39"/>
      <c r="AC30" s="39"/>
      <c r="AD30" s="39"/>
      <c r="AE30" s="39"/>
      <c r="AF30" s="39"/>
      <c r="AG30" s="39"/>
      <c r="AH30" s="39"/>
      <c r="AI30" s="39"/>
      <c r="AJ30" s="39"/>
      <c r="AK30" s="2"/>
      <c r="AL30" s="2"/>
      <c r="AM30" s="2"/>
      <c r="AN30" s="2"/>
      <c r="AO30" s="2"/>
      <c r="AP30" s="2"/>
    </row>
    <row r="31" spans="1:64">
      <c r="X31" s="39"/>
      <c r="Y31" s="39"/>
      <c r="Z31" s="39"/>
      <c r="AA31" s="39"/>
      <c r="AB31" s="39"/>
      <c r="AC31" s="39"/>
      <c r="AD31" s="39"/>
      <c r="AE31" s="39"/>
      <c r="AF31" s="39"/>
      <c r="AG31" s="39"/>
      <c r="AH31" s="39"/>
      <c r="AI31" s="39"/>
      <c r="AJ31" s="39"/>
      <c r="AK31" s="2"/>
      <c r="AL31" s="2"/>
      <c r="AM31" s="2"/>
      <c r="AN31" s="2"/>
      <c r="AO31" s="2"/>
      <c r="AP31" s="2"/>
    </row>
    <row r="32" spans="1:64">
      <c r="X32" s="39"/>
      <c r="Y32" s="39"/>
      <c r="Z32" s="39"/>
      <c r="AA32" s="39"/>
      <c r="AB32" s="39"/>
      <c r="AC32" s="39"/>
      <c r="AD32" s="39"/>
      <c r="AE32" s="39"/>
      <c r="AF32" s="39"/>
      <c r="AG32" s="39"/>
      <c r="AH32" s="39"/>
      <c r="AI32" s="39"/>
      <c r="AJ32" s="39"/>
      <c r="AK32" s="2"/>
      <c r="AL32" s="2"/>
      <c r="AM32" s="2"/>
      <c r="AN32" s="2"/>
      <c r="AO32" s="2"/>
      <c r="AP32" s="2"/>
    </row>
    <row r="33" spans="24:42">
      <c r="X33" s="39"/>
      <c r="Y33" s="39"/>
      <c r="Z33" s="39"/>
      <c r="AA33" s="39"/>
      <c r="AB33" s="39"/>
      <c r="AC33" s="39"/>
      <c r="AD33" s="39"/>
      <c r="AE33" s="39"/>
      <c r="AF33" s="39"/>
      <c r="AG33" s="39"/>
      <c r="AH33" s="39"/>
      <c r="AI33" s="39"/>
      <c r="AJ33" s="39"/>
      <c r="AK33" s="2"/>
      <c r="AL33" s="2"/>
      <c r="AM33" s="2"/>
      <c r="AN33" s="2"/>
      <c r="AO33" s="2"/>
      <c r="AP33" s="2"/>
    </row>
    <row r="34" spans="24:42">
      <c r="X34" s="40"/>
      <c r="Y34" s="40"/>
      <c r="Z34" s="40"/>
      <c r="AA34" s="40"/>
      <c r="AB34" s="40"/>
      <c r="AC34" s="40"/>
      <c r="AD34" s="40"/>
      <c r="AE34" s="40"/>
      <c r="AF34" s="40"/>
      <c r="AG34" s="40"/>
      <c r="AH34" s="40"/>
      <c r="AI34" s="40"/>
      <c r="AJ34" s="40"/>
      <c r="AK34" s="2"/>
      <c r="AL34" s="2"/>
      <c r="AM34" s="2"/>
      <c r="AN34" s="2"/>
      <c r="AO34" s="2"/>
      <c r="AP34" s="2"/>
    </row>
    <row r="35" spans="24:42">
      <c r="AK35" s="2"/>
      <c r="AL35" s="2"/>
      <c r="AM35" s="2"/>
      <c r="AN35" s="2"/>
      <c r="AO35" s="2"/>
      <c r="AP35" s="2"/>
    </row>
  </sheetData>
  <sheetProtection algorithmName="SHA-512" hashValue="ue+jw1AeOKnmncM8V4Sfq6amQl+oYQWnWfgI0NbByc0JlBp5F+RmaYvZaTS3Wl6TDCY7nfWEvNIY0d7MhpLQHQ==" saltValue="5d7ZD2HzJ3D2UTKmYNTwIw==" spinCount="100000" sheet="1" scenarios="1" formatColumns="0" formatRows="0" autoFilter="0"/>
  <mergeCells count="1">
    <mergeCell ref="AR1:AU1"/>
  </mergeCells>
  <phoneticPr fontId="6"/>
  <dataValidations count="1">
    <dataValidation type="list" allowBlank="1" showInputMessage="1" showErrorMessage="1" sqref="BG3:BG24" xr:uid="{00000000-0002-0000-0200-000000000000}">
      <formula1>"○"</formula1>
    </dataValidation>
  </dataValidations>
  <pageMargins left="0.75" right="0.75" top="1" bottom="1" header="0.51200000000000001" footer="0.51200000000000001"/>
  <pageSetup paperSize="9"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64"/>
  <sheetViews>
    <sheetView zoomScale="80" zoomScaleNormal="80" workbookViewId="0">
      <pane ySplit="2" topLeftCell="A3" activePane="bottomLeft" state="frozen"/>
      <selection pane="bottomLeft" activeCell="C15" sqref="C15"/>
    </sheetView>
  </sheetViews>
  <sheetFormatPr defaultRowHeight="13.2"/>
  <cols>
    <col min="3" max="3" width="17.33203125" bestFit="1" customWidth="1"/>
  </cols>
  <sheetData>
    <row r="1" spans="1:4">
      <c r="A1" s="73" t="s">
        <v>488</v>
      </c>
      <c r="B1" s="73"/>
      <c r="C1" s="73"/>
      <c r="D1" s="73"/>
    </row>
    <row r="2" spans="1:4">
      <c r="A2" s="73"/>
      <c r="B2" s="158" t="s">
        <v>423</v>
      </c>
      <c r="C2" s="158" t="s">
        <v>489</v>
      </c>
      <c r="D2" s="158" t="s">
        <v>424</v>
      </c>
    </row>
    <row r="3" spans="1:4">
      <c r="A3" s="73"/>
      <c r="B3" s="159" t="s">
        <v>425</v>
      </c>
      <c r="C3" s="156">
        <f>CODE(B3)</f>
        <v>48</v>
      </c>
      <c r="D3" s="156">
        <v>0</v>
      </c>
    </row>
    <row r="4" spans="1:4">
      <c r="A4" s="73"/>
      <c r="B4" s="159" t="s">
        <v>426</v>
      </c>
      <c r="C4" s="156">
        <f t="shared" ref="C4:C64" si="0">CODE(B4)</f>
        <v>49</v>
      </c>
      <c r="D4" s="156">
        <v>1</v>
      </c>
    </row>
    <row r="5" spans="1:4">
      <c r="A5" s="73"/>
      <c r="B5" s="159" t="s">
        <v>427</v>
      </c>
      <c r="C5" s="156">
        <f t="shared" si="0"/>
        <v>50</v>
      </c>
      <c r="D5" s="156">
        <v>2</v>
      </c>
    </row>
    <row r="6" spans="1:4">
      <c r="A6" s="73"/>
      <c r="B6" s="159" t="s">
        <v>428</v>
      </c>
      <c r="C6" s="156">
        <f t="shared" si="0"/>
        <v>51</v>
      </c>
      <c r="D6" s="156">
        <v>3</v>
      </c>
    </row>
    <row r="7" spans="1:4">
      <c r="A7" s="73"/>
      <c r="B7" s="159" t="s">
        <v>429</v>
      </c>
      <c r="C7" s="156">
        <f t="shared" si="0"/>
        <v>52</v>
      </c>
      <c r="D7" s="156">
        <v>4</v>
      </c>
    </row>
    <row r="8" spans="1:4">
      <c r="A8" s="73"/>
      <c r="B8" s="159" t="s">
        <v>430</v>
      </c>
      <c r="C8" s="156">
        <f t="shared" si="0"/>
        <v>53</v>
      </c>
      <c r="D8" s="156">
        <v>5</v>
      </c>
    </row>
    <row r="9" spans="1:4">
      <c r="A9" s="73"/>
      <c r="B9" s="159" t="s">
        <v>431</v>
      </c>
      <c r="C9" s="156">
        <f t="shared" si="0"/>
        <v>54</v>
      </c>
      <c r="D9" s="156">
        <v>6</v>
      </c>
    </row>
    <row r="10" spans="1:4">
      <c r="A10" s="73"/>
      <c r="B10" s="159" t="s">
        <v>432</v>
      </c>
      <c r="C10" s="156">
        <f t="shared" si="0"/>
        <v>55</v>
      </c>
      <c r="D10" s="156">
        <v>7</v>
      </c>
    </row>
    <row r="11" spans="1:4">
      <c r="A11" s="73"/>
      <c r="B11" s="159" t="s">
        <v>433</v>
      </c>
      <c r="C11" s="156">
        <f t="shared" si="0"/>
        <v>56</v>
      </c>
      <c r="D11" s="156">
        <v>8</v>
      </c>
    </row>
    <row r="12" spans="1:4">
      <c r="A12" s="73"/>
      <c r="B12" s="159" t="s">
        <v>434</v>
      </c>
      <c r="C12" s="156">
        <f t="shared" si="0"/>
        <v>57</v>
      </c>
      <c r="D12" s="156">
        <v>9</v>
      </c>
    </row>
    <row r="13" spans="1:4">
      <c r="A13" s="73"/>
      <c r="B13" s="159" t="s">
        <v>435</v>
      </c>
      <c r="C13" s="156">
        <f t="shared" si="0"/>
        <v>65</v>
      </c>
      <c r="D13" s="156">
        <v>10</v>
      </c>
    </row>
    <row r="14" spans="1:4">
      <c r="A14" s="160"/>
      <c r="B14" s="159" t="s">
        <v>436</v>
      </c>
      <c r="C14" s="156">
        <f t="shared" si="0"/>
        <v>66</v>
      </c>
      <c r="D14" s="156">
        <v>11</v>
      </c>
    </row>
    <row r="15" spans="1:4">
      <c r="A15" s="160"/>
      <c r="B15" s="159" t="s">
        <v>437</v>
      </c>
      <c r="C15" s="156">
        <f t="shared" si="0"/>
        <v>67</v>
      </c>
      <c r="D15" s="156">
        <v>12</v>
      </c>
    </row>
    <row r="16" spans="1:4">
      <c r="A16" s="160"/>
      <c r="B16" s="159" t="s">
        <v>438</v>
      </c>
      <c r="C16" s="156">
        <f t="shared" si="0"/>
        <v>68</v>
      </c>
      <c r="D16" s="156">
        <v>13</v>
      </c>
    </row>
    <row r="17" spans="1:4">
      <c r="A17" s="160"/>
      <c r="B17" s="159" t="s">
        <v>439</v>
      </c>
      <c r="C17" s="156">
        <f t="shared" si="0"/>
        <v>69</v>
      </c>
      <c r="D17" s="156">
        <v>14</v>
      </c>
    </row>
    <row r="18" spans="1:4">
      <c r="A18" s="160"/>
      <c r="B18" s="159" t="s">
        <v>440</v>
      </c>
      <c r="C18" s="156">
        <f t="shared" si="0"/>
        <v>70</v>
      </c>
      <c r="D18" s="156">
        <v>15</v>
      </c>
    </row>
    <row r="19" spans="1:4">
      <c r="A19" s="160"/>
      <c r="B19" s="159" t="s">
        <v>441</v>
      </c>
      <c r="C19" s="156">
        <f t="shared" si="0"/>
        <v>71</v>
      </c>
      <c r="D19" s="156">
        <v>16</v>
      </c>
    </row>
    <row r="20" spans="1:4">
      <c r="A20" s="160"/>
      <c r="B20" s="159" t="s">
        <v>442</v>
      </c>
      <c r="C20" s="156">
        <f t="shared" si="0"/>
        <v>72</v>
      </c>
      <c r="D20" s="156">
        <v>17</v>
      </c>
    </row>
    <row r="21" spans="1:4">
      <c r="A21" s="160"/>
      <c r="B21" s="159" t="s">
        <v>443</v>
      </c>
      <c r="C21" s="156">
        <f t="shared" si="0"/>
        <v>73</v>
      </c>
      <c r="D21" s="156">
        <v>18</v>
      </c>
    </row>
    <row r="22" spans="1:4">
      <c r="A22" s="160"/>
      <c r="B22" s="159" t="s">
        <v>444</v>
      </c>
      <c r="C22" s="156">
        <f t="shared" si="0"/>
        <v>74</v>
      </c>
      <c r="D22" s="156">
        <v>19</v>
      </c>
    </row>
    <row r="23" spans="1:4">
      <c r="A23" s="160"/>
      <c r="B23" s="159" t="s">
        <v>445</v>
      </c>
      <c r="C23" s="156">
        <f t="shared" si="0"/>
        <v>75</v>
      </c>
      <c r="D23" s="156">
        <v>20</v>
      </c>
    </row>
    <row r="24" spans="1:4">
      <c r="A24" s="160"/>
      <c r="B24" s="159" t="s">
        <v>446</v>
      </c>
      <c r="C24" s="156">
        <f t="shared" si="0"/>
        <v>76</v>
      </c>
      <c r="D24" s="156">
        <v>21</v>
      </c>
    </row>
    <row r="25" spans="1:4">
      <c r="A25" s="160"/>
      <c r="B25" s="159" t="s">
        <v>447</v>
      </c>
      <c r="C25" s="156">
        <f t="shared" si="0"/>
        <v>77</v>
      </c>
      <c r="D25" s="156">
        <v>22</v>
      </c>
    </row>
    <row r="26" spans="1:4">
      <c r="A26" s="160"/>
      <c r="B26" s="159" t="s">
        <v>448</v>
      </c>
      <c r="C26" s="156">
        <f t="shared" si="0"/>
        <v>78</v>
      </c>
      <c r="D26" s="156">
        <v>23</v>
      </c>
    </row>
    <row r="27" spans="1:4">
      <c r="A27" s="160"/>
      <c r="B27" s="159" t="s">
        <v>449</v>
      </c>
      <c r="C27" s="156">
        <f t="shared" si="0"/>
        <v>79</v>
      </c>
      <c r="D27" s="156">
        <v>24</v>
      </c>
    </row>
    <row r="28" spans="1:4">
      <c r="A28" s="160"/>
      <c r="B28" s="159" t="s">
        <v>450</v>
      </c>
      <c r="C28" s="156">
        <f t="shared" si="0"/>
        <v>80</v>
      </c>
      <c r="D28" s="156">
        <v>25</v>
      </c>
    </row>
    <row r="29" spans="1:4">
      <c r="A29" s="160"/>
      <c r="B29" s="159" t="s">
        <v>451</v>
      </c>
      <c r="C29" s="156">
        <f t="shared" si="0"/>
        <v>81</v>
      </c>
      <c r="D29" s="156">
        <v>26</v>
      </c>
    </row>
    <row r="30" spans="1:4">
      <c r="A30" s="160"/>
      <c r="B30" s="159" t="s">
        <v>452</v>
      </c>
      <c r="C30" s="156">
        <f t="shared" si="0"/>
        <v>82</v>
      </c>
      <c r="D30" s="156">
        <v>27</v>
      </c>
    </row>
    <row r="31" spans="1:4">
      <c r="A31" s="160"/>
      <c r="B31" s="159" t="s">
        <v>453</v>
      </c>
      <c r="C31" s="156">
        <f t="shared" si="0"/>
        <v>83</v>
      </c>
      <c r="D31" s="156">
        <v>28</v>
      </c>
    </row>
    <row r="32" spans="1:4">
      <c r="A32" s="160"/>
      <c r="B32" s="159" t="s">
        <v>454</v>
      </c>
      <c r="C32" s="156">
        <f t="shared" si="0"/>
        <v>84</v>
      </c>
      <c r="D32" s="156">
        <v>29</v>
      </c>
    </row>
    <row r="33" spans="1:4">
      <c r="A33" s="160"/>
      <c r="B33" s="159" t="s">
        <v>455</v>
      </c>
      <c r="C33" s="156">
        <f t="shared" si="0"/>
        <v>85</v>
      </c>
      <c r="D33" s="156">
        <v>30</v>
      </c>
    </row>
    <row r="34" spans="1:4">
      <c r="A34" s="160"/>
      <c r="B34" s="159" t="s">
        <v>456</v>
      </c>
      <c r="C34" s="156">
        <f t="shared" si="0"/>
        <v>86</v>
      </c>
      <c r="D34" s="156">
        <v>31</v>
      </c>
    </row>
    <row r="35" spans="1:4">
      <c r="A35" s="160"/>
      <c r="B35" s="159" t="s">
        <v>457</v>
      </c>
      <c r="C35" s="156">
        <f t="shared" si="0"/>
        <v>87</v>
      </c>
      <c r="D35" s="156">
        <v>32</v>
      </c>
    </row>
    <row r="36" spans="1:4">
      <c r="A36" s="160"/>
      <c r="B36" s="159" t="s">
        <v>458</v>
      </c>
      <c r="C36" s="156">
        <f t="shared" si="0"/>
        <v>88</v>
      </c>
      <c r="D36" s="156">
        <v>33</v>
      </c>
    </row>
    <row r="37" spans="1:4">
      <c r="A37" s="160"/>
      <c r="B37" s="159" t="s">
        <v>459</v>
      </c>
      <c r="C37" s="156">
        <f t="shared" si="0"/>
        <v>89</v>
      </c>
      <c r="D37" s="156">
        <v>34</v>
      </c>
    </row>
    <row r="38" spans="1:4">
      <c r="A38" s="160"/>
      <c r="B38" s="159" t="s">
        <v>460</v>
      </c>
      <c r="C38" s="156">
        <f t="shared" si="0"/>
        <v>90</v>
      </c>
      <c r="D38" s="156">
        <v>35</v>
      </c>
    </row>
    <row r="39" spans="1:4">
      <c r="A39" s="160"/>
      <c r="B39" s="159" t="s">
        <v>461</v>
      </c>
      <c r="C39" s="156">
        <f t="shared" si="0"/>
        <v>97</v>
      </c>
      <c r="D39" s="156">
        <v>36</v>
      </c>
    </row>
    <row r="40" spans="1:4">
      <c r="A40" s="160"/>
      <c r="B40" s="159" t="s">
        <v>462</v>
      </c>
      <c r="C40" s="156">
        <f t="shared" si="0"/>
        <v>98</v>
      </c>
      <c r="D40" s="156">
        <v>37</v>
      </c>
    </row>
    <row r="41" spans="1:4">
      <c r="A41" s="160"/>
      <c r="B41" s="159" t="s">
        <v>463</v>
      </c>
      <c r="C41" s="156">
        <f t="shared" si="0"/>
        <v>99</v>
      </c>
      <c r="D41" s="156">
        <v>38</v>
      </c>
    </row>
    <row r="42" spans="1:4">
      <c r="A42" s="160"/>
      <c r="B42" s="159" t="s">
        <v>464</v>
      </c>
      <c r="C42" s="156">
        <f t="shared" si="0"/>
        <v>100</v>
      </c>
      <c r="D42" s="156">
        <v>39</v>
      </c>
    </row>
    <row r="43" spans="1:4">
      <c r="A43" s="160"/>
      <c r="B43" s="159" t="s">
        <v>465</v>
      </c>
      <c r="C43" s="156">
        <f t="shared" si="0"/>
        <v>101</v>
      </c>
      <c r="D43" s="156">
        <v>40</v>
      </c>
    </row>
    <row r="44" spans="1:4">
      <c r="A44" s="160"/>
      <c r="B44" s="159" t="s">
        <v>466</v>
      </c>
      <c r="C44" s="156">
        <f t="shared" si="0"/>
        <v>102</v>
      </c>
      <c r="D44" s="156">
        <v>41</v>
      </c>
    </row>
    <row r="45" spans="1:4">
      <c r="A45" s="160"/>
      <c r="B45" s="159" t="s">
        <v>467</v>
      </c>
      <c r="C45" s="156">
        <f t="shared" si="0"/>
        <v>103</v>
      </c>
      <c r="D45" s="156">
        <v>42</v>
      </c>
    </row>
    <row r="46" spans="1:4">
      <c r="A46" s="160"/>
      <c r="B46" s="159" t="s">
        <v>468</v>
      </c>
      <c r="C46" s="156">
        <f t="shared" si="0"/>
        <v>104</v>
      </c>
      <c r="D46" s="156">
        <v>43</v>
      </c>
    </row>
    <row r="47" spans="1:4">
      <c r="A47" s="160"/>
      <c r="B47" s="159" t="s">
        <v>469</v>
      </c>
      <c r="C47" s="156">
        <f t="shared" si="0"/>
        <v>105</v>
      </c>
      <c r="D47" s="156">
        <v>44</v>
      </c>
    </row>
    <row r="48" spans="1:4">
      <c r="A48" s="160"/>
      <c r="B48" s="159" t="s">
        <v>470</v>
      </c>
      <c r="C48" s="156">
        <f t="shared" si="0"/>
        <v>106</v>
      </c>
      <c r="D48" s="156">
        <v>45</v>
      </c>
    </row>
    <row r="49" spans="1:4">
      <c r="A49" s="160"/>
      <c r="B49" s="159" t="s">
        <v>471</v>
      </c>
      <c r="C49" s="156">
        <f t="shared" si="0"/>
        <v>107</v>
      </c>
      <c r="D49" s="156">
        <v>46</v>
      </c>
    </row>
    <row r="50" spans="1:4">
      <c r="A50" s="160"/>
      <c r="B50" s="159" t="s">
        <v>472</v>
      </c>
      <c r="C50" s="156">
        <f t="shared" si="0"/>
        <v>108</v>
      </c>
      <c r="D50" s="156">
        <v>47</v>
      </c>
    </row>
    <row r="51" spans="1:4">
      <c r="A51" s="160"/>
      <c r="B51" s="159" t="s">
        <v>473</v>
      </c>
      <c r="C51" s="156">
        <f t="shared" si="0"/>
        <v>109</v>
      </c>
      <c r="D51" s="156">
        <v>48</v>
      </c>
    </row>
    <row r="52" spans="1:4">
      <c r="A52" s="160"/>
      <c r="B52" s="159" t="s">
        <v>474</v>
      </c>
      <c r="C52" s="156">
        <f t="shared" si="0"/>
        <v>110</v>
      </c>
      <c r="D52" s="156">
        <v>49</v>
      </c>
    </row>
    <row r="53" spans="1:4">
      <c r="A53" s="160"/>
      <c r="B53" s="159" t="s">
        <v>475</v>
      </c>
      <c r="C53" s="156">
        <f t="shared" si="0"/>
        <v>111</v>
      </c>
      <c r="D53" s="156">
        <v>50</v>
      </c>
    </row>
    <row r="54" spans="1:4">
      <c r="A54" s="160"/>
      <c r="B54" s="159" t="s">
        <v>476</v>
      </c>
      <c r="C54" s="156">
        <f t="shared" si="0"/>
        <v>112</v>
      </c>
      <c r="D54" s="156">
        <v>51</v>
      </c>
    </row>
    <row r="55" spans="1:4">
      <c r="A55" s="160"/>
      <c r="B55" s="159" t="s">
        <v>477</v>
      </c>
      <c r="C55" s="156">
        <f t="shared" si="0"/>
        <v>113</v>
      </c>
      <c r="D55" s="156">
        <v>52</v>
      </c>
    </row>
    <row r="56" spans="1:4">
      <c r="A56" s="160"/>
      <c r="B56" s="159" t="s">
        <v>478</v>
      </c>
      <c r="C56" s="156">
        <f t="shared" si="0"/>
        <v>114</v>
      </c>
      <c r="D56" s="156">
        <v>53</v>
      </c>
    </row>
    <row r="57" spans="1:4">
      <c r="A57" s="160"/>
      <c r="B57" s="159" t="s">
        <v>479</v>
      </c>
      <c r="C57" s="156">
        <f t="shared" si="0"/>
        <v>115</v>
      </c>
      <c r="D57" s="156">
        <v>54</v>
      </c>
    </row>
    <row r="58" spans="1:4">
      <c r="A58" s="160"/>
      <c r="B58" s="159" t="s">
        <v>480</v>
      </c>
      <c r="C58" s="156">
        <f t="shared" si="0"/>
        <v>116</v>
      </c>
      <c r="D58" s="156">
        <v>55</v>
      </c>
    </row>
    <row r="59" spans="1:4">
      <c r="A59" s="160"/>
      <c r="B59" s="159" t="s">
        <v>481</v>
      </c>
      <c r="C59" s="156">
        <f t="shared" si="0"/>
        <v>117</v>
      </c>
      <c r="D59" s="156">
        <v>56</v>
      </c>
    </row>
    <row r="60" spans="1:4">
      <c r="A60" s="160"/>
      <c r="B60" s="159" t="s">
        <v>482</v>
      </c>
      <c r="C60" s="156">
        <f t="shared" si="0"/>
        <v>118</v>
      </c>
      <c r="D60" s="156">
        <v>57</v>
      </c>
    </row>
    <row r="61" spans="1:4">
      <c r="A61" s="160"/>
      <c r="B61" s="159" t="s">
        <v>483</v>
      </c>
      <c r="C61" s="156">
        <f t="shared" si="0"/>
        <v>119</v>
      </c>
      <c r="D61" s="156">
        <v>58</v>
      </c>
    </row>
    <row r="62" spans="1:4">
      <c r="A62" s="160"/>
      <c r="B62" s="159" t="s">
        <v>484</v>
      </c>
      <c r="C62" s="156">
        <f t="shared" si="0"/>
        <v>120</v>
      </c>
      <c r="D62" s="156">
        <v>59</v>
      </c>
    </row>
    <row r="63" spans="1:4">
      <c r="A63" s="160"/>
      <c r="B63" s="159" t="s">
        <v>485</v>
      </c>
      <c r="C63" s="156">
        <f t="shared" si="0"/>
        <v>121</v>
      </c>
      <c r="D63" s="156">
        <v>60</v>
      </c>
    </row>
    <row r="64" spans="1:4">
      <c r="A64" s="160"/>
      <c r="B64" s="159" t="s">
        <v>486</v>
      </c>
      <c r="C64" s="156">
        <f t="shared" si="0"/>
        <v>122</v>
      </c>
      <c r="D64" s="156">
        <v>61</v>
      </c>
    </row>
  </sheetData>
  <sheetProtection algorithmName="SHA-512" hashValue="lVahy8fZ8abSWY2ZdQq+oGkDHoGUtxsaK8UZhwTgXX4nnAuxY0h1k9etToBcvWjjnfz9D1pvLORUbGmqRLHKdg==" saltValue="Vdm5Y+1QojjwqOeygP6twA==" spinCount="100000" sheet="1" objects="1" scenarios="1"/>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5" tint="0.59999389629810485"/>
  </sheetPr>
  <dimension ref="A1:CG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21875" customWidth="1"/>
    <col min="2" max="2" width="26.21875" customWidth="1"/>
    <col min="3" max="3" width="6.21875" customWidth="1"/>
    <col min="4" max="13" width="6.44140625" customWidth="1"/>
    <col min="16" max="51" width="6.44140625" customWidth="1"/>
    <col min="52" max="60" width="10.21875" customWidth="1"/>
    <col min="61" max="75" width="7.88671875" customWidth="1"/>
    <col min="76" max="80" width="6.44140625" customWidth="1"/>
  </cols>
  <sheetData>
    <row r="1" spans="1:85" ht="14.4">
      <c r="A1" s="167" t="s">
        <v>552</v>
      </c>
    </row>
    <row r="3" spans="1:85"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c r="CA3" s="160"/>
      <c r="CB3" s="160"/>
      <c r="CC3" s="160"/>
      <c r="CD3" s="160"/>
      <c r="CE3" s="160"/>
      <c r="CF3" s="160"/>
      <c r="CG3" s="160"/>
    </row>
    <row r="4" spans="1:85" ht="43.5" customHeight="1">
      <c r="A4" s="168"/>
      <c r="B4" s="297" t="s">
        <v>553</v>
      </c>
      <c r="C4" s="298"/>
      <c r="D4" s="299" t="s">
        <v>554</v>
      </c>
      <c r="E4" s="300"/>
      <c r="F4" s="300"/>
      <c r="G4" s="300"/>
      <c r="H4" s="301"/>
      <c r="I4" s="302" t="s">
        <v>555</v>
      </c>
      <c r="J4" s="300"/>
      <c r="K4" s="300"/>
      <c r="L4" s="300"/>
      <c r="M4" s="301"/>
      <c r="N4" s="169" t="s">
        <v>556</v>
      </c>
      <c r="O4" s="170" t="s">
        <v>557</v>
      </c>
      <c r="P4" s="303" t="s">
        <v>558</v>
      </c>
      <c r="Q4" s="304"/>
      <c r="R4" s="304"/>
      <c r="S4" s="304"/>
      <c r="T4" s="296"/>
      <c r="U4" s="295" t="s">
        <v>559</v>
      </c>
      <c r="V4" s="304"/>
      <c r="W4" s="304"/>
      <c r="X4" s="304"/>
      <c r="Y4" s="296"/>
      <c r="Z4" s="295" t="s">
        <v>560</v>
      </c>
      <c r="AA4" s="304"/>
      <c r="AB4" s="304"/>
      <c r="AC4" s="304"/>
      <c r="AD4" s="296"/>
      <c r="AE4" s="295" t="s">
        <v>561</v>
      </c>
      <c r="AF4" s="304"/>
      <c r="AG4" s="304"/>
      <c r="AH4" s="304"/>
      <c r="AI4" s="296"/>
      <c r="AJ4" s="295" t="s">
        <v>562</v>
      </c>
      <c r="AK4" s="304"/>
      <c r="AL4" s="304"/>
      <c r="AM4" s="304"/>
      <c r="AN4" s="296"/>
      <c r="AO4" s="295" t="s">
        <v>563</v>
      </c>
      <c r="AP4" s="304"/>
      <c r="AQ4" s="304"/>
      <c r="AR4" s="304"/>
      <c r="AS4" s="296"/>
      <c r="AT4" s="295" t="s">
        <v>564</v>
      </c>
      <c r="AU4" s="296"/>
      <c r="AV4" s="295" t="s">
        <v>565</v>
      </c>
      <c r="AW4" s="296"/>
      <c r="AX4" s="295" t="s">
        <v>566</v>
      </c>
      <c r="AY4" s="296"/>
      <c r="AZ4" s="295" t="s">
        <v>567</v>
      </c>
      <c r="BA4" s="296"/>
      <c r="BB4" s="295" t="s">
        <v>568</v>
      </c>
      <c r="BC4" s="296"/>
      <c r="BD4" s="303" t="s">
        <v>569</v>
      </c>
      <c r="BE4" s="296"/>
      <c r="BF4" s="295" t="s">
        <v>570</v>
      </c>
      <c r="BG4" s="304"/>
      <c r="BH4" s="296"/>
      <c r="BI4" s="295" t="s">
        <v>571</v>
      </c>
      <c r="BJ4" s="304"/>
      <c r="BK4" s="296"/>
      <c r="BL4" s="295" t="s">
        <v>572</v>
      </c>
      <c r="BM4" s="296"/>
      <c r="BN4" s="295" t="s">
        <v>573</v>
      </c>
      <c r="BO4" s="296"/>
      <c r="BP4" s="295" t="s">
        <v>574</v>
      </c>
      <c r="BQ4" s="296"/>
      <c r="BR4" s="295" t="s">
        <v>575</v>
      </c>
      <c r="BS4" s="296"/>
      <c r="BT4" s="295" t="s">
        <v>576</v>
      </c>
      <c r="BU4" s="296"/>
      <c r="BV4" s="295" t="s">
        <v>577</v>
      </c>
      <c r="BW4" s="304"/>
      <c r="BX4" s="312" t="s">
        <v>407</v>
      </c>
      <c r="BY4" s="313"/>
      <c r="BZ4" s="313"/>
      <c r="CA4" s="313"/>
      <c r="CB4" s="314"/>
      <c r="CC4" s="305" t="s">
        <v>362</v>
      </c>
      <c r="CD4" s="306"/>
      <c r="CE4" s="306"/>
      <c r="CF4" s="307"/>
      <c r="CG4" s="168"/>
    </row>
    <row r="5" spans="1:85">
      <c r="A5" s="160"/>
      <c r="B5" s="308" t="s">
        <v>578</v>
      </c>
      <c r="C5" s="309"/>
      <c r="D5" s="171" t="s">
        <v>266</v>
      </c>
      <c r="E5" s="172" t="s">
        <v>267</v>
      </c>
      <c r="F5" s="172" t="s">
        <v>268</v>
      </c>
      <c r="G5" s="172" t="s">
        <v>269</v>
      </c>
      <c r="H5" s="172" t="s">
        <v>270</v>
      </c>
      <c r="I5" s="172" t="s">
        <v>271</v>
      </c>
      <c r="J5" s="172" t="s">
        <v>272</v>
      </c>
      <c r="K5" s="172" t="s">
        <v>273</v>
      </c>
      <c r="L5" s="172" t="s">
        <v>274</v>
      </c>
      <c r="M5" s="172" t="s">
        <v>275</v>
      </c>
      <c r="N5" s="172" t="s">
        <v>276</v>
      </c>
      <c r="O5" s="173" t="s">
        <v>277</v>
      </c>
      <c r="P5" s="174" t="s">
        <v>363</v>
      </c>
      <c r="Q5" s="175" t="s">
        <v>364</v>
      </c>
      <c r="R5" s="175" t="s">
        <v>365</v>
      </c>
      <c r="S5" s="174" t="s">
        <v>366</v>
      </c>
      <c r="T5" s="175" t="s">
        <v>367</v>
      </c>
      <c r="U5" s="175" t="s">
        <v>368</v>
      </c>
      <c r="V5" s="175" t="s">
        <v>369</v>
      </c>
      <c r="W5" s="175" t="s">
        <v>370</v>
      </c>
      <c r="X5" s="175" t="s">
        <v>371</v>
      </c>
      <c r="Y5" s="175" t="s">
        <v>372</v>
      </c>
      <c r="Z5" s="175" t="s">
        <v>373</v>
      </c>
      <c r="AA5" s="175" t="s">
        <v>374</v>
      </c>
      <c r="AB5" s="175" t="s">
        <v>375</v>
      </c>
      <c r="AC5" s="174" t="s">
        <v>376</v>
      </c>
      <c r="AD5" s="175" t="s">
        <v>377</v>
      </c>
      <c r="AE5" s="175" t="s">
        <v>378</v>
      </c>
      <c r="AF5" s="175" t="s">
        <v>379</v>
      </c>
      <c r="AG5" s="175" t="s">
        <v>380</v>
      </c>
      <c r="AH5" s="174" t="s">
        <v>381</v>
      </c>
      <c r="AI5" s="175" t="s">
        <v>382</v>
      </c>
      <c r="AJ5" s="175" t="s">
        <v>383</v>
      </c>
      <c r="AK5" s="175" t="s">
        <v>384</v>
      </c>
      <c r="AL5" s="175" t="s">
        <v>385</v>
      </c>
      <c r="AM5" s="175" t="s">
        <v>386</v>
      </c>
      <c r="AN5" s="175" t="s">
        <v>387</v>
      </c>
      <c r="AO5" s="175" t="s">
        <v>388</v>
      </c>
      <c r="AP5" s="175" t="s">
        <v>389</v>
      </c>
      <c r="AQ5" s="175" t="s">
        <v>390</v>
      </c>
      <c r="AR5" s="174" t="s">
        <v>391</v>
      </c>
      <c r="AS5" s="175" t="s">
        <v>392</v>
      </c>
      <c r="AT5" s="175" t="s">
        <v>393</v>
      </c>
      <c r="AU5" s="176" t="s">
        <v>394</v>
      </c>
      <c r="AV5" s="175" t="s">
        <v>395</v>
      </c>
      <c r="AW5" s="175" t="s">
        <v>396</v>
      </c>
      <c r="AX5" s="174" t="s">
        <v>397</v>
      </c>
      <c r="AY5" s="175" t="s">
        <v>398</v>
      </c>
      <c r="AZ5" s="175" t="s">
        <v>399</v>
      </c>
      <c r="BA5" s="175" t="s">
        <v>400</v>
      </c>
      <c r="BB5" s="175" t="s">
        <v>401</v>
      </c>
      <c r="BC5" s="175" t="s">
        <v>402</v>
      </c>
      <c r="BD5" s="175" t="s">
        <v>403</v>
      </c>
      <c r="BE5" s="175" t="s">
        <v>404</v>
      </c>
      <c r="BF5" s="175" t="s">
        <v>579</v>
      </c>
      <c r="BG5" s="175" t="s">
        <v>580</v>
      </c>
      <c r="BH5" s="175" t="s">
        <v>581</v>
      </c>
      <c r="BI5" s="175" t="s">
        <v>582</v>
      </c>
      <c r="BJ5" s="175" t="s">
        <v>583</v>
      </c>
      <c r="BK5" s="175" t="s">
        <v>584</v>
      </c>
      <c r="BL5" s="174" t="s">
        <v>585</v>
      </c>
      <c r="BM5" s="175" t="s">
        <v>586</v>
      </c>
      <c r="BN5" s="175" t="s">
        <v>587</v>
      </c>
      <c r="BO5" s="175" t="s">
        <v>588</v>
      </c>
      <c r="BP5" s="175" t="s">
        <v>589</v>
      </c>
      <c r="BQ5" s="175" t="s">
        <v>590</v>
      </c>
      <c r="BR5" s="175" t="s">
        <v>591</v>
      </c>
      <c r="BS5" s="175" t="s">
        <v>592</v>
      </c>
      <c r="BT5" s="175" t="s">
        <v>593</v>
      </c>
      <c r="BU5" s="175" t="s">
        <v>594</v>
      </c>
      <c r="BV5" s="175" t="s">
        <v>595</v>
      </c>
      <c r="BW5" s="176" t="s">
        <v>596</v>
      </c>
      <c r="BX5" s="177" t="s">
        <v>408</v>
      </c>
      <c r="BY5" s="178" t="s">
        <v>409</v>
      </c>
      <c r="BZ5" s="178" t="s">
        <v>410</v>
      </c>
      <c r="CA5" s="178" t="s">
        <v>411</v>
      </c>
      <c r="CB5" s="179" t="s">
        <v>412</v>
      </c>
      <c r="CC5" s="180" t="s">
        <v>278</v>
      </c>
      <c r="CD5" s="181" t="s">
        <v>342</v>
      </c>
      <c r="CE5" s="181" t="s">
        <v>279</v>
      </c>
      <c r="CF5" s="182" t="s">
        <v>413</v>
      </c>
      <c r="CG5" s="160"/>
    </row>
    <row r="6" spans="1:85">
      <c r="A6" s="160"/>
      <c r="B6" s="308" t="s">
        <v>745</v>
      </c>
      <c r="C6" s="309"/>
      <c r="D6" s="171" t="s">
        <v>597</v>
      </c>
      <c r="E6" s="172" t="s">
        <v>598</v>
      </c>
      <c r="F6" s="172" t="s">
        <v>599</v>
      </c>
      <c r="G6" s="172" t="s">
        <v>600</v>
      </c>
      <c r="H6" s="172" t="s">
        <v>601</v>
      </c>
      <c r="I6" s="172" t="s">
        <v>602</v>
      </c>
      <c r="J6" s="172" t="s">
        <v>603</v>
      </c>
      <c r="K6" s="172" t="s">
        <v>604</v>
      </c>
      <c r="L6" s="172" t="s">
        <v>605</v>
      </c>
      <c r="M6" s="172" t="s">
        <v>606</v>
      </c>
      <c r="N6" s="172" t="s">
        <v>607</v>
      </c>
      <c r="O6" s="173" t="s">
        <v>608</v>
      </c>
      <c r="P6" s="174" t="s">
        <v>609</v>
      </c>
      <c r="Q6" s="175" t="s">
        <v>610</v>
      </c>
      <c r="R6" s="175" t="s">
        <v>611</v>
      </c>
      <c r="S6" s="174" t="s">
        <v>612</v>
      </c>
      <c r="T6" s="175" t="s">
        <v>613</v>
      </c>
      <c r="U6" s="175" t="s">
        <v>614</v>
      </c>
      <c r="V6" s="175" t="s">
        <v>615</v>
      </c>
      <c r="W6" s="175" t="s">
        <v>616</v>
      </c>
      <c r="X6" s="175" t="s">
        <v>617</v>
      </c>
      <c r="Y6" s="175" t="s">
        <v>618</v>
      </c>
      <c r="Z6" s="175" t="s">
        <v>619</v>
      </c>
      <c r="AA6" s="175" t="s">
        <v>620</v>
      </c>
      <c r="AB6" s="175" t="s">
        <v>621</v>
      </c>
      <c r="AC6" s="174" t="s">
        <v>622</v>
      </c>
      <c r="AD6" s="175" t="s">
        <v>623</v>
      </c>
      <c r="AE6" s="175" t="s">
        <v>624</v>
      </c>
      <c r="AF6" s="175" t="s">
        <v>625</v>
      </c>
      <c r="AG6" s="175" t="s">
        <v>626</v>
      </c>
      <c r="AH6" s="174" t="s">
        <v>627</v>
      </c>
      <c r="AI6" s="175" t="s">
        <v>628</v>
      </c>
      <c r="AJ6" s="175" t="s">
        <v>629</v>
      </c>
      <c r="AK6" s="175" t="s">
        <v>630</v>
      </c>
      <c r="AL6" s="175" t="s">
        <v>631</v>
      </c>
      <c r="AM6" s="175" t="s">
        <v>632</v>
      </c>
      <c r="AN6" s="175" t="s">
        <v>633</v>
      </c>
      <c r="AO6" s="175" t="s">
        <v>634</v>
      </c>
      <c r="AP6" s="175" t="s">
        <v>635</v>
      </c>
      <c r="AQ6" s="175" t="s">
        <v>636</v>
      </c>
      <c r="AR6" s="174" t="s">
        <v>637</v>
      </c>
      <c r="AS6" s="175" t="s">
        <v>638</v>
      </c>
      <c r="AT6" s="175" t="s">
        <v>639</v>
      </c>
      <c r="AU6" s="176" t="s">
        <v>640</v>
      </c>
      <c r="AV6" s="175" t="s">
        <v>641</v>
      </c>
      <c r="AW6" s="175" t="s">
        <v>642</v>
      </c>
      <c r="AX6" s="174" t="s">
        <v>643</v>
      </c>
      <c r="AY6" s="175" t="s">
        <v>644</v>
      </c>
      <c r="AZ6" s="175" t="s">
        <v>645</v>
      </c>
      <c r="BA6" s="175" t="s">
        <v>646</v>
      </c>
      <c r="BB6" s="175" t="s">
        <v>647</v>
      </c>
      <c r="BC6" s="175" t="s">
        <v>648</v>
      </c>
      <c r="BD6" s="175" t="s">
        <v>649</v>
      </c>
      <c r="BE6" s="175" t="s">
        <v>650</v>
      </c>
      <c r="BF6" s="175" t="s">
        <v>651</v>
      </c>
      <c r="BG6" s="175" t="s">
        <v>652</v>
      </c>
      <c r="BH6" s="175" t="s">
        <v>653</v>
      </c>
      <c r="BI6" s="175" t="s">
        <v>654</v>
      </c>
      <c r="BJ6" s="175" t="s">
        <v>655</v>
      </c>
      <c r="BK6" s="175" t="s">
        <v>656</v>
      </c>
      <c r="BL6" s="174" t="s">
        <v>657</v>
      </c>
      <c r="BM6" s="175" t="s">
        <v>658</v>
      </c>
      <c r="BN6" s="175" t="s">
        <v>659</v>
      </c>
      <c r="BO6" s="175" t="s">
        <v>660</v>
      </c>
      <c r="BP6" s="175" t="s">
        <v>661</v>
      </c>
      <c r="BQ6" s="175" t="s">
        <v>662</v>
      </c>
      <c r="BR6" s="175" t="s">
        <v>663</v>
      </c>
      <c r="BS6" s="175" t="s">
        <v>664</v>
      </c>
      <c r="BT6" s="175" t="s">
        <v>665</v>
      </c>
      <c r="BU6" s="175" t="s">
        <v>666</v>
      </c>
      <c r="BV6" s="175" t="s">
        <v>667</v>
      </c>
      <c r="BW6" s="176" t="s">
        <v>668</v>
      </c>
      <c r="BX6" s="177" t="s">
        <v>669</v>
      </c>
      <c r="BY6" s="178" t="s">
        <v>670</v>
      </c>
      <c r="BZ6" s="178" t="s">
        <v>671</v>
      </c>
      <c r="CA6" s="178" t="s">
        <v>672</v>
      </c>
      <c r="CB6" s="179" t="s">
        <v>673</v>
      </c>
      <c r="CC6" s="180" t="s">
        <v>674</v>
      </c>
      <c r="CD6" s="181" t="s">
        <v>343</v>
      </c>
      <c r="CE6" s="181" t="s">
        <v>675</v>
      </c>
      <c r="CF6" s="182" t="s">
        <v>414</v>
      </c>
      <c r="CG6" s="160"/>
    </row>
    <row r="7" spans="1:85" ht="13.8" thickBot="1">
      <c r="A7" s="160"/>
      <c r="B7" s="310" t="s">
        <v>676</v>
      </c>
      <c r="C7" s="311"/>
      <c r="D7" s="183" t="s">
        <v>677</v>
      </c>
      <c r="E7" s="184" t="s">
        <v>678</v>
      </c>
      <c r="F7" s="184" t="s">
        <v>679</v>
      </c>
      <c r="G7" s="184" t="s">
        <v>680</v>
      </c>
      <c r="H7" s="184" t="s">
        <v>280</v>
      </c>
      <c r="I7" s="184" t="s">
        <v>677</v>
      </c>
      <c r="J7" s="184" t="s">
        <v>678</v>
      </c>
      <c r="K7" s="184" t="s">
        <v>679</v>
      </c>
      <c r="L7" s="184" t="s">
        <v>680</v>
      </c>
      <c r="M7" s="184" t="s">
        <v>280</v>
      </c>
      <c r="N7" s="184" t="s">
        <v>681</v>
      </c>
      <c r="O7" s="185" t="s">
        <v>281</v>
      </c>
      <c r="P7" s="186" t="s">
        <v>677</v>
      </c>
      <c r="Q7" s="187" t="s">
        <v>678</v>
      </c>
      <c r="R7" s="187" t="s">
        <v>679</v>
      </c>
      <c r="S7" s="187" t="s">
        <v>680</v>
      </c>
      <c r="T7" s="187" t="s">
        <v>280</v>
      </c>
      <c r="U7" s="187" t="s">
        <v>677</v>
      </c>
      <c r="V7" s="187" t="s">
        <v>678</v>
      </c>
      <c r="W7" s="187" t="s">
        <v>679</v>
      </c>
      <c r="X7" s="187" t="s">
        <v>680</v>
      </c>
      <c r="Y7" s="187" t="s">
        <v>280</v>
      </c>
      <c r="Z7" s="187" t="s">
        <v>677</v>
      </c>
      <c r="AA7" s="187" t="s">
        <v>678</v>
      </c>
      <c r="AB7" s="187" t="s">
        <v>679</v>
      </c>
      <c r="AC7" s="187" t="s">
        <v>680</v>
      </c>
      <c r="AD7" s="187" t="s">
        <v>280</v>
      </c>
      <c r="AE7" s="187" t="s">
        <v>677</v>
      </c>
      <c r="AF7" s="187" t="s">
        <v>678</v>
      </c>
      <c r="AG7" s="187" t="s">
        <v>679</v>
      </c>
      <c r="AH7" s="187" t="s">
        <v>680</v>
      </c>
      <c r="AI7" s="187" t="s">
        <v>280</v>
      </c>
      <c r="AJ7" s="187" t="s">
        <v>677</v>
      </c>
      <c r="AK7" s="187" t="s">
        <v>678</v>
      </c>
      <c r="AL7" s="187" t="s">
        <v>679</v>
      </c>
      <c r="AM7" s="187" t="s">
        <v>680</v>
      </c>
      <c r="AN7" s="187" t="s">
        <v>280</v>
      </c>
      <c r="AO7" s="187" t="s">
        <v>677</v>
      </c>
      <c r="AP7" s="187" t="s">
        <v>678</v>
      </c>
      <c r="AQ7" s="187" t="s">
        <v>679</v>
      </c>
      <c r="AR7" s="187" t="s">
        <v>680</v>
      </c>
      <c r="AS7" s="187" t="s">
        <v>280</v>
      </c>
      <c r="AT7" s="187" t="s">
        <v>680</v>
      </c>
      <c r="AU7" s="188" t="s">
        <v>280</v>
      </c>
      <c r="AV7" s="187" t="s">
        <v>680</v>
      </c>
      <c r="AW7" s="187" t="s">
        <v>280</v>
      </c>
      <c r="AX7" s="186" t="s">
        <v>680</v>
      </c>
      <c r="AY7" s="187" t="s">
        <v>280</v>
      </c>
      <c r="AZ7" s="186" t="s">
        <v>680</v>
      </c>
      <c r="BA7" s="187" t="s">
        <v>280</v>
      </c>
      <c r="BB7" s="186" t="s">
        <v>680</v>
      </c>
      <c r="BC7" s="187" t="s">
        <v>280</v>
      </c>
      <c r="BD7" s="186" t="s">
        <v>680</v>
      </c>
      <c r="BE7" s="187" t="s">
        <v>280</v>
      </c>
      <c r="BF7" s="187" t="s">
        <v>679</v>
      </c>
      <c r="BG7" s="186" t="s">
        <v>680</v>
      </c>
      <c r="BH7" s="187" t="s">
        <v>280</v>
      </c>
      <c r="BI7" s="187" t="s">
        <v>679</v>
      </c>
      <c r="BJ7" s="186" t="s">
        <v>680</v>
      </c>
      <c r="BK7" s="187" t="s">
        <v>280</v>
      </c>
      <c r="BL7" s="186" t="s">
        <v>680</v>
      </c>
      <c r="BM7" s="187" t="s">
        <v>280</v>
      </c>
      <c r="BN7" s="186" t="s">
        <v>680</v>
      </c>
      <c r="BO7" s="187" t="s">
        <v>280</v>
      </c>
      <c r="BP7" s="186" t="s">
        <v>680</v>
      </c>
      <c r="BQ7" s="187" t="s">
        <v>280</v>
      </c>
      <c r="BR7" s="186" t="s">
        <v>680</v>
      </c>
      <c r="BS7" s="187" t="s">
        <v>280</v>
      </c>
      <c r="BT7" s="186" t="s">
        <v>680</v>
      </c>
      <c r="BU7" s="187" t="s">
        <v>280</v>
      </c>
      <c r="BV7" s="186" t="s">
        <v>680</v>
      </c>
      <c r="BW7" s="188" t="s">
        <v>280</v>
      </c>
      <c r="BX7" s="189" t="s">
        <v>677</v>
      </c>
      <c r="BY7" s="190" t="s">
        <v>678</v>
      </c>
      <c r="BZ7" s="190" t="s">
        <v>679</v>
      </c>
      <c r="CA7" s="190" t="s">
        <v>680</v>
      </c>
      <c r="CB7" s="191" t="s">
        <v>280</v>
      </c>
      <c r="CC7" s="192" t="s">
        <v>682</v>
      </c>
      <c r="CD7" s="193" t="s">
        <v>683</v>
      </c>
      <c r="CE7" s="193" t="s">
        <v>282</v>
      </c>
      <c r="CF7" s="194" t="s">
        <v>684</v>
      </c>
      <c r="CG7" s="160"/>
    </row>
    <row r="8" spans="1:85">
      <c r="A8" s="160"/>
      <c r="B8" s="195" t="s">
        <v>685</v>
      </c>
      <c r="C8" s="196" t="s">
        <v>283</v>
      </c>
      <c r="D8" s="197"/>
      <c r="E8" s="198"/>
      <c r="F8" s="198"/>
      <c r="G8" s="198"/>
      <c r="H8" s="198"/>
      <c r="I8" s="198"/>
      <c r="J8" s="198"/>
      <c r="K8" s="198"/>
      <c r="L8" s="198"/>
      <c r="M8" s="198"/>
      <c r="N8" s="198"/>
      <c r="O8" s="199" t="s">
        <v>284</v>
      </c>
      <c r="P8" s="200"/>
      <c r="Q8" s="198"/>
      <c r="R8" s="198"/>
      <c r="S8" s="200"/>
      <c r="T8" s="198"/>
      <c r="U8" s="198"/>
      <c r="V8" s="198"/>
      <c r="W8" s="198"/>
      <c r="X8" s="198"/>
      <c r="Y8" s="198"/>
      <c r="Z8" s="198"/>
      <c r="AA8" s="198"/>
      <c r="AB8" s="198"/>
      <c r="AC8" s="200"/>
      <c r="AD8" s="198"/>
      <c r="AE8" s="198"/>
      <c r="AF8" s="198"/>
      <c r="AG8" s="198"/>
      <c r="AH8" s="200"/>
      <c r="AI8" s="198"/>
      <c r="AJ8" s="198"/>
      <c r="AK8" s="198"/>
      <c r="AL8" s="198"/>
      <c r="AM8" s="198"/>
      <c r="AN8" s="198"/>
      <c r="AO8" s="198"/>
      <c r="AP8" s="198"/>
      <c r="AQ8" s="198"/>
      <c r="AR8" s="200"/>
      <c r="AS8" s="198"/>
      <c r="AT8" s="198"/>
      <c r="AU8" s="201"/>
      <c r="AV8" s="198"/>
      <c r="AW8" s="198"/>
      <c r="AX8" s="200"/>
      <c r="AY8" s="198"/>
      <c r="AZ8" s="198"/>
      <c r="BA8" s="198"/>
      <c r="BB8" s="198"/>
      <c r="BC8" s="198"/>
      <c r="BD8" s="198"/>
      <c r="BE8" s="198"/>
      <c r="BF8" s="198"/>
      <c r="BG8" s="198"/>
      <c r="BH8" s="198"/>
      <c r="BI8" s="198"/>
      <c r="BJ8" s="198"/>
      <c r="BK8" s="198"/>
      <c r="BL8" s="200"/>
      <c r="BM8" s="198"/>
      <c r="BN8" s="198"/>
      <c r="BO8" s="198"/>
      <c r="BP8" s="198"/>
      <c r="BQ8" s="198"/>
      <c r="BR8" s="198"/>
      <c r="BS8" s="198"/>
      <c r="BT8" s="198"/>
      <c r="BU8" s="198"/>
      <c r="BV8" s="198"/>
      <c r="BW8" s="201"/>
      <c r="BX8" s="197"/>
      <c r="BY8" s="198"/>
      <c r="BZ8" s="198"/>
      <c r="CA8" s="198"/>
      <c r="CB8" s="199"/>
      <c r="CC8" s="200"/>
      <c r="CD8" s="198"/>
      <c r="CE8" s="198"/>
      <c r="CF8" s="199"/>
      <c r="CG8" s="160"/>
    </row>
    <row r="9" spans="1:85">
      <c r="A9" s="160"/>
      <c r="B9" s="202"/>
      <c r="C9" s="203" t="s">
        <v>239</v>
      </c>
      <c r="D9" s="204"/>
      <c r="E9" s="205"/>
      <c r="F9" s="205"/>
      <c r="G9" s="205"/>
      <c r="H9" s="205"/>
      <c r="I9" s="205"/>
      <c r="J9" s="205"/>
      <c r="K9" s="205"/>
      <c r="L9" s="205"/>
      <c r="M9" s="205"/>
      <c r="N9" s="205"/>
      <c r="O9" s="206"/>
      <c r="P9" s="207"/>
      <c r="Q9" s="205"/>
      <c r="R9" s="205"/>
      <c r="S9" s="207"/>
      <c r="T9" s="205"/>
      <c r="U9" s="205"/>
      <c r="V9" s="205"/>
      <c r="W9" s="205"/>
      <c r="X9" s="205"/>
      <c r="Y9" s="205"/>
      <c r="Z9" s="205"/>
      <c r="AA9" s="205"/>
      <c r="AB9" s="205"/>
      <c r="AC9" s="207"/>
      <c r="AD9" s="205"/>
      <c r="AE9" s="205"/>
      <c r="AF9" s="205"/>
      <c r="AG9" s="205"/>
      <c r="AH9" s="207"/>
      <c r="AI9" s="205"/>
      <c r="AJ9" s="205"/>
      <c r="AK9" s="205"/>
      <c r="AL9" s="205"/>
      <c r="AM9" s="205"/>
      <c r="AN9" s="205"/>
      <c r="AO9" s="205"/>
      <c r="AP9" s="205"/>
      <c r="AQ9" s="205"/>
      <c r="AR9" s="207"/>
      <c r="AS9" s="205"/>
      <c r="AT9" s="205"/>
      <c r="AU9" s="208"/>
      <c r="AV9" s="205"/>
      <c r="AW9" s="205"/>
      <c r="AX9" s="207"/>
      <c r="AY9" s="205"/>
      <c r="AZ9" s="205"/>
      <c r="BA9" s="205"/>
      <c r="BB9" s="205"/>
      <c r="BC9" s="205"/>
      <c r="BD9" s="205"/>
      <c r="BE9" s="205"/>
      <c r="BF9" s="205"/>
      <c r="BG9" s="205"/>
      <c r="BH9" s="205"/>
      <c r="BI9" s="205"/>
      <c r="BJ9" s="205"/>
      <c r="BK9" s="205"/>
      <c r="BL9" s="207"/>
      <c r="BM9" s="205"/>
      <c r="BN9" s="205"/>
      <c r="BO9" s="205"/>
      <c r="BP9" s="205"/>
      <c r="BQ9" s="205"/>
      <c r="BR9" s="205"/>
      <c r="BS9" s="205"/>
      <c r="BT9" s="205"/>
      <c r="BU9" s="205"/>
      <c r="BV9" s="205"/>
      <c r="BW9" s="208"/>
      <c r="BX9" s="204"/>
      <c r="BY9" s="205"/>
      <c r="BZ9" s="205"/>
      <c r="CA9" s="205"/>
      <c r="CB9" s="206"/>
      <c r="CC9" s="207" t="s">
        <v>284</v>
      </c>
      <c r="CD9" s="205"/>
      <c r="CE9" s="205" t="s">
        <v>284</v>
      </c>
      <c r="CF9" s="206"/>
      <c r="CG9" s="160"/>
    </row>
    <row r="10" spans="1:85">
      <c r="A10" s="160"/>
      <c r="B10" s="202"/>
      <c r="C10" s="203" t="s">
        <v>285</v>
      </c>
      <c r="D10" s="204"/>
      <c r="E10" s="205"/>
      <c r="F10" s="205"/>
      <c r="G10" s="205"/>
      <c r="H10" s="205"/>
      <c r="I10" s="205"/>
      <c r="J10" s="205"/>
      <c r="K10" s="205"/>
      <c r="L10" s="205"/>
      <c r="M10" s="205"/>
      <c r="N10" s="205"/>
      <c r="O10" s="206" t="s">
        <v>284</v>
      </c>
      <c r="P10" s="207"/>
      <c r="Q10" s="205"/>
      <c r="R10" s="205"/>
      <c r="S10" s="207"/>
      <c r="T10" s="205"/>
      <c r="U10" s="205"/>
      <c r="V10" s="205"/>
      <c r="W10" s="205"/>
      <c r="X10" s="205"/>
      <c r="Y10" s="205"/>
      <c r="Z10" s="205"/>
      <c r="AA10" s="205"/>
      <c r="AB10" s="205"/>
      <c r="AC10" s="207"/>
      <c r="AD10" s="205"/>
      <c r="AE10" s="205"/>
      <c r="AF10" s="205"/>
      <c r="AG10" s="205"/>
      <c r="AH10" s="207"/>
      <c r="AI10" s="205"/>
      <c r="AJ10" s="205"/>
      <c r="AK10" s="205"/>
      <c r="AL10" s="205"/>
      <c r="AM10" s="205"/>
      <c r="AN10" s="205"/>
      <c r="AO10" s="205"/>
      <c r="AP10" s="205"/>
      <c r="AQ10" s="205"/>
      <c r="AR10" s="207"/>
      <c r="AS10" s="205"/>
      <c r="AT10" s="205"/>
      <c r="AU10" s="208"/>
      <c r="AV10" s="205"/>
      <c r="AW10" s="205"/>
      <c r="AX10" s="207"/>
      <c r="AY10" s="205"/>
      <c r="AZ10" s="205"/>
      <c r="BA10" s="205"/>
      <c r="BB10" s="205"/>
      <c r="BC10" s="205"/>
      <c r="BD10" s="205"/>
      <c r="BE10" s="205"/>
      <c r="BF10" s="205"/>
      <c r="BG10" s="205"/>
      <c r="BH10" s="205"/>
      <c r="BI10" s="205"/>
      <c r="BJ10" s="205"/>
      <c r="BK10" s="205"/>
      <c r="BL10" s="207"/>
      <c r="BM10" s="205"/>
      <c r="BN10" s="205"/>
      <c r="BO10" s="205"/>
      <c r="BP10" s="205"/>
      <c r="BQ10" s="205"/>
      <c r="BR10" s="205"/>
      <c r="BS10" s="205"/>
      <c r="BT10" s="205"/>
      <c r="BU10" s="205"/>
      <c r="BV10" s="205"/>
      <c r="BW10" s="208"/>
      <c r="BX10" s="204"/>
      <c r="BY10" s="205"/>
      <c r="BZ10" s="205"/>
      <c r="CA10" s="205"/>
      <c r="CB10" s="206"/>
      <c r="CC10" s="207" t="s">
        <v>284</v>
      </c>
      <c r="CD10" s="205"/>
      <c r="CE10" s="205" t="s">
        <v>284</v>
      </c>
      <c r="CF10" s="206"/>
      <c r="CG10" s="160"/>
    </row>
    <row r="11" spans="1:85">
      <c r="A11" s="160"/>
      <c r="B11" s="202"/>
      <c r="C11" s="203" t="s">
        <v>286</v>
      </c>
      <c r="D11" s="204"/>
      <c r="E11" s="205"/>
      <c r="F11" s="205"/>
      <c r="G11" s="205"/>
      <c r="H11" s="205"/>
      <c r="I11" s="205"/>
      <c r="J11" s="205"/>
      <c r="K11" s="205"/>
      <c r="L11" s="205"/>
      <c r="M11" s="205"/>
      <c r="N11" s="205" t="s">
        <v>284</v>
      </c>
      <c r="O11" s="206"/>
      <c r="P11" s="207"/>
      <c r="Q11" s="205"/>
      <c r="R11" s="205"/>
      <c r="S11" s="207"/>
      <c r="T11" s="205"/>
      <c r="U11" s="205"/>
      <c r="V11" s="205"/>
      <c r="W11" s="205"/>
      <c r="X11" s="205"/>
      <c r="Y11" s="205"/>
      <c r="Z11" s="205"/>
      <c r="AA11" s="205"/>
      <c r="AB11" s="205"/>
      <c r="AC11" s="207"/>
      <c r="AD11" s="205"/>
      <c r="AE11" s="205"/>
      <c r="AF11" s="205"/>
      <c r="AG11" s="205"/>
      <c r="AH11" s="207"/>
      <c r="AI11" s="205"/>
      <c r="AJ11" s="205"/>
      <c r="AK11" s="205"/>
      <c r="AL11" s="205"/>
      <c r="AM11" s="205"/>
      <c r="AN11" s="205"/>
      <c r="AO11" s="205"/>
      <c r="AP11" s="205"/>
      <c r="AQ11" s="205"/>
      <c r="AR11" s="207"/>
      <c r="AS11" s="205"/>
      <c r="AT11" s="205"/>
      <c r="AU11" s="208"/>
      <c r="AV11" s="205"/>
      <c r="AW11" s="205"/>
      <c r="AX11" s="207"/>
      <c r="AY11" s="205"/>
      <c r="AZ11" s="205"/>
      <c r="BA11" s="205"/>
      <c r="BB11" s="205"/>
      <c r="BC11" s="205"/>
      <c r="BD11" s="205"/>
      <c r="BE11" s="205"/>
      <c r="BF11" s="205"/>
      <c r="BG11" s="205"/>
      <c r="BH11" s="205"/>
      <c r="BI11" s="205"/>
      <c r="BJ11" s="205"/>
      <c r="BK11" s="205"/>
      <c r="BL11" s="207"/>
      <c r="BM11" s="205"/>
      <c r="BN11" s="205"/>
      <c r="BO11" s="205"/>
      <c r="BP11" s="205"/>
      <c r="BQ11" s="205"/>
      <c r="BR11" s="205"/>
      <c r="BS11" s="205"/>
      <c r="BT11" s="205"/>
      <c r="BU11" s="205"/>
      <c r="BV11" s="205"/>
      <c r="BW11" s="208"/>
      <c r="BX11" s="204"/>
      <c r="BY11" s="205"/>
      <c r="BZ11" s="205"/>
      <c r="CA11" s="205"/>
      <c r="CB11" s="206"/>
      <c r="CC11" s="207"/>
      <c r="CD11" s="205"/>
      <c r="CE11" s="205"/>
      <c r="CF11" s="206"/>
      <c r="CG11" s="160"/>
    </row>
    <row r="12" spans="1:85">
      <c r="A12" s="160"/>
      <c r="B12" s="202"/>
      <c r="C12" s="203" t="s">
        <v>287</v>
      </c>
      <c r="D12" s="204"/>
      <c r="E12" s="205"/>
      <c r="F12" s="205"/>
      <c r="G12" s="205"/>
      <c r="H12" s="205"/>
      <c r="I12" s="205"/>
      <c r="J12" s="205"/>
      <c r="K12" s="205"/>
      <c r="L12" s="205"/>
      <c r="M12" s="205"/>
      <c r="N12" s="205" t="s">
        <v>284</v>
      </c>
      <c r="O12" s="206"/>
      <c r="P12" s="207"/>
      <c r="Q12" s="205"/>
      <c r="R12" s="205"/>
      <c r="S12" s="207"/>
      <c r="T12" s="205"/>
      <c r="U12" s="205"/>
      <c r="V12" s="205"/>
      <c r="W12" s="205"/>
      <c r="X12" s="205"/>
      <c r="Y12" s="205"/>
      <c r="Z12" s="205"/>
      <c r="AA12" s="205"/>
      <c r="AB12" s="205"/>
      <c r="AC12" s="207"/>
      <c r="AD12" s="205"/>
      <c r="AE12" s="205"/>
      <c r="AF12" s="205"/>
      <c r="AG12" s="205"/>
      <c r="AH12" s="207"/>
      <c r="AI12" s="205"/>
      <c r="AJ12" s="205"/>
      <c r="AK12" s="205"/>
      <c r="AL12" s="205"/>
      <c r="AM12" s="205"/>
      <c r="AN12" s="205"/>
      <c r="AO12" s="205"/>
      <c r="AP12" s="205"/>
      <c r="AQ12" s="205"/>
      <c r="AR12" s="207"/>
      <c r="AS12" s="205"/>
      <c r="AT12" s="205"/>
      <c r="AU12" s="208"/>
      <c r="AV12" s="205"/>
      <c r="AW12" s="205"/>
      <c r="AX12" s="207"/>
      <c r="AY12" s="205"/>
      <c r="AZ12" s="205"/>
      <c r="BA12" s="205"/>
      <c r="BB12" s="205"/>
      <c r="BC12" s="205"/>
      <c r="BD12" s="205"/>
      <c r="BE12" s="205"/>
      <c r="BF12" s="205"/>
      <c r="BG12" s="205"/>
      <c r="BH12" s="205"/>
      <c r="BI12" s="205"/>
      <c r="BJ12" s="205"/>
      <c r="BK12" s="205"/>
      <c r="BL12" s="207"/>
      <c r="BM12" s="205"/>
      <c r="BN12" s="205"/>
      <c r="BO12" s="205"/>
      <c r="BP12" s="205"/>
      <c r="BQ12" s="205"/>
      <c r="BR12" s="205"/>
      <c r="BS12" s="205"/>
      <c r="BT12" s="205"/>
      <c r="BU12" s="205"/>
      <c r="BV12" s="205"/>
      <c r="BW12" s="208"/>
      <c r="BX12" s="204"/>
      <c r="BY12" s="205"/>
      <c r="BZ12" s="205"/>
      <c r="CA12" s="205"/>
      <c r="CB12" s="206"/>
      <c r="CC12" s="207"/>
      <c r="CD12" s="205"/>
      <c r="CE12" s="205"/>
      <c r="CF12" s="206"/>
      <c r="CG12" s="160"/>
    </row>
    <row r="13" spans="1:85">
      <c r="A13" s="160"/>
      <c r="B13" s="202"/>
      <c r="C13" s="203" t="s">
        <v>288</v>
      </c>
      <c r="D13" s="204"/>
      <c r="E13" s="205"/>
      <c r="F13" s="205"/>
      <c r="G13" s="205"/>
      <c r="H13" s="205"/>
      <c r="I13" s="205"/>
      <c r="J13" s="205"/>
      <c r="K13" s="205"/>
      <c r="L13" s="205"/>
      <c r="M13" s="205"/>
      <c r="N13" s="205" t="s">
        <v>284</v>
      </c>
      <c r="O13" s="206" t="s">
        <v>284</v>
      </c>
      <c r="P13" s="207"/>
      <c r="Q13" s="205"/>
      <c r="R13" s="205"/>
      <c r="S13" s="207"/>
      <c r="T13" s="205"/>
      <c r="U13" s="205"/>
      <c r="V13" s="205"/>
      <c r="W13" s="205"/>
      <c r="X13" s="205"/>
      <c r="Y13" s="205"/>
      <c r="Z13" s="205"/>
      <c r="AA13" s="205"/>
      <c r="AB13" s="205"/>
      <c r="AC13" s="207"/>
      <c r="AD13" s="205"/>
      <c r="AE13" s="205"/>
      <c r="AF13" s="205"/>
      <c r="AG13" s="205"/>
      <c r="AH13" s="207"/>
      <c r="AI13" s="205"/>
      <c r="AJ13" s="205"/>
      <c r="AK13" s="205"/>
      <c r="AL13" s="205"/>
      <c r="AM13" s="205"/>
      <c r="AN13" s="205"/>
      <c r="AO13" s="205"/>
      <c r="AP13" s="205"/>
      <c r="AQ13" s="205"/>
      <c r="AR13" s="207"/>
      <c r="AS13" s="205"/>
      <c r="AT13" s="205"/>
      <c r="AU13" s="208"/>
      <c r="AV13" s="205"/>
      <c r="AW13" s="205"/>
      <c r="AX13" s="207"/>
      <c r="AY13" s="205"/>
      <c r="AZ13" s="205"/>
      <c r="BA13" s="205"/>
      <c r="BB13" s="205"/>
      <c r="BC13" s="205"/>
      <c r="BD13" s="205"/>
      <c r="BE13" s="205"/>
      <c r="BF13" s="205"/>
      <c r="BG13" s="205"/>
      <c r="BH13" s="205"/>
      <c r="BI13" s="205"/>
      <c r="BJ13" s="205"/>
      <c r="BK13" s="205"/>
      <c r="BL13" s="207"/>
      <c r="BM13" s="205"/>
      <c r="BN13" s="205"/>
      <c r="BO13" s="205"/>
      <c r="BP13" s="205"/>
      <c r="BQ13" s="205"/>
      <c r="BR13" s="205"/>
      <c r="BS13" s="205"/>
      <c r="BT13" s="205"/>
      <c r="BU13" s="205"/>
      <c r="BV13" s="205"/>
      <c r="BW13" s="208"/>
      <c r="BX13" s="204"/>
      <c r="BY13" s="205"/>
      <c r="BZ13" s="205"/>
      <c r="CA13" s="205"/>
      <c r="CB13" s="206"/>
      <c r="CC13" s="207"/>
      <c r="CD13" s="205"/>
      <c r="CE13" s="205"/>
      <c r="CF13" s="206"/>
      <c r="CG13" s="160"/>
    </row>
    <row r="14" spans="1:85">
      <c r="A14" s="160"/>
      <c r="B14" s="202"/>
      <c r="C14" s="203" t="s">
        <v>289</v>
      </c>
      <c r="D14" s="204"/>
      <c r="E14" s="205"/>
      <c r="F14" s="205"/>
      <c r="G14" s="205"/>
      <c r="H14" s="205"/>
      <c r="I14" s="205"/>
      <c r="J14" s="205"/>
      <c r="K14" s="205"/>
      <c r="L14" s="205"/>
      <c r="M14" s="205"/>
      <c r="N14" s="205" t="s">
        <v>284</v>
      </c>
      <c r="O14" s="206" t="s">
        <v>284</v>
      </c>
      <c r="P14" s="207"/>
      <c r="Q14" s="205"/>
      <c r="R14" s="205"/>
      <c r="S14" s="207"/>
      <c r="T14" s="205"/>
      <c r="U14" s="205"/>
      <c r="V14" s="205"/>
      <c r="W14" s="205"/>
      <c r="X14" s="205"/>
      <c r="Y14" s="205"/>
      <c r="Z14" s="205"/>
      <c r="AA14" s="205"/>
      <c r="AB14" s="205"/>
      <c r="AC14" s="207"/>
      <c r="AD14" s="205"/>
      <c r="AE14" s="205"/>
      <c r="AF14" s="205"/>
      <c r="AG14" s="205"/>
      <c r="AH14" s="207"/>
      <c r="AI14" s="205"/>
      <c r="AJ14" s="205"/>
      <c r="AK14" s="205"/>
      <c r="AL14" s="205"/>
      <c r="AM14" s="205"/>
      <c r="AN14" s="205"/>
      <c r="AO14" s="205"/>
      <c r="AP14" s="205"/>
      <c r="AQ14" s="205"/>
      <c r="AR14" s="207"/>
      <c r="AS14" s="205"/>
      <c r="AT14" s="205"/>
      <c r="AU14" s="208"/>
      <c r="AV14" s="205"/>
      <c r="AW14" s="205"/>
      <c r="AX14" s="207"/>
      <c r="AY14" s="205"/>
      <c r="AZ14" s="205"/>
      <c r="BA14" s="205"/>
      <c r="BB14" s="205"/>
      <c r="BC14" s="205"/>
      <c r="BD14" s="205"/>
      <c r="BE14" s="205"/>
      <c r="BF14" s="205"/>
      <c r="BG14" s="205"/>
      <c r="BH14" s="205"/>
      <c r="BI14" s="205"/>
      <c r="BJ14" s="205"/>
      <c r="BK14" s="205"/>
      <c r="BL14" s="207"/>
      <c r="BM14" s="205"/>
      <c r="BN14" s="205"/>
      <c r="BO14" s="205"/>
      <c r="BP14" s="205"/>
      <c r="BQ14" s="205"/>
      <c r="BR14" s="205"/>
      <c r="BS14" s="205"/>
      <c r="BT14" s="205"/>
      <c r="BU14" s="205"/>
      <c r="BV14" s="205"/>
      <c r="BW14" s="208"/>
      <c r="BX14" s="204"/>
      <c r="BY14" s="205"/>
      <c r="BZ14" s="205"/>
      <c r="CA14" s="205"/>
      <c r="CB14" s="206"/>
      <c r="CC14" s="207"/>
      <c r="CD14" s="205"/>
      <c r="CE14" s="205"/>
      <c r="CF14" s="206"/>
      <c r="CG14" s="160"/>
    </row>
    <row r="15" spans="1:85">
      <c r="A15" s="160"/>
      <c r="B15" s="202"/>
      <c r="C15" s="203" t="s">
        <v>290</v>
      </c>
      <c r="D15" s="204"/>
      <c r="E15" s="205"/>
      <c r="F15" s="205"/>
      <c r="G15" s="205"/>
      <c r="H15" s="205"/>
      <c r="I15" s="205"/>
      <c r="J15" s="205"/>
      <c r="K15" s="205"/>
      <c r="L15" s="205"/>
      <c r="M15" s="205"/>
      <c r="N15" s="205" t="s">
        <v>284</v>
      </c>
      <c r="O15" s="206"/>
      <c r="P15" s="207"/>
      <c r="Q15" s="205"/>
      <c r="R15" s="205"/>
      <c r="S15" s="207"/>
      <c r="T15" s="205"/>
      <c r="U15" s="205"/>
      <c r="V15" s="205"/>
      <c r="W15" s="205"/>
      <c r="X15" s="205"/>
      <c r="Y15" s="205"/>
      <c r="Z15" s="205"/>
      <c r="AA15" s="205"/>
      <c r="AB15" s="205"/>
      <c r="AC15" s="207"/>
      <c r="AD15" s="205"/>
      <c r="AE15" s="205"/>
      <c r="AF15" s="205"/>
      <c r="AG15" s="205"/>
      <c r="AH15" s="207"/>
      <c r="AI15" s="205"/>
      <c r="AJ15" s="205"/>
      <c r="AK15" s="205"/>
      <c r="AL15" s="205"/>
      <c r="AM15" s="205"/>
      <c r="AN15" s="205"/>
      <c r="AO15" s="205"/>
      <c r="AP15" s="205"/>
      <c r="AQ15" s="205"/>
      <c r="AR15" s="207"/>
      <c r="AS15" s="205"/>
      <c r="AT15" s="205"/>
      <c r="AU15" s="208"/>
      <c r="AV15" s="205"/>
      <c r="AW15" s="205"/>
      <c r="AX15" s="207"/>
      <c r="AY15" s="205"/>
      <c r="AZ15" s="205"/>
      <c r="BA15" s="205"/>
      <c r="BB15" s="205"/>
      <c r="BC15" s="205"/>
      <c r="BD15" s="205"/>
      <c r="BE15" s="205"/>
      <c r="BF15" s="205"/>
      <c r="BG15" s="205"/>
      <c r="BH15" s="205"/>
      <c r="BI15" s="205"/>
      <c r="BJ15" s="205"/>
      <c r="BK15" s="205"/>
      <c r="BL15" s="207"/>
      <c r="BM15" s="205"/>
      <c r="BN15" s="205"/>
      <c r="BO15" s="205"/>
      <c r="BP15" s="205"/>
      <c r="BQ15" s="205"/>
      <c r="BR15" s="205"/>
      <c r="BS15" s="205"/>
      <c r="BT15" s="205"/>
      <c r="BU15" s="205"/>
      <c r="BV15" s="205"/>
      <c r="BW15" s="208"/>
      <c r="BX15" s="204"/>
      <c r="BY15" s="205"/>
      <c r="BZ15" s="205"/>
      <c r="CA15" s="205"/>
      <c r="CB15" s="206"/>
      <c r="CC15" s="207" t="s">
        <v>284</v>
      </c>
      <c r="CD15" s="205"/>
      <c r="CE15" s="205" t="s">
        <v>284</v>
      </c>
      <c r="CF15" s="206"/>
      <c r="CG15" s="160"/>
    </row>
    <row r="16" spans="1:85">
      <c r="A16" s="160"/>
      <c r="B16" s="202"/>
      <c r="C16" s="203" t="s">
        <v>291</v>
      </c>
      <c r="D16" s="204"/>
      <c r="E16" s="205"/>
      <c r="F16" s="205"/>
      <c r="G16" s="205"/>
      <c r="H16" s="205"/>
      <c r="I16" s="205"/>
      <c r="J16" s="205"/>
      <c r="K16" s="205"/>
      <c r="L16" s="205"/>
      <c r="M16" s="205"/>
      <c r="N16" s="205" t="s">
        <v>284</v>
      </c>
      <c r="O16" s="206"/>
      <c r="P16" s="207"/>
      <c r="Q16" s="205"/>
      <c r="R16" s="205"/>
      <c r="S16" s="207"/>
      <c r="T16" s="205"/>
      <c r="U16" s="205"/>
      <c r="V16" s="205"/>
      <c r="W16" s="205"/>
      <c r="X16" s="205"/>
      <c r="Y16" s="205"/>
      <c r="Z16" s="205"/>
      <c r="AA16" s="205"/>
      <c r="AB16" s="205"/>
      <c r="AC16" s="207"/>
      <c r="AD16" s="205"/>
      <c r="AE16" s="205"/>
      <c r="AF16" s="205"/>
      <c r="AG16" s="205"/>
      <c r="AH16" s="207"/>
      <c r="AI16" s="205"/>
      <c r="AJ16" s="205"/>
      <c r="AK16" s="205"/>
      <c r="AL16" s="205"/>
      <c r="AM16" s="205"/>
      <c r="AN16" s="205"/>
      <c r="AO16" s="205"/>
      <c r="AP16" s="205"/>
      <c r="AQ16" s="205"/>
      <c r="AR16" s="207"/>
      <c r="AS16" s="205"/>
      <c r="AT16" s="205"/>
      <c r="AU16" s="208"/>
      <c r="AV16" s="205"/>
      <c r="AW16" s="205"/>
      <c r="AX16" s="207"/>
      <c r="AY16" s="205"/>
      <c r="AZ16" s="205"/>
      <c r="BA16" s="205"/>
      <c r="BB16" s="205"/>
      <c r="BC16" s="205"/>
      <c r="BD16" s="205"/>
      <c r="BE16" s="205"/>
      <c r="BF16" s="205"/>
      <c r="BG16" s="205"/>
      <c r="BH16" s="205"/>
      <c r="BI16" s="205"/>
      <c r="BJ16" s="205"/>
      <c r="BK16" s="205"/>
      <c r="BL16" s="207"/>
      <c r="BM16" s="205"/>
      <c r="BN16" s="205"/>
      <c r="BO16" s="205"/>
      <c r="BP16" s="205"/>
      <c r="BQ16" s="205"/>
      <c r="BR16" s="205"/>
      <c r="BS16" s="205"/>
      <c r="BT16" s="205"/>
      <c r="BU16" s="205"/>
      <c r="BV16" s="205"/>
      <c r="BW16" s="208"/>
      <c r="BX16" s="204"/>
      <c r="BY16" s="205"/>
      <c r="BZ16" s="205"/>
      <c r="CA16" s="205"/>
      <c r="CB16" s="206"/>
      <c r="CC16" s="207" t="s">
        <v>284</v>
      </c>
      <c r="CD16" s="205"/>
      <c r="CE16" s="205" t="s">
        <v>284</v>
      </c>
      <c r="CF16" s="206"/>
      <c r="CG16" s="160"/>
    </row>
    <row r="17" spans="1:85">
      <c r="A17" s="160"/>
      <c r="B17" s="202"/>
      <c r="C17" s="203" t="s">
        <v>292</v>
      </c>
      <c r="D17" s="204"/>
      <c r="E17" s="205"/>
      <c r="F17" s="205"/>
      <c r="G17" s="205"/>
      <c r="H17" s="205"/>
      <c r="I17" s="205"/>
      <c r="J17" s="205"/>
      <c r="K17" s="205"/>
      <c r="L17" s="205"/>
      <c r="M17" s="205"/>
      <c r="N17" s="205" t="s">
        <v>284</v>
      </c>
      <c r="O17" s="206" t="s">
        <v>284</v>
      </c>
      <c r="P17" s="207"/>
      <c r="Q17" s="205"/>
      <c r="R17" s="205"/>
      <c r="S17" s="207"/>
      <c r="T17" s="205"/>
      <c r="U17" s="205"/>
      <c r="V17" s="205"/>
      <c r="W17" s="205"/>
      <c r="X17" s="205"/>
      <c r="Y17" s="205"/>
      <c r="Z17" s="205"/>
      <c r="AA17" s="205"/>
      <c r="AB17" s="205"/>
      <c r="AC17" s="207"/>
      <c r="AD17" s="205"/>
      <c r="AE17" s="205"/>
      <c r="AF17" s="205"/>
      <c r="AG17" s="205"/>
      <c r="AH17" s="207"/>
      <c r="AI17" s="205"/>
      <c r="AJ17" s="205"/>
      <c r="AK17" s="205"/>
      <c r="AL17" s="205"/>
      <c r="AM17" s="205"/>
      <c r="AN17" s="205"/>
      <c r="AO17" s="205"/>
      <c r="AP17" s="205"/>
      <c r="AQ17" s="205"/>
      <c r="AR17" s="207"/>
      <c r="AS17" s="205"/>
      <c r="AT17" s="205"/>
      <c r="AU17" s="208"/>
      <c r="AV17" s="205"/>
      <c r="AW17" s="205"/>
      <c r="AX17" s="207"/>
      <c r="AY17" s="205"/>
      <c r="AZ17" s="205"/>
      <c r="BA17" s="205"/>
      <c r="BB17" s="205"/>
      <c r="BC17" s="205"/>
      <c r="BD17" s="205"/>
      <c r="BE17" s="205"/>
      <c r="BF17" s="205"/>
      <c r="BG17" s="205"/>
      <c r="BH17" s="205"/>
      <c r="BI17" s="205"/>
      <c r="BJ17" s="205"/>
      <c r="BK17" s="205"/>
      <c r="BL17" s="207"/>
      <c r="BM17" s="205"/>
      <c r="BN17" s="205"/>
      <c r="BO17" s="205"/>
      <c r="BP17" s="205"/>
      <c r="BQ17" s="205"/>
      <c r="BR17" s="205"/>
      <c r="BS17" s="205"/>
      <c r="BT17" s="205"/>
      <c r="BU17" s="205"/>
      <c r="BV17" s="205"/>
      <c r="BW17" s="208"/>
      <c r="BX17" s="204"/>
      <c r="BY17" s="205"/>
      <c r="BZ17" s="205"/>
      <c r="CA17" s="205"/>
      <c r="CB17" s="206"/>
      <c r="CC17" s="207" t="s">
        <v>284</v>
      </c>
      <c r="CD17" s="205"/>
      <c r="CE17" s="205" t="s">
        <v>284</v>
      </c>
      <c r="CF17" s="206"/>
      <c r="CG17" s="160"/>
    </row>
    <row r="18" spans="1:85">
      <c r="A18" s="160"/>
      <c r="B18" s="202"/>
      <c r="C18" s="203" t="s">
        <v>293</v>
      </c>
      <c r="D18" s="204"/>
      <c r="E18" s="205"/>
      <c r="F18" s="205"/>
      <c r="G18" s="205"/>
      <c r="H18" s="205"/>
      <c r="I18" s="205"/>
      <c r="J18" s="205"/>
      <c r="K18" s="205"/>
      <c r="L18" s="205"/>
      <c r="M18" s="205"/>
      <c r="N18" s="205" t="s">
        <v>284</v>
      </c>
      <c r="O18" s="206" t="s">
        <v>284</v>
      </c>
      <c r="P18" s="207"/>
      <c r="Q18" s="205"/>
      <c r="R18" s="205"/>
      <c r="S18" s="207"/>
      <c r="T18" s="205"/>
      <c r="U18" s="205"/>
      <c r="V18" s="205"/>
      <c r="W18" s="205"/>
      <c r="X18" s="205"/>
      <c r="Y18" s="205"/>
      <c r="Z18" s="205"/>
      <c r="AA18" s="205"/>
      <c r="AB18" s="205"/>
      <c r="AC18" s="207"/>
      <c r="AD18" s="205"/>
      <c r="AE18" s="205"/>
      <c r="AF18" s="205"/>
      <c r="AG18" s="205"/>
      <c r="AH18" s="207"/>
      <c r="AI18" s="205"/>
      <c r="AJ18" s="205"/>
      <c r="AK18" s="205"/>
      <c r="AL18" s="205"/>
      <c r="AM18" s="205"/>
      <c r="AN18" s="205"/>
      <c r="AO18" s="205"/>
      <c r="AP18" s="205"/>
      <c r="AQ18" s="205"/>
      <c r="AR18" s="207"/>
      <c r="AS18" s="205"/>
      <c r="AT18" s="205"/>
      <c r="AU18" s="208"/>
      <c r="AV18" s="205"/>
      <c r="AW18" s="205"/>
      <c r="AX18" s="207"/>
      <c r="AY18" s="205"/>
      <c r="AZ18" s="205"/>
      <c r="BA18" s="205"/>
      <c r="BB18" s="205"/>
      <c r="BC18" s="205"/>
      <c r="BD18" s="205"/>
      <c r="BE18" s="205"/>
      <c r="BF18" s="205"/>
      <c r="BG18" s="205"/>
      <c r="BH18" s="205"/>
      <c r="BI18" s="205"/>
      <c r="BJ18" s="205"/>
      <c r="BK18" s="205"/>
      <c r="BL18" s="207"/>
      <c r="BM18" s="205"/>
      <c r="BN18" s="205"/>
      <c r="BO18" s="205"/>
      <c r="BP18" s="205"/>
      <c r="BQ18" s="205"/>
      <c r="BR18" s="205"/>
      <c r="BS18" s="205"/>
      <c r="BT18" s="205"/>
      <c r="BU18" s="205"/>
      <c r="BV18" s="205"/>
      <c r="BW18" s="208"/>
      <c r="BX18" s="204"/>
      <c r="BY18" s="205"/>
      <c r="BZ18" s="205"/>
      <c r="CA18" s="205"/>
      <c r="CB18" s="206"/>
      <c r="CC18" s="207" t="s">
        <v>284</v>
      </c>
      <c r="CD18" s="205"/>
      <c r="CE18" s="205" t="s">
        <v>284</v>
      </c>
      <c r="CF18" s="206"/>
      <c r="CG18" s="160"/>
    </row>
    <row r="19" spans="1:85">
      <c r="A19" s="160"/>
      <c r="B19" s="202"/>
      <c r="C19" s="203" t="s">
        <v>243</v>
      </c>
      <c r="D19" s="204"/>
      <c r="E19" s="205"/>
      <c r="F19" s="205"/>
      <c r="G19" s="205"/>
      <c r="H19" s="205"/>
      <c r="I19" s="205"/>
      <c r="J19" s="205" t="s">
        <v>284</v>
      </c>
      <c r="K19" s="205" t="s">
        <v>284</v>
      </c>
      <c r="L19" s="205" t="s">
        <v>284</v>
      </c>
      <c r="M19" s="205" t="s">
        <v>284</v>
      </c>
      <c r="N19" s="205"/>
      <c r="O19" s="206"/>
      <c r="P19" s="207"/>
      <c r="Q19" s="205"/>
      <c r="R19" s="205"/>
      <c r="S19" s="207"/>
      <c r="T19" s="205"/>
      <c r="U19" s="205"/>
      <c r="V19" s="205"/>
      <c r="W19" s="205"/>
      <c r="X19" s="205"/>
      <c r="Y19" s="205"/>
      <c r="Z19" s="205"/>
      <c r="AA19" s="205"/>
      <c r="AB19" s="205"/>
      <c r="AC19" s="207"/>
      <c r="AD19" s="205"/>
      <c r="AE19" s="205"/>
      <c r="AF19" s="205"/>
      <c r="AG19" s="205"/>
      <c r="AH19" s="207"/>
      <c r="AI19" s="205"/>
      <c r="AJ19" s="205"/>
      <c r="AK19" s="205"/>
      <c r="AL19" s="205"/>
      <c r="AM19" s="205"/>
      <c r="AN19" s="205"/>
      <c r="AO19" s="205"/>
      <c r="AP19" s="205"/>
      <c r="AQ19" s="205"/>
      <c r="AR19" s="207"/>
      <c r="AS19" s="205"/>
      <c r="AT19" s="205"/>
      <c r="AU19" s="208"/>
      <c r="AV19" s="205"/>
      <c r="AW19" s="205"/>
      <c r="AX19" s="207"/>
      <c r="AY19" s="205"/>
      <c r="AZ19" s="205"/>
      <c r="BA19" s="205"/>
      <c r="BB19" s="205"/>
      <c r="BC19" s="205"/>
      <c r="BD19" s="205"/>
      <c r="BE19" s="205"/>
      <c r="BF19" s="205"/>
      <c r="BG19" s="205"/>
      <c r="BH19" s="205"/>
      <c r="BI19" s="205"/>
      <c r="BJ19" s="205"/>
      <c r="BK19" s="205"/>
      <c r="BL19" s="207"/>
      <c r="BM19" s="205"/>
      <c r="BN19" s="205"/>
      <c r="BO19" s="205"/>
      <c r="BP19" s="205"/>
      <c r="BQ19" s="205"/>
      <c r="BR19" s="205"/>
      <c r="BS19" s="205"/>
      <c r="BT19" s="205"/>
      <c r="BU19" s="205"/>
      <c r="BV19" s="205"/>
      <c r="BW19" s="208"/>
      <c r="BX19" s="204"/>
      <c r="BY19" s="205"/>
      <c r="BZ19" s="205"/>
      <c r="CA19" s="205"/>
      <c r="CB19" s="206"/>
      <c r="CC19" s="207"/>
      <c r="CD19" s="205"/>
      <c r="CE19" s="205"/>
      <c r="CF19" s="206"/>
      <c r="CG19" s="160"/>
    </row>
    <row r="20" spans="1:85">
      <c r="A20" s="160"/>
      <c r="B20" s="202"/>
      <c r="C20" s="203" t="s">
        <v>249</v>
      </c>
      <c r="D20" s="204"/>
      <c r="E20" s="205"/>
      <c r="F20" s="205"/>
      <c r="G20" s="205"/>
      <c r="H20" s="205"/>
      <c r="I20" s="205"/>
      <c r="J20" s="205" t="s">
        <v>284</v>
      </c>
      <c r="K20" s="205" t="s">
        <v>284</v>
      </c>
      <c r="L20" s="205" t="s">
        <v>284</v>
      </c>
      <c r="M20" s="205" t="s">
        <v>284</v>
      </c>
      <c r="N20" s="205"/>
      <c r="O20" s="206"/>
      <c r="P20" s="207"/>
      <c r="Q20" s="205"/>
      <c r="R20" s="205"/>
      <c r="S20" s="207"/>
      <c r="T20" s="205"/>
      <c r="U20" s="205"/>
      <c r="V20" s="205"/>
      <c r="W20" s="205"/>
      <c r="X20" s="205"/>
      <c r="Y20" s="205"/>
      <c r="Z20" s="205"/>
      <c r="AA20" s="205"/>
      <c r="AB20" s="205"/>
      <c r="AC20" s="207"/>
      <c r="AD20" s="205"/>
      <c r="AE20" s="205"/>
      <c r="AF20" s="205"/>
      <c r="AG20" s="205"/>
      <c r="AH20" s="207"/>
      <c r="AI20" s="205"/>
      <c r="AJ20" s="205"/>
      <c r="AK20" s="205"/>
      <c r="AL20" s="205"/>
      <c r="AM20" s="205"/>
      <c r="AN20" s="205"/>
      <c r="AO20" s="205"/>
      <c r="AP20" s="205"/>
      <c r="AQ20" s="205"/>
      <c r="AR20" s="207"/>
      <c r="AS20" s="205"/>
      <c r="AT20" s="205"/>
      <c r="AU20" s="208"/>
      <c r="AV20" s="205"/>
      <c r="AW20" s="205"/>
      <c r="AX20" s="207"/>
      <c r="AY20" s="205"/>
      <c r="AZ20" s="205"/>
      <c r="BA20" s="205"/>
      <c r="BB20" s="205"/>
      <c r="BC20" s="205"/>
      <c r="BD20" s="205"/>
      <c r="BE20" s="205"/>
      <c r="BF20" s="205"/>
      <c r="BG20" s="205"/>
      <c r="BH20" s="205"/>
      <c r="BI20" s="205"/>
      <c r="BJ20" s="205"/>
      <c r="BK20" s="205"/>
      <c r="BL20" s="207"/>
      <c r="BM20" s="205"/>
      <c r="BN20" s="205"/>
      <c r="BO20" s="205"/>
      <c r="BP20" s="205"/>
      <c r="BQ20" s="205"/>
      <c r="BR20" s="205"/>
      <c r="BS20" s="205"/>
      <c r="BT20" s="205"/>
      <c r="BU20" s="205"/>
      <c r="BV20" s="205"/>
      <c r="BW20" s="208"/>
      <c r="BX20" s="204"/>
      <c r="BY20" s="205"/>
      <c r="BZ20" s="205"/>
      <c r="CA20" s="205"/>
      <c r="CB20" s="206"/>
      <c r="CC20" s="207" t="s">
        <v>284</v>
      </c>
      <c r="CD20" s="205"/>
      <c r="CE20" s="205"/>
      <c r="CF20" s="206"/>
      <c r="CG20" s="160"/>
    </row>
    <row r="21" spans="1:85">
      <c r="A21" s="160"/>
      <c r="B21" s="202"/>
      <c r="C21" s="203" t="s">
        <v>294</v>
      </c>
      <c r="D21" s="204"/>
      <c r="E21" s="205"/>
      <c r="F21" s="205"/>
      <c r="G21" s="205"/>
      <c r="H21" s="205"/>
      <c r="I21" s="205"/>
      <c r="J21" s="205" t="s">
        <v>284</v>
      </c>
      <c r="K21" s="205" t="s">
        <v>284</v>
      </c>
      <c r="L21" s="205" t="s">
        <v>284</v>
      </c>
      <c r="M21" s="205" t="s">
        <v>284</v>
      </c>
      <c r="N21" s="205"/>
      <c r="O21" s="206" t="s">
        <v>284</v>
      </c>
      <c r="P21" s="207"/>
      <c r="Q21" s="205"/>
      <c r="R21" s="205"/>
      <c r="S21" s="207"/>
      <c r="T21" s="205"/>
      <c r="U21" s="205"/>
      <c r="V21" s="205"/>
      <c r="W21" s="205"/>
      <c r="X21" s="205"/>
      <c r="Y21" s="205"/>
      <c r="Z21" s="205"/>
      <c r="AA21" s="205"/>
      <c r="AB21" s="205"/>
      <c r="AC21" s="207"/>
      <c r="AD21" s="205"/>
      <c r="AE21" s="205"/>
      <c r="AF21" s="205"/>
      <c r="AG21" s="205"/>
      <c r="AH21" s="207"/>
      <c r="AI21" s="205"/>
      <c r="AJ21" s="205"/>
      <c r="AK21" s="205"/>
      <c r="AL21" s="205"/>
      <c r="AM21" s="205"/>
      <c r="AN21" s="205"/>
      <c r="AO21" s="205"/>
      <c r="AP21" s="205"/>
      <c r="AQ21" s="205"/>
      <c r="AR21" s="207"/>
      <c r="AS21" s="205"/>
      <c r="AT21" s="205"/>
      <c r="AU21" s="208"/>
      <c r="AV21" s="205"/>
      <c r="AW21" s="205"/>
      <c r="AX21" s="207"/>
      <c r="AY21" s="205"/>
      <c r="AZ21" s="205"/>
      <c r="BA21" s="205"/>
      <c r="BB21" s="205"/>
      <c r="BC21" s="205"/>
      <c r="BD21" s="205"/>
      <c r="BE21" s="205"/>
      <c r="BF21" s="205"/>
      <c r="BG21" s="205"/>
      <c r="BH21" s="205"/>
      <c r="BI21" s="205"/>
      <c r="BJ21" s="205"/>
      <c r="BK21" s="205"/>
      <c r="BL21" s="207"/>
      <c r="BM21" s="205"/>
      <c r="BN21" s="205"/>
      <c r="BO21" s="205"/>
      <c r="BP21" s="205"/>
      <c r="BQ21" s="205"/>
      <c r="BR21" s="205"/>
      <c r="BS21" s="205"/>
      <c r="BT21" s="205"/>
      <c r="BU21" s="205"/>
      <c r="BV21" s="205"/>
      <c r="BW21" s="208"/>
      <c r="BX21" s="204"/>
      <c r="BY21" s="205"/>
      <c r="BZ21" s="205"/>
      <c r="CA21" s="205"/>
      <c r="CB21" s="206"/>
      <c r="CC21" s="207"/>
      <c r="CD21" s="205"/>
      <c r="CE21" s="205"/>
      <c r="CF21" s="206"/>
      <c r="CG21" s="160"/>
    </row>
    <row r="22" spans="1:85">
      <c r="A22" s="160"/>
      <c r="B22" s="202"/>
      <c r="C22" s="203" t="s">
        <v>241</v>
      </c>
      <c r="D22" s="204"/>
      <c r="E22" s="205"/>
      <c r="F22" s="205"/>
      <c r="G22" s="205"/>
      <c r="H22" s="205"/>
      <c r="I22" s="205"/>
      <c r="J22" s="205" t="s">
        <v>284</v>
      </c>
      <c r="K22" s="205" t="s">
        <v>284</v>
      </c>
      <c r="L22" s="205" t="s">
        <v>284</v>
      </c>
      <c r="M22" s="205" t="s">
        <v>284</v>
      </c>
      <c r="N22" s="205"/>
      <c r="O22" s="206" t="s">
        <v>284</v>
      </c>
      <c r="P22" s="207"/>
      <c r="Q22" s="205"/>
      <c r="R22" s="205"/>
      <c r="S22" s="207"/>
      <c r="T22" s="205"/>
      <c r="U22" s="205"/>
      <c r="V22" s="205"/>
      <c r="W22" s="205"/>
      <c r="X22" s="205"/>
      <c r="Y22" s="205"/>
      <c r="Z22" s="205"/>
      <c r="AA22" s="205"/>
      <c r="AB22" s="205"/>
      <c r="AC22" s="207"/>
      <c r="AD22" s="205"/>
      <c r="AE22" s="205"/>
      <c r="AF22" s="205"/>
      <c r="AG22" s="205"/>
      <c r="AH22" s="207"/>
      <c r="AI22" s="205"/>
      <c r="AJ22" s="205"/>
      <c r="AK22" s="205"/>
      <c r="AL22" s="205"/>
      <c r="AM22" s="205"/>
      <c r="AN22" s="205"/>
      <c r="AO22" s="205"/>
      <c r="AP22" s="205"/>
      <c r="AQ22" s="205"/>
      <c r="AR22" s="207"/>
      <c r="AS22" s="205"/>
      <c r="AT22" s="205"/>
      <c r="AU22" s="208"/>
      <c r="AV22" s="205"/>
      <c r="AW22" s="205"/>
      <c r="AX22" s="207"/>
      <c r="AY22" s="205"/>
      <c r="AZ22" s="205"/>
      <c r="BA22" s="205"/>
      <c r="BB22" s="205"/>
      <c r="BC22" s="205"/>
      <c r="BD22" s="205"/>
      <c r="BE22" s="205"/>
      <c r="BF22" s="205"/>
      <c r="BG22" s="205"/>
      <c r="BH22" s="205"/>
      <c r="BI22" s="205"/>
      <c r="BJ22" s="205"/>
      <c r="BK22" s="205"/>
      <c r="BL22" s="207"/>
      <c r="BM22" s="205"/>
      <c r="BN22" s="205"/>
      <c r="BO22" s="205"/>
      <c r="BP22" s="205"/>
      <c r="BQ22" s="205"/>
      <c r="BR22" s="205"/>
      <c r="BS22" s="205"/>
      <c r="BT22" s="205"/>
      <c r="BU22" s="205"/>
      <c r="BV22" s="205"/>
      <c r="BW22" s="208"/>
      <c r="BX22" s="204"/>
      <c r="BY22" s="205"/>
      <c r="BZ22" s="205"/>
      <c r="CA22" s="205"/>
      <c r="CB22" s="206"/>
      <c r="CC22" s="207" t="s">
        <v>284</v>
      </c>
      <c r="CD22" s="205"/>
      <c r="CE22" s="205"/>
      <c r="CF22" s="206"/>
      <c r="CG22" s="160"/>
    </row>
    <row r="23" spans="1:85">
      <c r="A23" s="160"/>
      <c r="B23" s="202"/>
      <c r="C23" s="203" t="s">
        <v>295</v>
      </c>
      <c r="D23" s="204"/>
      <c r="E23" s="205"/>
      <c r="F23" s="205"/>
      <c r="G23" s="205"/>
      <c r="H23" s="205"/>
      <c r="I23" s="205"/>
      <c r="J23" s="205" t="s">
        <v>284</v>
      </c>
      <c r="K23" s="205" t="s">
        <v>284</v>
      </c>
      <c r="L23" s="205" t="s">
        <v>284</v>
      </c>
      <c r="M23" s="205" t="s">
        <v>284</v>
      </c>
      <c r="N23" s="205"/>
      <c r="O23" s="206"/>
      <c r="P23" s="207"/>
      <c r="Q23" s="205"/>
      <c r="R23" s="205"/>
      <c r="S23" s="207"/>
      <c r="T23" s="205"/>
      <c r="U23" s="205"/>
      <c r="V23" s="205"/>
      <c r="W23" s="205"/>
      <c r="X23" s="205"/>
      <c r="Y23" s="205"/>
      <c r="Z23" s="205"/>
      <c r="AA23" s="205"/>
      <c r="AB23" s="205"/>
      <c r="AC23" s="207"/>
      <c r="AD23" s="205"/>
      <c r="AE23" s="205"/>
      <c r="AF23" s="205"/>
      <c r="AG23" s="205"/>
      <c r="AH23" s="207"/>
      <c r="AI23" s="205"/>
      <c r="AJ23" s="205"/>
      <c r="AK23" s="205"/>
      <c r="AL23" s="205"/>
      <c r="AM23" s="205"/>
      <c r="AN23" s="205"/>
      <c r="AO23" s="205"/>
      <c r="AP23" s="205"/>
      <c r="AQ23" s="205"/>
      <c r="AR23" s="207"/>
      <c r="AS23" s="205"/>
      <c r="AT23" s="205"/>
      <c r="AU23" s="208"/>
      <c r="AV23" s="205"/>
      <c r="AW23" s="205"/>
      <c r="AX23" s="207"/>
      <c r="AY23" s="205"/>
      <c r="AZ23" s="205"/>
      <c r="BA23" s="205"/>
      <c r="BB23" s="205"/>
      <c r="BC23" s="205"/>
      <c r="BD23" s="205"/>
      <c r="BE23" s="205"/>
      <c r="BF23" s="205"/>
      <c r="BG23" s="205"/>
      <c r="BH23" s="205"/>
      <c r="BI23" s="205"/>
      <c r="BJ23" s="205"/>
      <c r="BK23" s="205"/>
      <c r="BL23" s="207"/>
      <c r="BM23" s="205"/>
      <c r="BN23" s="205"/>
      <c r="BO23" s="205"/>
      <c r="BP23" s="205"/>
      <c r="BQ23" s="205"/>
      <c r="BR23" s="205"/>
      <c r="BS23" s="205"/>
      <c r="BT23" s="205"/>
      <c r="BU23" s="205"/>
      <c r="BV23" s="205"/>
      <c r="BW23" s="208"/>
      <c r="BX23" s="204"/>
      <c r="BY23" s="205"/>
      <c r="BZ23" s="205"/>
      <c r="CA23" s="205"/>
      <c r="CB23" s="206"/>
      <c r="CC23" s="207" t="s">
        <v>284</v>
      </c>
      <c r="CD23" s="205"/>
      <c r="CE23" s="205" t="s">
        <v>284</v>
      </c>
      <c r="CF23" s="206"/>
      <c r="CG23" s="160"/>
    </row>
    <row r="24" spans="1:85">
      <c r="A24" s="160"/>
      <c r="B24" s="202"/>
      <c r="C24" s="203" t="s">
        <v>254</v>
      </c>
      <c r="D24" s="204"/>
      <c r="E24" s="205"/>
      <c r="F24" s="205"/>
      <c r="G24" s="205"/>
      <c r="H24" s="205"/>
      <c r="I24" s="205"/>
      <c r="J24" s="205" t="s">
        <v>284</v>
      </c>
      <c r="K24" s="205" t="s">
        <v>284</v>
      </c>
      <c r="L24" s="205" t="s">
        <v>284</v>
      </c>
      <c r="M24" s="205" t="s">
        <v>284</v>
      </c>
      <c r="N24" s="205"/>
      <c r="O24" s="206"/>
      <c r="P24" s="207"/>
      <c r="Q24" s="205"/>
      <c r="R24" s="205"/>
      <c r="S24" s="207"/>
      <c r="T24" s="205"/>
      <c r="U24" s="205"/>
      <c r="V24" s="205"/>
      <c r="W24" s="205"/>
      <c r="X24" s="205"/>
      <c r="Y24" s="205"/>
      <c r="Z24" s="205"/>
      <c r="AA24" s="205"/>
      <c r="AB24" s="205"/>
      <c r="AC24" s="207"/>
      <c r="AD24" s="205"/>
      <c r="AE24" s="205"/>
      <c r="AF24" s="205"/>
      <c r="AG24" s="205"/>
      <c r="AH24" s="207"/>
      <c r="AI24" s="205"/>
      <c r="AJ24" s="205"/>
      <c r="AK24" s="205"/>
      <c r="AL24" s="205"/>
      <c r="AM24" s="205"/>
      <c r="AN24" s="205"/>
      <c r="AO24" s="205"/>
      <c r="AP24" s="205"/>
      <c r="AQ24" s="205"/>
      <c r="AR24" s="207"/>
      <c r="AS24" s="205"/>
      <c r="AT24" s="205"/>
      <c r="AU24" s="208"/>
      <c r="AV24" s="205"/>
      <c r="AW24" s="205"/>
      <c r="AX24" s="207"/>
      <c r="AY24" s="205"/>
      <c r="AZ24" s="205"/>
      <c r="BA24" s="205"/>
      <c r="BB24" s="205"/>
      <c r="BC24" s="205"/>
      <c r="BD24" s="205"/>
      <c r="BE24" s="205"/>
      <c r="BF24" s="205"/>
      <c r="BG24" s="205"/>
      <c r="BH24" s="205"/>
      <c r="BI24" s="205"/>
      <c r="BJ24" s="205"/>
      <c r="BK24" s="205"/>
      <c r="BL24" s="207"/>
      <c r="BM24" s="205"/>
      <c r="BN24" s="205"/>
      <c r="BO24" s="205"/>
      <c r="BP24" s="205"/>
      <c r="BQ24" s="205"/>
      <c r="BR24" s="205"/>
      <c r="BS24" s="205"/>
      <c r="BT24" s="205"/>
      <c r="BU24" s="205"/>
      <c r="BV24" s="205"/>
      <c r="BW24" s="208"/>
      <c r="BX24" s="204"/>
      <c r="BY24" s="205"/>
      <c r="BZ24" s="205"/>
      <c r="CA24" s="205"/>
      <c r="CB24" s="206"/>
      <c r="CC24" s="207" t="s">
        <v>284</v>
      </c>
      <c r="CD24" s="205"/>
      <c r="CE24" s="205" t="s">
        <v>284</v>
      </c>
      <c r="CF24" s="206"/>
      <c r="CG24" s="160"/>
    </row>
    <row r="25" spans="1:85">
      <c r="A25" s="160"/>
      <c r="B25" s="202"/>
      <c r="C25" s="203" t="s">
        <v>257</v>
      </c>
      <c r="D25" s="204"/>
      <c r="E25" s="205"/>
      <c r="F25" s="205"/>
      <c r="G25" s="205"/>
      <c r="H25" s="205"/>
      <c r="I25" s="205"/>
      <c r="J25" s="205" t="s">
        <v>284</v>
      </c>
      <c r="K25" s="205" t="s">
        <v>284</v>
      </c>
      <c r="L25" s="205" t="s">
        <v>284</v>
      </c>
      <c r="M25" s="205" t="s">
        <v>284</v>
      </c>
      <c r="N25" s="205"/>
      <c r="O25" s="206" t="s">
        <v>284</v>
      </c>
      <c r="P25" s="207"/>
      <c r="Q25" s="205"/>
      <c r="R25" s="205"/>
      <c r="S25" s="207"/>
      <c r="T25" s="205"/>
      <c r="U25" s="205"/>
      <c r="V25" s="205"/>
      <c r="W25" s="205"/>
      <c r="X25" s="205"/>
      <c r="Y25" s="205"/>
      <c r="Z25" s="205"/>
      <c r="AA25" s="205"/>
      <c r="AB25" s="205"/>
      <c r="AC25" s="207"/>
      <c r="AD25" s="205"/>
      <c r="AE25" s="205"/>
      <c r="AF25" s="205"/>
      <c r="AG25" s="205"/>
      <c r="AH25" s="207"/>
      <c r="AI25" s="205"/>
      <c r="AJ25" s="205"/>
      <c r="AK25" s="205"/>
      <c r="AL25" s="205"/>
      <c r="AM25" s="205"/>
      <c r="AN25" s="205"/>
      <c r="AO25" s="205"/>
      <c r="AP25" s="205"/>
      <c r="AQ25" s="205"/>
      <c r="AR25" s="207"/>
      <c r="AS25" s="205"/>
      <c r="AT25" s="205"/>
      <c r="AU25" s="208"/>
      <c r="AV25" s="205"/>
      <c r="AW25" s="205"/>
      <c r="AX25" s="207"/>
      <c r="AY25" s="205"/>
      <c r="AZ25" s="205"/>
      <c r="BA25" s="205"/>
      <c r="BB25" s="205"/>
      <c r="BC25" s="205"/>
      <c r="BD25" s="205"/>
      <c r="BE25" s="205"/>
      <c r="BF25" s="205"/>
      <c r="BG25" s="205"/>
      <c r="BH25" s="205"/>
      <c r="BI25" s="205"/>
      <c r="BJ25" s="205"/>
      <c r="BK25" s="205"/>
      <c r="BL25" s="207"/>
      <c r="BM25" s="205"/>
      <c r="BN25" s="205"/>
      <c r="BO25" s="205"/>
      <c r="BP25" s="205"/>
      <c r="BQ25" s="205"/>
      <c r="BR25" s="205"/>
      <c r="BS25" s="205"/>
      <c r="BT25" s="205"/>
      <c r="BU25" s="205"/>
      <c r="BV25" s="205"/>
      <c r="BW25" s="208"/>
      <c r="BX25" s="204"/>
      <c r="BY25" s="205"/>
      <c r="BZ25" s="205"/>
      <c r="CA25" s="205"/>
      <c r="CB25" s="206"/>
      <c r="CC25" s="207" t="s">
        <v>284</v>
      </c>
      <c r="CD25" s="205"/>
      <c r="CE25" s="205" t="s">
        <v>284</v>
      </c>
      <c r="CF25" s="206"/>
      <c r="CG25" s="160"/>
    </row>
    <row r="26" spans="1:85">
      <c r="A26" s="160"/>
      <c r="B26" s="202"/>
      <c r="C26" s="203" t="s">
        <v>250</v>
      </c>
      <c r="D26" s="204"/>
      <c r="E26" s="205"/>
      <c r="F26" s="205"/>
      <c r="G26" s="205"/>
      <c r="H26" s="205"/>
      <c r="I26" s="205"/>
      <c r="J26" s="205" t="s">
        <v>284</v>
      </c>
      <c r="K26" s="205" t="s">
        <v>284</v>
      </c>
      <c r="L26" s="205" t="s">
        <v>284</v>
      </c>
      <c r="M26" s="205" t="s">
        <v>284</v>
      </c>
      <c r="N26" s="205"/>
      <c r="O26" s="206" t="s">
        <v>284</v>
      </c>
      <c r="P26" s="207"/>
      <c r="Q26" s="205"/>
      <c r="R26" s="205"/>
      <c r="S26" s="207"/>
      <c r="T26" s="205"/>
      <c r="U26" s="205"/>
      <c r="V26" s="205"/>
      <c r="W26" s="205"/>
      <c r="X26" s="205"/>
      <c r="Y26" s="205"/>
      <c r="Z26" s="205"/>
      <c r="AA26" s="205"/>
      <c r="AB26" s="205"/>
      <c r="AC26" s="207"/>
      <c r="AD26" s="205"/>
      <c r="AE26" s="205"/>
      <c r="AF26" s="205"/>
      <c r="AG26" s="205"/>
      <c r="AH26" s="207"/>
      <c r="AI26" s="205"/>
      <c r="AJ26" s="205"/>
      <c r="AK26" s="205"/>
      <c r="AL26" s="205"/>
      <c r="AM26" s="205"/>
      <c r="AN26" s="205"/>
      <c r="AO26" s="205"/>
      <c r="AP26" s="205"/>
      <c r="AQ26" s="205"/>
      <c r="AR26" s="207"/>
      <c r="AS26" s="205"/>
      <c r="AT26" s="205"/>
      <c r="AU26" s="208"/>
      <c r="AV26" s="205"/>
      <c r="AW26" s="205"/>
      <c r="AX26" s="207"/>
      <c r="AY26" s="205"/>
      <c r="AZ26" s="205"/>
      <c r="BA26" s="205"/>
      <c r="BB26" s="205"/>
      <c r="BC26" s="205"/>
      <c r="BD26" s="205"/>
      <c r="BE26" s="205"/>
      <c r="BF26" s="205"/>
      <c r="BG26" s="205"/>
      <c r="BH26" s="205"/>
      <c r="BI26" s="205"/>
      <c r="BJ26" s="205"/>
      <c r="BK26" s="205"/>
      <c r="BL26" s="207"/>
      <c r="BM26" s="205"/>
      <c r="BN26" s="205"/>
      <c r="BO26" s="205"/>
      <c r="BP26" s="205"/>
      <c r="BQ26" s="205"/>
      <c r="BR26" s="205"/>
      <c r="BS26" s="205"/>
      <c r="BT26" s="205"/>
      <c r="BU26" s="205"/>
      <c r="BV26" s="205"/>
      <c r="BW26" s="208"/>
      <c r="BX26" s="204"/>
      <c r="BY26" s="205"/>
      <c r="BZ26" s="205"/>
      <c r="CA26" s="205"/>
      <c r="CB26" s="206"/>
      <c r="CC26" s="207" t="s">
        <v>284</v>
      </c>
      <c r="CD26" s="205"/>
      <c r="CE26" s="205" t="s">
        <v>284</v>
      </c>
      <c r="CF26" s="206"/>
      <c r="CG26" s="160"/>
    </row>
    <row r="27" spans="1:85">
      <c r="A27" s="160"/>
      <c r="B27" s="202"/>
      <c r="C27" s="203" t="s">
        <v>296</v>
      </c>
      <c r="D27" s="204"/>
      <c r="E27" s="205"/>
      <c r="F27" s="205"/>
      <c r="G27" s="205"/>
      <c r="H27" s="205"/>
      <c r="I27" s="205"/>
      <c r="J27" s="205" t="s">
        <v>284</v>
      </c>
      <c r="K27" s="205" t="s">
        <v>284</v>
      </c>
      <c r="L27" s="205" t="s">
        <v>284</v>
      </c>
      <c r="M27" s="205" t="s">
        <v>284</v>
      </c>
      <c r="N27" s="205"/>
      <c r="O27" s="206" t="s">
        <v>284</v>
      </c>
      <c r="P27" s="207"/>
      <c r="Q27" s="205"/>
      <c r="R27" s="205"/>
      <c r="S27" s="207"/>
      <c r="T27" s="205"/>
      <c r="U27" s="205"/>
      <c r="V27" s="205"/>
      <c r="W27" s="205"/>
      <c r="X27" s="205"/>
      <c r="Y27" s="205"/>
      <c r="Z27" s="205"/>
      <c r="AA27" s="205"/>
      <c r="AB27" s="205"/>
      <c r="AC27" s="207"/>
      <c r="AD27" s="205"/>
      <c r="AE27" s="205"/>
      <c r="AF27" s="205"/>
      <c r="AG27" s="205"/>
      <c r="AH27" s="207"/>
      <c r="AI27" s="205"/>
      <c r="AJ27" s="205"/>
      <c r="AK27" s="205"/>
      <c r="AL27" s="205"/>
      <c r="AM27" s="205"/>
      <c r="AN27" s="205"/>
      <c r="AO27" s="205"/>
      <c r="AP27" s="205"/>
      <c r="AQ27" s="205"/>
      <c r="AR27" s="207"/>
      <c r="AS27" s="205"/>
      <c r="AT27" s="205"/>
      <c r="AU27" s="208"/>
      <c r="AV27" s="205"/>
      <c r="AW27" s="205"/>
      <c r="AX27" s="207"/>
      <c r="AY27" s="205"/>
      <c r="AZ27" s="205"/>
      <c r="BA27" s="205"/>
      <c r="BB27" s="205"/>
      <c r="BC27" s="205"/>
      <c r="BD27" s="205"/>
      <c r="BE27" s="205"/>
      <c r="BF27" s="205"/>
      <c r="BG27" s="205"/>
      <c r="BH27" s="205"/>
      <c r="BI27" s="205"/>
      <c r="BJ27" s="205"/>
      <c r="BK27" s="205"/>
      <c r="BL27" s="207"/>
      <c r="BM27" s="205"/>
      <c r="BN27" s="205"/>
      <c r="BO27" s="205"/>
      <c r="BP27" s="205"/>
      <c r="BQ27" s="205"/>
      <c r="BR27" s="205"/>
      <c r="BS27" s="205"/>
      <c r="BT27" s="205"/>
      <c r="BU27" s="205"/>
      <c r="BV27" s="205"/>
      <c r="BW27" s="208"/>
      <c r="BX27" s="204"/>
      <c r="BY27" s="205"/>
      <c r="BZ27" s="205"/>
      <c r="CA27" s="205"/>
      <c r="CB27" s="206"/>
      <c r="CC27" s="207" t="s">
        <v>284</v>
      </c>
      <c r="CD27" s="205"/>
      <c r="CE27" s="205" t="s">
        <v>284</v>
      </c>
      <c r="CF27" s="206"/>
      <c r="CG27" s="160"/>
    </row>
    <row r="28" spans="1:85">
      <c r="A28" s="160"/>
      <c r="B28" s="202"/>
      <c r="C28" s="203" t="s">
        <v>297</v>
      </c>
      <c r="D28" s="204"/>
      <c r="E28" s="205"/>
      <c r="F28" s="205"/>
      <c r="G28" s="205"/>
      <c r="H28" s="205"/>
      <c r="I28" s="205"/>
      <c r="J28" s="205" t="s">
        <v>284</v>
      </c>
      <c r="K28" s="205" t="s">
        <v>284</v>
      </c>
      <c r="L28" s="205" t="s">
        <v>284</v>
      </c>
      <c r="M28" s="205" t="s">
        <v>284</v>
      </c>
      <c r="N28" s="205" t="s">
        <v>284</v>
      </c>
      <c r="O28" s="206"/>
      <c r="P28" s="207"/>
      <c r="Q28" s="205"/>
      <c r="R28" s="205"/>
      <c r="S28" s="207"/>
      <c r="T28" s="205"/>
      <c r="U28" s="205"/>
      <c r="V28" s="205"/>
      <c r="W28" s="205"/>
      <c r="X28" s="205"/>
      <c r="Y28" s="205"/>
      <c r="Z28" s="205"/>
      <c r="AA28" s="205"/>
      <c r="AB28" s="205"/>
      <c r="AC28" s="207"/>
      <c r="AD28" s="205"/>
      <c r="AE28" s="205"/>
      <c r="AF28" s="205"/>
      <c r="AG28" s="205"/>
      <c r="AH28" s="207"/>
      <c r="AI28" s="205"/>
      <c r="AJ28" s="205"/>
      <c r="AK28" s="205"/>
      <c r="AL28" s="205"/>
      <c r="AM28" s="205"/>
      <c r="AN28" s="205"/>
      <c r="AO28" s="205"/>
      <c r="AP28" s="205"/>
      <c r="AQ28" s="205"/>
      <c r="AR28" s="207"/>
      <c r="AS28" s="205"/>
      <c r="AT28" s="205"/>
      <c r="AU28" s="208"/>
      <c r="AV28" s="205"/>
      <c r="AW28" s="205"/>
      <c r="AX28" s="207"/>
      <c r="AY28" s="205"/>
      <c r="AZ28" s="205"/>
      <c r="BA28" s="205"/>
      <c r="BB28" s="205"/>
      <c r="BC28" s="205"/>
      <c r="BD28" s="205"/>
      <c r="BE28" s="205"/>
      <c r="BF28" s="205"/>
      <c r="BG28" s="205"/>
      <c r="BH28" s="205"/>
      <c r="BI28" s="205"/>
      <c r="BJ28" s="205"/>
      <c r="BK28" s="205"/>
      <c r="BL28" s="207"/>
      <c r="BM28" s="205"/>
      <c r="BN28" s="205"/>
      <c r="BO28" s="205"/>
      <c r="BP28" s="205"/>
      <c r="BQ28" s="205"/>
      <c r="BR28" s="205"/>
      <c r="BS28" s="205"/>
      <c r="BT28" s="205"/>
      <c r="BU28" s="205"/>
      <c r="BV28" s="205"/>
      <c r="BW28" s="208"/>
      <c r="BX28" s="204"/>
      <c r="BY28" s="205"/>
      <c r="BZ28" s="205"/>
      <c r="CA28" s="205"/>
      <c r="CB28" s="206"/>
      <c r="CC28" s="207"/>
      <c r="CD28" s="205"/>
      <c r="CE28" s="205"/>
      <c r="CF28" s="206"/>
      <c r="CG28" s="160"/>
    </row>
    <row r="29" spans="1:85">
      <c r="A29" s="160"/>
      <c r="B29" s="202"/>
      <c r="C29" s="203" t="s">
        <v>258</v>
      </c>
      <c r="D29" s="204"/>
      <c r="E29" s="205"/>
      <c r="F29" s="205"/>
      <c r="G29" s="205"/>
      <c r="H29" s="205"/>
      <c r="I29" s="205"/>
      <c r="J29" s="205" t="s">
        <v>284</v>
      </c>
      <c r="K29" s="205" t="s">
        <v>284</v>
      </c>
      <c r="L29" s="205" t="s">
        <v>284</v>
      </c>
      <c r="M29" s="205" t="s">
        <v>284</v>
      </c>
      <c r="N29" s="205" t="s">
        <v>284</v>
      </c>
      <c r="O29" s="206"/>
      <c r="P29" s="207"/>
      <c r="Q29" s="205"/>
      <c r="R29" s="205"/>
      <c r="S29" s="207"/>
      <c r="T29" s="205"/>
      <c r="U29" s="205"/>
      <c r="V29" s="205"/>
      <c r="W29" s="205"/>
      <c r="X29" s="205"/>
      <c r="Y29" s="205"/>
      <c r="Z29" s="205"/>
      <c r="AA29" s="205"/>
      <c r="AB29" s="205"/>
      <c r="AC29" s="207"/>
      <c r="AD29" s="205"/>
      <c r="AE29" s="205"/>
      <c r="AF29" s="205"/>
      <c r="AG29" s="205"/>
      <c r="AH29" s="207"/>
      <c r="AI29" s="205"/>
      <c r="AJ29" s="205"/>
      <c r="AK29" s="205"/>
      <c r="AL29" s="205"/>
      <c r="AM29" s="205"/>
      <c r="AN29" s="205"/>
      <c r="AO29" s="205"/>
      <c r="AP29" s="205"/>
      <c r="AQ29" s="205"/>
      <c r="AR29" s="207"/>
      <c r="AS29" s="205"/>
      <c r="AT29" s="205"/>
      <c r="AU29" s="208"/>
      <c r="AV29" s="205"/>
      <c r="AW29" s="205"/>
      <c r="AX29" s="207"/>
      <c r="AY29" s="205"/>
      <c r="AZ29" s="205"/>
      <c r="BA29" s="205"/>
      <c r="BB29" s="205"/>
      <c r="BC29" s="205"/>
      <c r="BD29" s="205"/>
      <c r="BE29" s="205"/>
      <c r="BF29" s="205"/>
      <c r="BG29" s="205"/>
      <c r="BH29" s="205"/>
      <c r="BI29" s="205"/>
      <c r="BJ29" s="205"/>
      <c r="BK29" s="205"/>
      <c r="BL29" s="207"/>
      <c r="BM29" s="205"/>
      <c r="BN29" s="205"/>
      <c r="BO29" s="205"/>
      <c r="BP29" s="205"/>
      <c r="BQ29" s="205"/>
      <c r="BR29" s="205"/>
      <c r="BS29" s="205"/>
      <c r="BT29" s="205"/>
      <c r="BU29" s="205"/>
      <c r="BV29" s="205"/>
      <c r="BW29" s="208"/>
      <c r="BX29" s="204"/>
      <c r="BY29" s="205"/>
      <c r="BZ29" s="205"/>
      <c r="CA29" s="205"/>
      <c r="CB29" s="206"/>
      <c r="CC29" s="207"/>
      <c r="CD29" s="205"/>
      <c r="CE29" s="205"/>
      <c r="CF29" s="206"/>
      <c r="CG29" s="160"/>
    </row>
    <row r="30" spans="1:85">
      <c r="A30" s="160"/>
      <c r="B30" s="202"/>
      <c r="C30" s="203" t="s">
        <v>298</v>
      </c>
      <c r="D30" s="204"/>
      <c r="E30" s="205"/>
      <c r="F30" s="205"/>
      <c r="G30" s="205"/>
      <c r="H30" s="205"/>
      <c r="I30" s="205"/>
      <c r="J30" s="205" t="s">
        <v>284</v>
      </c>
      <c r="K30" s="205" t="s">
        <v>284</v>
      </c>
      <c r="L30" s="205" t="s">
        <v>284</v>
      </c>
      <c r="M30" s="205" t="s">
        <v>284</v>
      </c>
      <c r="N30" s="205" t="s">
        <v>284</v>
      </c>
      <c r="O30" s="206" t="s">
        <v>284</v>
      </c>
      <c r="P30" s="207"/>
      <c r="Q30" s="205"/>
      <c r="R30" s="205"/>
      <c r="S30" s="207"/>
      <c r="T30" s="205"/>
      <c r="U30" s="205"/>
      <c r="V30" s="205"/>
      <c r="W30" s="205"/>
      <c r="X30" s="205"/>
      <c r="Y30" s="205"/>
      <c r="Z30" s="205"/>
      <c r="AA30" s="205"/>
      <c r="AB30" s="205"/>
      <c r="AC30" s="207"/>
      <c r="AD30" s="205"/>
      <c r="AE30" s="205"/>
      <c r="AF30" s="205"/>
      <c r="AG30" s="205"/>
      <c r="AH30" s="207"/>
      <c r="AI30" s="205"/>
      <c r="AJ30" s="205"/>
      <c r="AK30" s="205"/>
      <c r="AL30" s="205"/>
      <c r="AM30" s="205"/>
      <c r="AN30" s="205"/>
      <c r="AO30" s="205"/>
      <c r="AP30" s="205"/>
      <c r="AQ30" s="205"/>
      <c r="AR30" s="207"/>
      <c r="AS30" s="205"/>
      <c r="AT30" s="205"/>
      <c r="AU30" s="208"/>
      <c r="AV30" s="205"/>
      <c r="AW30" s="205"/>
      <c r="AX30" s="207"/>
      <c r="AY30" s="205"/>
      <c r="AZ30" s="205"/>
      <c r="BA30" s="205"/>
      <c r="BB30" s="205"/>
      <c r="BC30" s="205"/>
      <c r="BD30" s="205"/>
      <c r="BE30" s="205"/>
      <c r="BF30" s="205"/>
      <c r="BG30" s="205"/>
      <c r="BH30" s="205"/>
      <c r="BI30" s="205"/>
      <c r="BJ30" s="205"/>
      <c r="BK30" s="205"/>
      <c r="BL30" s="207"/>
      <c r="BM30" s="205"/>
      <c r="BN30" s="205"/>
      <c r="BO30" s="205"/>
      <c r="BP30" s="205"/>
      <c r="BQ30" s="205"/>
      <c r="BR30" s="205"/>
      <c r="BS30" s="205"/>
      <c r="BT30" s="205"/>
      <c r="BU30" s="205"/>
      <c r="BV30" s="205"/>
      <c r="BW30" s="208"/>
      <c r="BX30" s="204"/>
      <c r="BY30" s="205"/>
      <c r="BZ30" s="205"/>
      <c r="CA30" s="205"/>
      <c r="CB30" s="206"/>
      <c r="CC30" s="207"/>
      <c r="CD30" s="205"/>
      <c r="CE30" s="205"/>
      <c r="CF30" s="206"/>
      <c r="CG30" s="160"/>
    </row>
    <row r="31" spans="1:85">
      <c r="A31" s="160"/>
      <c r="B31" s="202"/>
      <c r="C31" s="203" t="s">
        <v>240</v>
      </c>
      <c r="D31" s="204"/>
      <c r="E31" s="205"/>
      <c r="F31" s="205"/>
      <c r="G31" s="205"/>
      <c r="H31" s="205"/>
      <c r="I31" s="205"/>
      <c r="J31" s="205" t="s">
        <v>284</v>
      </c>
      <c r="K31" s="205" t="s">
        <v>284</v>
      </c>
      <c r="L31" s="205" t="s">
        <v>284</v>
      </c>
      <c r="M31" s="205" t="s">
        <v>284</v>
      </c>
      <c r="N31" s="205" t="s">
        <v>284</v>
      </c>
      <c r="O31" s="206" t="s">
        <v>284</v>
      </c>
      <c r="P31" s="207"/>
      <c r="Q31" s="205"/>
      <c r="R31" s="205"/>
      <c r="S31" s="207"/>
      <c r="T31" s="205"/>
      <c r="U31" s="205"/>
      <c r="V31" s="205"/>
      <c r="W31" s="205"/>
      <c r="X31" s="205"/>
      <c r="Y31" s="205"/>
      <c r="Z31" s="205"/>
      <c r="AA31" s="205"/>
      <c r="AB31" s="205"/>
      <c r="AC31" s="207"/>
      <c r="AD31" s="205"/>
      <c r="AE31" s="205"/>
      <c r="AF31" s="205"/>
      <c r="AG31" s="205"/>
      <c r="AH31" s="207"/>
      <c r="AI31" s="205"/>
      <c r="AJ31" s="205"/>
      <c r="AK31" s="205"/>
      <c r="AL31" s="205"/>
      <c r="AM31" s="205"/>
      <c r="AN31" s="205"/>
      <c r="AO31" s="205"/>
      <c r="AP31" s="205"/>
      <c r="AQ31" s="205"/>
      <c r="AR31" s="207"/>
      <c r="AS31" s="205"/>
      <c r="AT31" s="205"/>
      <c r="AU31" s="208"/>
      <c r="AV31" s="205"/>
      <c r="AW31" s="205"/>
      <c r="AX31" s="207"/>
      <c r="AY31" s="205"/>
      <c r="AZ31" s="205"/>
      <c r="BA31" s="205"/>
      <c r="BB31" s="205"/>
      <c r="BC31" s="205"/>
      <c r="BD31" s="205"/>
      <c r="BE31" s="205"/>
      <c r="BF31" s="205"/>
      <c r="BG31" s="205"/>
      <c r="BH31" s="205"/>
      <c r="BI31" s="205"/>
      <c r="BJ31" s="205"/>
      <c r="BK31" s="205"/>
      <c r="BL31" s="207"/>
      <c r="BM31" s="205"/>
      <c r="BN31" s="205"/>
      <c r="BO31" s="205"/>
      <c r="BP31" s="205"/>
      <c r="BQ31" s="205"/>
      <c r="BR31" s="205"/>
      <c r="BS31" s="205"/>
      <c r="BT31" s="205"/>
      <c r="BU31" s="205"/>
      <c r="BV31" s="205"/>
      <c r="BW31" s="208"/>
      <c r="BX31" s="204"/>
      <c r="BY31" s="205"/>
      <c r="BZ31" s="205"/>
      <c r="CA31" s="205"/>
      <c r="CB31" s="206"/>
      <c r="CC31" s="207" t="s">
        <v>284</v>
      </c>
      <c r="CD31" s="205"/>
      <c r="CE31" s="205"/>
      <c r="CF31" s="206"/>
      <c r="CG31" s="160"/>
    </row>
    <row r="32" spans="1:85">
      <c r="A32" s="160"/>
      <c r="B32" s="202"/>
      <c r="C32" s="203" t="s">
        <v>299</v>
      </c>
      <c r="D32" s="204"/>
      <c r="E32" s="205"/>
      <c r="F32" s="205"/>
      <c r="G32" s="205"/>
      <c r="H32" s="205"/>
      <c r="I32" s="205"/>
      <c r="J32" s="205" t="s">
        <v>284</v>
      </c>
      <c r="K32" s="205" t="s">
        <v>284</v>
      </c>
      <c r="L32" s="205" t="s">
        <v>284</v>
      </c>
      <c r="M32" s="205" t="s">
        <v>284</v>
      </c>
      <c r="N32" s="205" t="s">
        <v>284</v>
      </c>
      <c r="O32" s="206"/>
      <c r="P32" s="207"/>
      <c r="Q32" s="205"/>
      <c r="R32" s="205"/>
      <c r="S32" s="207"/>
      <c r="T32" s="205"/>
      <c r="U32" s="205"/>
      <c r="V32" s="205"/>
      <c r="W32" s="205"/>
      <c r="X32" s="205"/>
      <c r="Y32" s="205"/>
      <c r="Z32" s="205"/>
      <c r="AA32" s="205"/>
      <c r="AB32" s="205"/>
      <c r="AC32" s="207"/>
      <c r="AD32" s="205"/>
      <c r="AE32" s="205"/>
      <c r="AF32" s="205"/>
      <c r="AG32" s="205"/>
      <c r="AH32" s="207"/>
      <c r="AI32" s="205"/>
      <c r="AJ32" s="205"/>
      <c r="AK32" s="205"/>
      <c r="AL32" s="205"/>
      <c r="AM32" s="205"/>
      <c r="AN32" s="205"/>
      <c r="AO32" s="205"/>
      <c r="AP32" s="205"/>
      <c r="AQ32" s="205"/>
      <c r="AR32" s="207"/>
      <c r="AS32" s="205"/>
      <c r="AT32" s="205"/>
      <c r="AU32" s="208"/>
      <c r="AV32" s="205"/>
      <c r="AW32" s="205"/>
      <c r="AX32" s="207"/>
      <c r="AY32" s="205"/>
      <c r="AZ32" s="205"/>
      <c r="BA32" s="205"/>
      <c r="BB32" s="205"/>
      <c r="BC32" s="205"/>
      <c r="BD32" s="205"/>
      <c r="BE32" s="205"/>
      <c r="BF32" s="205"/>
      <c r="BG32" s="205"/>
      <c r="BH32" s="205"/>
      <c r="BI32" s="205"/>
      <c r="BJ32" s="205"/>
      <c r="BK32" s="205"/>
      <c r="BL32" s="207"/>
      <c r="BM32" s="205"/>
      <c r="BN32" s="205"/>
      <c r="BO32" s="205"/>
      <c r="BP32" s="205"/>
      <c r="BQ32" s="205"/>
      <c r="BR32" s="205"/>
      <c r="BS32" s="205"/>
      <c r="BT32" s="205"/>
      <c r="BU32" s="205"/>
      <c r="BV32" s="205"/>
      <c r="BW32" s="208"/>
      <c r="BX32" s="204"/>
      <c r="BY32" s="205"/>
      <c r="BZ32" s="205"/>
      <c r="CA32" s="205"/>
      <c r="CB32" s="206"/>
      <c r="CC32" s="207" t="s">
        <v>284</v>
      </c>
      <c r="CD32" s="205"/>
      <c r="CE32" s="205" t="s">
        <v>284</v>
      </c>
      <c r="CF32" s="206"/>
      <c r="CG32" s="160"/>
    </row>
    <row r="33" spans="1:85">
      <c r="A33" s="160"/>
      <c r="B33" s="202"/>
      <c r="C33" s="203" t="s">
        <v>256</v>
      </c>
      <c r="D33" s="204"/>
      <c r="E33" s="205"/>
      <c r="F33" s="205"/>
      <c r="G33" s="205"/>
      <c r="H33" s="205"/>
      <c r="I33" s="205"/>
      <c r="J33" s="205" t="s">
        <v>284</v>
      </c>
      <c r="K33" s="205" t="s">
        <v>284</v>
      </c>
      <c r="L33" s="205" t="s">
        <v>284</v>
      </c>
      <c r="M33" s="205" t="s">
        <v>284</v>
      </c>
      <c r="N33" s="205" t="s">
        <v>284</v>
      </c>
      <c r="O33" s="206"/>
      <c r="P33" s="207"/>
      <c r="Q33" s="205"/>
      <c r="R33" s="205"/>
      <c r="S33" s="207"/>
      <c r="T33" s="205"/>
      <c r="U33" s="205"/>
      <c r="V33" s="205"/>
      <c r="W33" s="205"/>
      <c r="X33" s="205"/>
      <c r="Y33" s="205"/>
      <c r="Z33" s="205"/>
      <c r="AA33" s="205"/>
      <c r="AB33" s="205"/>
      <c r="AC33" s="207"/>
      <c r="AD33" s="205"/>
      <c r="AE33" s="205"/>
      <c r="AF33" s="205"/>
      <c r="AG33" s="205"/>
      <c r="AH33" s="207"/>
      <c r="AI33" s="205"/>
      <c r="AJ33" s="205"/>
      <c r="AK33" s="205"/>
      <c r="AL33" s="205"/>
      <c r="AM33" s="205"/>
      <c r="AN33" s="205"/>
      <c r="AO33" s="205"/>
      <c r="AP33" s="205"/>
      <c r="AQ33" s="205"/>
      <c r="AR33" s="207"/>
      <c r="AS33" s="205"/>
      <c r="AT33" s="205"/>
      <c r="AU33" s="208"/>
      <c r="AV33" s="205"/>
      <c r="AW33" s="205"/>
      <c r="AX33" s="207"/>
      <c r="AY33" s="205"/>
      <c r="AZ33" s="205"/>
      <c r="BA33" s="205"/>
      <c r="BB33" s="205"/>
      <c r="BC33" s="205"/>
      <c r="BD33" s="205"/>
      <c r="BE33" s="205"/>
      <c r="BF33" s="205"/>
      <c r="BG33" s="205"/>
      <c r="BH33" s="205"/>
      <c r="BI33" s="205"/>
      <c r="BJ33" s="205"/>
      <c r="BK33" s="205"/>
      <c r="BL33" s="207"/>
      <c r="BM33" s="205"/>
      <c r="BN33" s="205"/>
      <c r="BO33" s="205"/>
      <c r="BP33" s="205"/>
      <c r="BQ33" s="205"/>
      <c r="BR33" s="205"/>
      <c r="BS33" s="205"/>
      <c r="BT33" s="205"/>
      <c r="BU33" s="205"/>
      <c r="BV33" s="205"/>
      <c r="BW33" s="208"/>
      <c r="BX33" s="204"/>
      <c r="BY33" s="205"/>
      <c r="BZ33" s="205"/>
      <c r="CA33" s="205"/>
      <c r="CB33" s="206"/>
      <c r="CC33" s="207" t="s">
        <v>284</v>
      </c>
      <c r="CD33" s="205"/>
      <c r="CE33" s="205"/>
      <c r="CF33" s="206"/>
      <c r="CG33" s="160"/>
    </row>
    <row r="34" spans="1:85">
      <c r="A34" s="160"/>
      <c r="B34" s="202"/>
      <c r="C34" s="203" t="s">
        <v>300</v>
      </c>
      <c r="D34" s="204"/>
      <c r="E34" s="205"/>
      <c r="F34" s="205"/>
      <c r="G34" s="205"/>
      <c r="H34" s="205"/>
      <c r="I34" s="205"/>
      <c r="J34" s="205" t="s">
        <v>284</v>
      </c>
      <c r="K34" s="205" t="s">
        <v>284</v>
      </c>
      <c r="L34" s="205" t="s">
        <v>284</v>
      </c>
      <c r="M34" s="205" t="s">
        <v>284</v>
      </c>
      <c r="N34" s="205" t="s">
        <v>284</v>
      </c>
      <c r="O34" s="206" t="s">
        <v>284</v>
      </c>
      <c r="P34" s="207"/>
      <c r="Q34" s="205"/>
      <c r="R34" s="205"/>
      <c r="S34" s="207"/>
      <c r="T34" s="205"/>
      <c r="U34" s="205"/>
      <c r="V34" s="205"/>
      <c r="W34" s="205"/>
      <c r="X34" s="205"/>
      <c r="Y34" s="205"/>
      <c r="Z34" s="205"/>
      <c r="AA34" s="205"/>
      <c r="AB34" s="205"/>
      <c r="AC34" s="207"/>
      <c r="AD34" s="205"/>
      <c r="AE34" s="205"/>
      <c r="AF34" s="205"/>
      <c r="AG34" s="205"/>
      <c r="AH34" s="207"/>
      <c r="AI34" s="205"/>
      <c r="AJ34" s="205"/>
      <c r="AK34" s="205"/>
      <c r="AL34" s="205"/>
      <c r="AM34" s="205"/>
      <c r="AN34" s="205"/>
      <c r="AO34" s="205"/>
      <c r="AP34" s="205"/>
      <c r="AQ34" s="205"/>
      <c r="AR34" s="207"/>
      <c r="AS34" s="205"/>
      <c r="AT34" s="205"/>
      <c r="AU34" s="208"/>
      <c r="AV34" s="205"/>
      <c r="AW34" s="205"/>
      <c r="AX34" s="207"/>
      <c r="AY34" s="205"/>
      <c r="AZ34" s="205"/>
      <c r="BA34" s="205"/>
      <c r="BB34" s="205"/>
      <c r="BC34" s="205"/>
      <c r="BD34" s="205"/>
      <c r="BE34" s="205"/>
      <c r="BF34" s="205"/>
      <c r="BG34" s="205"/>
      <c r="BH34" s="205"/>
      <c r="BI34" s="205"/>
      <c r="BJ34" s="205"/>
      <c r="BK34" s="205"/>
      <c r="BL34" s="207"/>
      <c r="BM34" s="205"/>
      <c r="BN34" s="205"/>
      <c r="BO34" s="205"/>
      <c r="BP34" s="205"/>
      <c r="BQ34" s="205"/>
      <c r="BR34" s="205"/>
      <c r="BS34" s="205"/>
      <c r="BT34" s="205"/>
      <c r="BU34" s="205"/>
      <c r="BV34" s="205"/>
      <c r="BW34" s="208"/>
      <c r="BX34" s="204"/>
      <c r="BY34" s="205"/>
      <c r="BZ34" s="205"/>
      <c r="CA34" s="205"/>
      <c r="CB34" s="206"/>
      <c r="CC34" s="207" t="s">
        <v>284</v>
      </c>
      <c r="CD34" s="205"/>
      <c r="CE34" s="205" t="s">
        <v>284</v>
      </c>
      <c r="CF34" s="206"/>
      <c r="CG34" s="160"/>
    </row>
    <row r="35" spans="1:85">
      <c r="A35" s="160"/>
      <c r="B35" s="202"/>
      <c r="C35" s="203" t="s">
        <v>255</v>
      </c>
      <c r="D35" s="204"/>
      <c r="E35" s="205"/>
      <c r="F35" s="205"/>
      <c r="G35" s="205"/>
      <c r="H35" s="205"/>
      <c r="I35" s="205"/>
      <c r="J35" s="205" t="s">
        <v>284</v>
      </c>
      <c r="K35" s="205" t="s">
        <v>284</v>
      </c>
      <c r="L35" s="205" t="s">
        <v>284</v>
      </c>
      <c r="M35" s="205" t="s">
        <v>284</v>
      </c>
      <c r="N35" s="205" t="s">
        <v>284</v>
      </c>
      <c r="O35" s="206" t="s">
        <v>284</v>
      </c>
      <c r="P35" s="207"/>
      <c r="Q35" s="205"/>
      <c r="R35" s="205"/>
      <c r="S35" s="207"/>
      <c r="T35" s="205"/>
      <c r="U35" s="205"/>
      <c r="V35" s="205"/>
      <c r="W35" s="205"/>
      <c r="X35" s="205"/>
      <c r="Y35" s="205"/>
      <c r="Z35" s="205"/>
      <c r="AA35" s="205"/>
      <c r="AB35" s="205"/>
      <c r="AC35" s="207"/>
      <c r="AD35" s="205"/>
      <c r="AE35" s="205"/>
      <c r="AF35" s="205"/>
      <c r="AG35" s="205"/>
      <c r="AH35" s="207"/>
      <c r="AI35" s="205"/>
      <c r="AJ35" s="205"/>
      <c r="AK35" s="205"/>
      <c r="AL35" s="205"/>
      <c r="AM35" s="205"/>
      <c r="AN35" s="205"/>
      <c r="AO35" s="205"/>
      <c r="AP35" s="205"/>
      <c r="AQ35" s="205"/>
      <c r="AR35" s="207"/>
      <c r="AS35" s="205"/>
      <c r="AT35" s="205"/>
      <c r="AU35" s="208"/>
      <c r="AV35" s="205"/>
      <c r="AW35" s="205"/>
      <c r="AX35" s="207"/>
      <c r="AY35" s="205"/>
      <c r="AZ35" s="205"/>
      <c r="BA35" s="205"/>
      <c r="BB35" s="205"/>
      <c r="BC35" s="205"/>
      <c r="BD35" s="205"/>
      <c r="BE35" s="205"/>
      <c r="BF35" s="205"/>
      <c r="BG35" s="205"/>
      <c r="BH35" s="205"/>
      <c r="BI35" s="205"/>
      <c r="BJ35" s="205"/>
      <c r="BK35" s="205"/>
      <c r="BL35" s="207"/>
      <c r="BM35" s="205"/>
      <c r="BN35" s="205"/>
      <c r="BO35" s="205"/>
      <c r="BP35" s="205"/>
      <c r="BQ35" s="205"/>
      <c r="BR35" s="205"/>
      <c r="BS35" s="205"/>
      <c r="BT35" s="205"/>
      <c r="BU35" s="205"/>
      <c r="BV35" s="205"/>
      <c r="BW35" s="208"/>
      <c r="BX35" s="204"/>
      <c r="BY35" s="205"/>
      <c r="BZ35" s="205"/>
      <c r="CA35" s="205"/>
      <c r="CB35" s="206"/>
      <c r="CC35" s="207" t="s">
        <v>284</v>
      </c>
      <c r="CD35" s="205"/>
      <c r="CE35" s="205" t="s">
        <v>284</v>
      </c>
      <c r="CF35" s="206"/>
      <c r="CG35" s="160"/>
    </row>
    <row r="36" spans="1:85">
      <c r="A36" s="160"/>
      <c r="B36" s="202"/>
      <c r="C36" s="203" t="s">
        <v>242</v>
      </c>
      <c r="D36" s="204"/>
      <c r="E36" s="205" t="s">
        <v>284</v>
      </c>
      <c r="F36" s="205" t="s">
        <v>284</v>
      </c>
      <c r="G36" s="205" t="s">
        <v>284</v>
      </c>
      <c r="H36" s="205" t="s">
        <v>284</v>
      </c>
      <c r="I36" s="205"/>
      <c r="J36" s="205"/>
      <c r="K36" s="205"/>
      <c r="L36" s="205"/>
      <c r="M36" s="205"/>
      <c r="N36" s="205"/>
      <c r="O36" s="206"/>
      <c r="P36" s="207"/>
      <c r="Q36" s="205"/>
      <c r="R36" s="205"/>
      <c r="S36" s="207"/>
      <c r="T36" s="205"/>
      <c r="U36" s="205"/>
      <c r="V36" s="205"/>
      <c r="W36" s="205"/>
      <c r="X36" s="205"/>
      <c r="Y36" s="205"/>
      <c r="Z36" s="205"/>
      <c r="AA36" s="205"/>
      <c r="AB36" s="205"/>
      <c r="AC36" s="207"/>
      <c r="AD36" s="205"/>
      <c r="AE36" s="205"/>
      <c r="AF36" s="205"/>
      <c r="AG36" s="205"/>
      <c r="AH36" s="207"/>
      <c r="AI36" s="205"/>
      <c r="AJ36" s="205"/>
      <c r="AK36" s="205"/>
      <c r="AL36" s="205"/>
      <c r="AM36" s="205"/>
      <c r="AN36" s="205"/>
      <c r="AO36" s="205"/>
      <c r="AP36" s="205"/>
      <c r="AQ36" s="205"/>
      <c r="AR36" s="207"/>
      <c r="AS36" s="205"/>
      <c r="AT36" s="205"/>
      <c r="AU36" s="208"/>
      <c r="AV36" s="205"/>
      <c r="AW36" s="205"/>
      <c r="AX36" s="207"/>
      <c r="AY36" s="205"/>
      <c r="AZ36" s="205"/>
      <c r="BA36" s="205"/>
      <c r="BB36" s="205"/>
      <c r="BC36" s="205"/>
      <c r="BD36" s="205"/>
      <c r="BE36" s="205"/>
      <c r="BF36" s="205"/>
      <c r="BG36" s="205"/>
      <c r="BH36" s="205"/>
      <c r="BI36" s="205"/>
      <c r="BJ36" s="205"/>
      <c r="BK36" s="205"/>
      <c r="BL36" s="207"/>
      <c r="BM36" s="205"/>
      <c r="BN36" s="205"/>
      <c r="BO36" s="205"/>
      <c r="BP36" s="205"/>
      <c r="BQ36" s="205"/>
      <c r="BR36" s="205"/>
      <c r="BS36" s="205"/>
      <c r="BT36" s="205"/>
      <c r="BU36" s="205"/>
      <c r="BV36" s="205"/>
      <c r="BW36" s="208"/>
      <c r="BX36" s="204"/>
      <c r="BY36" s="205"/>
      <c r="BZ36" s="205"/>
      <c r="CA36" s="205"/>
      <c r="CB36" s="206"/>
      <c r="CC36" s="207"/>
      <c r="CD36" s="205"/>
      <c r="CE36" s="205"/>
      <c r="CF36" s="206"/>
      <c r="CG36" s="160"/>
    </row>
    <row r="37" spans="1:85">
      <c r="A37" s="160"/>
      <c r="B37" s="202"/>
      <c r="C37" s="203" t="s">
        <v>301</v>
      </c>
      <c r="D37" s="204"/>
      <c r="E37" s="205" t="s">
        <v>284</v>
      </c>
      <c r="F37" s="205" t="s">
        <v>284</v>
      </c>
      <c r="G37" s="205" t="s">
        <v>284</v>
      </c>
      <c r="H37" s="205" t="s">
        <v>284</v>
      </c>
      <c r="I37" s="205"/>
      <c r="J37" s="205"/>
      <c r="K37" s="205"/>
      <c r="L37" s="205"/>
      <c r="M37" s="205"/>
      <c r="N37" s="205"/>
      <c r="O37" s="206"/>
      <c r="P37" s="207"/>
      <c r="Q37" s="205"/>
      <c r="R37" s="205"/>
      <c r="S37" s="207"/>
      <c r="T37" s="205"/>
      <c r="U37" s="205"/>
      <c r="V37" s="205"/>
      <c r="W37" s="205"/>
      <c r="X37" s="205"/>
      <c r="Y37" s="205"/>
      <c r="Z37" s="205"/>
      <c r="AA37" s="205"/>
      <c r="AB37" s="205"/>
      <c r="AC37" s="207"/>
      <c r="AD37" s="205"/>
      <c r="AE37" s="205"/>
      <c r="AF37" s="205"/>
      <c r="AG37" s="205"/>
      <c r="AH37" s="207"/>
      <c r="AI37" s="205"/>
      <c r="AJ37" s="205"/>
      <c r="AK37" s="205"/>
      <c r="AL37" s="205"/>
      <c r="AM37" s="205"/>
      <c r="AN37" s="205"/>
      <c r="AO37" s="205"/>
      <c r="AP37" s="205"/>
      <c r="AQ37" s="205"/>
      <c r="AR37" s="207"/>
      <c r="AS37" s="205"/>
      <c r="AT37" s="205"/>
      <c r="AU37" s="208"/>
      <c r="AV37" s="205"/>
      <c r="AW37" s="205"/>
      <c r="AX37" s="207"/>
      <c r="AY37" s="205"/>
      <c r="AZ37" s="205"/>
      <c r="BA37" s="205"/>
      <c r="BB37" s="205"/>
      <c r="BC37" s="205"/>
      <c r="BD37" s="205"/>
      <c r="BE37" s="205"/>
      <c r="BF37" s="205"/>
      <c r="BG37" s="205"/>
      <c r="BH37" s="205"/>
      <c r="BI37" s="205"/>
      <c r="BJ37" s="205"/>
      <c r="BK37" s="205"/>
      <c r="BL37" s="207"/>
      <c r="BM37" s="205"/>
      <c r="BN37" s="205"/>
      <c r="BO37" s="205"/>
      <c r="BP37" s="205"/>
      <c r="BQ37" s="205"/>
      <c r="BR37" s="205"/>
      <c r="BS37" s="205"/>
      <c r="BT37" s="205"/>
      <c r="BU37" s="205"/>
      <c r="BV37" s="205"/>
      <c r="BW37" s="208"/>
      <c r="BX37" s="204"/>
      <c r="BY37" s="205"/>
      <c r="BZ37" s="205"/>
      <c r="CA37" s="205"/>
      <c r="CB37" s="206"/>
      <c r="CC37" s="207"/>
      <c r="CD37" s="205"/>
      <c r="CE37" s="205"/>
      <c r="CF37" s="206"/>
      <c r="CG37" s="160"/>
    </row>
    <row r="38" spans="1:85">
      <c r="A38" s="160"/>
      <c r="B38" s="202"/>
      <c r="C38" s="203" t="s">
        <v>302</v>
      </c>
      <c r="D38" s="204"/>
      <c r="E38" s="205" t="s">
        <v>284</v>
      </c>
      <c r="F38" s="205" t="s">
        <v>284</v>
      </c>
      <c r="G38" s="205" t="s">
        <v>284</v>
      </c>
      <c r="H38" s="205" t="s">
        <v>284</v>
      </c>
      <c r="I38" s="205"/>
      <c r="J38" s="205"/>
      <c r="K38" s="205"/>
      <c r="L38" s="205"/>
      <c r="M38" s="205"/>
      <c r="N38" s="205"/>
      <c r="O38" s="206" t="s">
        <v>284</v>
      </c>
      <c r="P38" s="207"/>
      <c r="Q38" s="205"/>
      <c r="R38" s="205"/>
      <c r="S38" s="207"/>
      <c r="T38" s="205"/>
      <c r="U38" s="205"/>
      <c r="V38" s="205"/>
      <c r="W38" s="205"/>
      <c r="X38" s="205"/>
      <c r="Y38" s="205"/>
      <c r="Z38" s="205"/>
      <c r="AA38" s="205"/>
      <c r="AB38" s="205"/>
      <c r="AC38" s="207"/>
      <c r="AD38" s="205"/>
      <c r="AE38" s="205"/>
      <c r="AF38" s="205"/>
      <c r="AG38" s="205"/>
      <c r="AH38" s="207"/>
      <c r="AI38" s="205"/>
      <c r="AJ38" s="205"/>
      <c r="AK38" s="205"/>
      <c r="AL38" s="205"/>
      <c r="AM38" s="205"/>
      <c r="AN38" s="205"/>
      <c r="AO38" s="205"/>
      <c r="AP38" s="205"/>
      <c r="AQ38" s="205"/>
      <c r="AR38" s="207"/>
      <c r="AS38" s="205"/>
      <c r="AT38" s="205"/>
      <c r="AU38" s="208"/>
      <c r="AV38" s="205"/>
      <c r="AW38" s="205"/>
      <c r="AX38" s="207"/>
      <c r="AY38" s="205"/>
      <c r="AZ38" s="205"/>
      <c r="BA38" s="205"/>
      <c r="BB38" s="205"/>
      <c r="BC38" s="205"/>
      <c r="BD38" s="205"/>
      <c r="BE38" s="205"/>
      <c r="BF38" s="205"/>
      <c r="BG38" s="205"/>
      <c r="BH38" s="205"/>
      <c r="BI38" s="205"/>
      <c r="BJ38" s="205"/>
      <c r="BK38" s="205"/>
      <c r="BL38" s="207"/>
      <c r="BM38" s="205"/>
      <c r="BN38" s="205"/>
      <c r="BO38" s="205"/>
      <c r="BP38" s="205"/>
      <c r="BQ38" s="205"/>
      <c r="BR38" s="205"/>
      <c r="BS38" s="205"/>
      <c r="BT38" s="205"/>
      <c r="BU38" s="205"/>
      <c r="BV38" s="205"/>
      <c r="BW38" s="208"/>
      <c r="BX38" s="204"/>
      <c r="BY38" s="205"/>
      <c r="BZ38" s="205"/>
      <c r="CA38" s="205"/>
      <c r="CB38" s="206"/>
      <c r="CC38" s="207"/>
      <c r="CD38" s="205"/>
      <c r="CE38" s="205"/>
      <c r="CF38" s="206"/>
      <c r="CG38" s="160"/>
    </row>
    <row r="39" spans="1:85">
      <c r="A39" s="160"/>
      <c r="B39" s="202"/>
      <c r="C39" s="203" t="s">
        <v>303</v>
      </c>
      <c r="D39" s="204"/>
      <c r="E39" s="205" t="s">
        <v>284</v>
      </c>
      <c r="F39" s="205" t="s">
        <v>284</v>
      </c>
      <c r="G39" s="205" t="s">
        <v>284</v>
      </c>
      <c r="H39" s="205" t="s">
        <v>284</v>
      </c>
      <c r="I39" s="205"/>
      <c r="J39" s="205"/>
      <c r="K39" s="205"/>
      <c r="L39" s="205"/>
      <c r="M39" s="205"/>
      <c r="N39" s="205"/>
      <c r="O39" s="206" t="s">
        <v>284</v>
      </c>
      <c r="P39" s="207"/>
      <c r="Q39" s="205"/>
      <c r="R39" s="205"/>
      <c r="S39" s="207"/>
      <c r="T39" s="205"/>
      <c r="U39" s="205"/>
      <c r="V39" s="205"/>
      <c r="W39" s="205"/>
      <c r="X39" s="205"/>
      <c r="Y39" s="205"/>
      <c r="Z39" s="205"/>
      <c r="AA39" s="205"/>
      <c r="AB39" s="205"/>
      <c r="AC39" s="207"/>
      <c r="AD39" s="205"/>
      <c r="AE39" s="205"/>
      <c r="AF39" s="205"/>
      <c r="AG39" s="205"/>
      <c r="AH39" s="207"/>
      <c r="AI39" s="205"/>
      <c r="AJ39" s="205"/>
      <c r="AK39" s="205"/>
      <c r="AL39" s="205"/>
      <c r="AM39" s="205"/>
      <c r="AN39" s="205"/>
      <c r="AO39" s="205"/>
      <c r="AP39" s="205"/>
      <c r="AQ39" s="205"/>
      <c r="AR39" s="207"/>
      <c r="AS39" s="205"/>
      <c r="AT39" s="205"/>
      <c r="AU39" s="208"/>
      <c r="AV39" s="205"/>
      <c r="AW39" s="205"/>
      <c r="AX39" s="207"/>
      <c r="AY39" s="205"/>
      <c r="AZ39" s="205"/>
      <c r="BA39" s="205"/>
      <c r="BB39" s="205"/>
      <c r="BC39" s="205"/>
      <c r="BD39" s="205"/>
      <c r="BE39" s="205"/>
      <c r="BF39" s="205"/>
      <c r="BG39" s="205"/>
      <c r="BH39" s="205"/>
      <c r="BI39" s="205"/>
      <c r="BJ39" s="205"/>
      <c r="BK39" s="205"/>
      <c r="BL39" s="207"/>
      <c r="BM39" s="205"/>
      <c r="BN39" s="205"/>
      <c r="BO39" s="205"/>
      <c r="BP39" s="205"/>
      <c r="BQ39" s="205"/>
      <c r="BR39" s="205"/>
      <c r="BS39" s="205"/>
      <c r="BT39" s="205"/>
      <c r="BU39" s="205"/>
      <c r="BV39" s="205"/>
      <c r="BW39" s="208"/>
      <c r="BX39" s="204"/>
      <c r="BY39" s="205"/>
      <c r="BZ39" s="205"/>
      <c r="CA39" s="205"/>
      <c r="CB39" s="206"/>
      <c r="CC39" s="207"/>
      <c r="CD39" s="205"/>
      <c r="CE39" s="205"/>
      <c r="CF39" s="206"/>
      <c r="CG39" s="160"/>
    </row>
    <row r="40" spans="1:85">
      <c r="A40" s="160"/>
      <c r="B40" s="202"/>
      <c r="C40" s="203" t="s">
        <v>244</v>
      </c>
      <c r="D40" s="204"/>
      <c r="E40" s="205" t="s">
        <v>284</v>
      </c>
      <c r="F40" s="205" t="s">
        <v>284</v>
      </c>
      <c r="G40" s="205" t="s">
        <v>284</v>
      </c>
      <c r="H40" s="205" t="s">
        <v>284</v>
      </c>
      <c r="I40" s="205"/>
      <c r="J40" s="205"/>
      <c r="K40" s="205"/>
      <c r="L40" s="205"/>
      <c r="M40" s="205"/>
      <c r="N40" s="205"/>
      <c r="O40" s="206"/>
      <c r="P40" s="207"/>
      <c r="Q40" s="205"/>
      <c r="R40" s="205"/>
      <c r="S40" s="207"/>
      <c r="T40" s="205"/>
      <c r="U40" s="205"/>
      <c r="V40" s="205"/>
      <c r="W40" s="205"/>
      <c r="X40" s="205"/>
      <c r="Y40" s="205"/>
      <c r="Z40" s="205"/>
      <c r="AA40" s="205"/>
      <c r="AB40" s="205"/>
      <c r="AC40" s="207"/>
      <c r="AD40" s="205"/>
      <c r="AE40" s="205"/>
      <c r="AF40" s="205"/>
      <c r="AG40" s="205"/>
      <c r="AH40" s="207"/>
      <c r="AI40" s="205"/>
      <c r="AJ40" s="205"/>
      <c r="AK40" s="205"/>
      <c r="AL40" s="205"/>
      <c r="AM40" s="205"/>
      <c r="AN40" s="205"/>
      <c r="AO40" s="205"/>
      <c r="AP40" s="205"/>
      <c r="AQ40" s="205"/>
      <c r="AR40" s="207"/>
      <c r="AS40" s="205"/>
      <c r="AT40" s="205"/>
      <c r="AU40" s="208"/>
      <c r="AV40" s="205"/>
      <c r="AW40" s="205"/>
      <c r="AX40" s="207"/>
      <c r="AY40" s="205"/>
      <c r="AZ40" s="205"/>
      <c r="BA40" s="205"/>
      <c r="BB40" s="205"/>
      <c r="BC40" s="205"/>
      <c r="BD40" s="205"/>
      <c r="BE40" s="205"/>
      <c r="BF40" s="205"/>
      <c r="BG40" s="205"/>
      <c r="BH40" s="205"/>
      <c r="BI40" s="205"/>
      <c r="BJ40" s="205"/>
      <c r="BK40" s="205"/>
      <c r="BL40" s="207"/>
      <c r="BM40" s="205"/>
      <c r="BN40" s="205"/>
      <c r="BO40" s="205"/>
      <c r="BP40" s="205"/>
      <c r="BQ40" s="205"/>
      <c r="BR40" s="205"/>
      <c r="BS40" s="205"/>
      <c r="BT40" s="205"/>
      <c r="BU40" s="205"/>
      <c r="BV40" s="205"/>
      <c r="BW40" s="208"/>
      <c r="BX40" s="204"/>
      <c r="BY40" s="205"/>
      <c r="BZ40" s="205"/>
      <c r="CA40" s="205"/>
      <c r="CB40" s="206"/>
      <c r="CC40" s="207" t="s">
        <v>284</v>
      </c>
      <c r="CD40" s="205"/>
      <c r="CE40" s="205" t="s">
        <v>284</v>
      </c>
      <c r="CF40" s="206"/>
      <c r="CG40" s="160"/>
    </row>
    <row r="41" spans="1:85">
      <c r="A41" s="160"/>
      <c r="B41" s="202"/>
      <c r="C41" s="203" t="s">
        <v>304</v>
      </c>
      <c r="D41" s="204"/>
      <c r="E41" s="205" t="s">
        <v>284</v>
      </c>
      <c r="F41" s="205" t="s">
        <v>284</v>
      </c>
      <c r="G41" s="205" t="s">
        <v>284</v>
      </c>
      <c r="H41" s="205" t="s">
        <v>284</v>
      </c>
      <c r="I41" s="205"/>
      <c r="J41" s="205"/>
      <c r="K41" s="205"/>
      <c r="L41" s="205"/>
      <c r="M41" s="205"/>
      <c r="N41" s="205"/>
      <c r="O41" s="206"/>
      <c r="P41" s="207"/>
      <c r="Q41" s="205"/>
      <c r="R41" s="205"/>
      <c r="S41" s="207"/>
      <c r="T41" s="205"/>
      <c r="U41" s="205"/>
      <c r="V41" s="205"/>
      <c r="W41" s="205"/>
      <c r="X41" s="205"/>
      <c r="Y41" s="205"/>
      <c r="Z41" s="205"/>
      <c r="AA41" s="205"/>
      <c r="AB41" s="205"/>
      <c r="AC41" s="207"/>
      <c r="AD41" s="205"/>
      <c r="AE41" s="205"/>
      <c r="AF41" s="205"/>
      <c r="AG41" s="205"/>
      <c r="AH41" s="207"/>
      <c r="AI41" s="205"/>
      <c r="AJ41" s="205"/>
      <c r="AK41" s="205"/>
      <c r="AL41" s="205"/>
      <c r="AM41" s="205"/>
      <c r="AN41" s="205"/>
      <c r="AO41" s="205"/>
      <c r="AP41" s="205"/>
      <c r="AQ41" s="205"/>
      <c r="AR41" s="207"/>
      <c r="AS41" s="205"/>
      <c r="AT41" s="205"/>
      <c r="AU41" s="208"/>
      <c r="AV41" s="205"/>
      <c r="AW41" s="205"/>
      <c r="AX41" s="207"/>
      <c r="AY41" s="205"/>
      <c r="AZ41" s="205"/>
      <c r="BA41" s="205"/>
      <c r="BB41" s="205"/>
      <c r="BC41" s="205"/>
      <c r="BD41" s="205"/>
      <c r="BE41" s="205"/>
      <c r="BF41" s="205"/>
      <c r="BG41" s="205"/>
      <c r="BH41" s="205"/>
      <c r="BI41" s="205"/>
      <c r="BJ41" s="205"/>
      <c r="BK41" s="205"/>
      <c r="BL41" s="207"/>
      <c r="BM41" s="205"/>
      <c r="BN41" s="205"/>
      <c r="BO41" s="205"/>
      <c r="BP41" s="205"/>
      <c r="BQ41" s="205"/>
      <c r="BR41" s="205"/>
      <c r="BS41" s="205"/>
      <c r="BT41" s="205"/>
      <c r="BU41" s="205"/>
      <c r="BV41" s="205"/>
      <c r="BW41" s="208"/>
      <c r="BX41" s="204"/>
      <c r="BY41" s="205"/>
      <c r="BZ41" s="205"/>
      <c r="CA41" s="205"/>
      <c r="CB41" s="206"/>
      <c r="CC41" s="207" t="s">
        <v>284</v>
      </c>
      <c r="CD41" s="205"/>
      <c r="CE41" s="205" t="s">
        <v>284</v>
      </c>
      <c r="CF41" s="206"/>
      <c r="CG41" s="160"/>
    </row>
    <row r="42" spans="1:85">
      <c r="A42" s="160"/>
      <c r="B42" s="202"/>
      <c r="C42" s="203" t="s">
        <v>305</v>
      </c>
      <c r="D42" s="204"/>
      <c r="E42" s="205" t="s">
        <v>284</v>
      </c>
      <c r="F42" s="205" t="s">
        <v>284</v>
      </c>
      <c r="G42" s="205" t="s">
        <v>284</v>
      </c>
      <c r="H42" s="205" t="s">
        <v>284</v>
      </c>
      <c r="I42" s="205"/>
      <c r="J42" s="205"/>
      <c r="K42" s="205"/>
      <c r="L42" s="205"/>
      <c r="M42" s="205"/>
      <c r="N42" s="205"/>
      <c r="O42" s="206" t="s">
        <v>284</v>
      </c>
      <c r="P42" s="207"/>
      <c r="Q42" s="205"/>
      <c r="R42" s="205"/>
      <c r="S42" s="207"/>
      <c r="T42" s="205"/>
      <c r="U42" s="205"/>
      <c r="V42" s="205"/>
      <c r="W42" s="205"/>
      <c r="X42" s="205"/>
      <c r="Y42" s="205"/>
      <c r="Z42" s="205"/>
      <c r="AA42" s="205"/>
      <c r="AB42" s="205"/>
      <c r="AC42" s="207"/>
      <c r="AD42" s="205"/>
      <c r="AE42" s="205"/>
      <c r="AF42" s="205"/>
      <c r="AG42" s="205"/>
      <c r="AH42" s="207"/>
      <c r="AI42" s="205"/>
      <c r="AJ42" s="205"/>
      <c r="AK42" s="205"/>
      <c r="AL42" s="205"/>
      <c r="AM42" s="205"/>
      <c r="AN42" s="205"/>
      <c r="AO42" s="205"/>
      <c r="AP42" s="205"/>
      <c r="AQ42" s="205"/>
      <c r="AR42" s="207"/>
      <c r="AS42" s="205"/>
      <c r="AT42" s="205"/>
      <c r="AU42" s="208"/>
      <c r="AV42" s="205"/>
      <c r="AW42" s="205"/>
      <c r="AX42" s="207"/>
      <c r="AY42" s="205"/>
      <c r="AZ42" s="205"/>
      <c r="BA42" s="205"/>
      <c r="BB42" s="205"/>
      <c r="BC42" s="205"/>
      <c r="BD42" s="205"/>
      <c r="BE42" s="205"/>
      <c r="BF42" s="205"/>
      <c r="BG42" s="205"/>
      <c r="BH42" s="205"/>
      <c r="BI42" s="205"/>
      <c r="BJ42" s="205"/>
      <c r="BK42" s="205"/>
      <c r="BL42" s="207"/>
      <c r="BM42" s="205"/>
      <c r="BN42" s="205"/>
      <c r="BO42" s="205"/>
      <c r="BP42" s="205"/>
      <c r="BQ42" s="205"/>
      <c r="BR42" s="205"/>
      <c r="BS42" s="205"/>
      <c r="BT42" s="205"/>
      <c r="BU42" s="205"/>
      <c r="BV42" s="205"/>
      <c r="BW42" s="208"/>
      <c r="BX42" s="204"/>
      <c r="BY42" s="205"/>
      <c r="BZ42" s="205"/>
      <c r="CA42" s="205"/>
      <c r="CB42" s="206"/>
      <c r="CC42" s="207" t="s">
        <v>284</v>
      </c>
      <c r="CD42" s="205"/>
      <c r="CE42" s="205" t="s">
        <v>284</v>
      </c>
      <c r="CF42" s="206"/>
      <c r="CG42" s="160"/>
    </row>
    <row r="43" spans="1:85">
      <c r="A43" s="160"/>
      <c r="B43" s="202"/>
      <c r="C43" s="203" t="s">
        <v>306</v>
      </c>
      <c r="D43" s="204"/>
      <c r="E43" s="205" t="s">
        <v>284</v>
      </c>
      <c r="F43" s="205" t="s">
        <v>284</v>
      </c>
      <c r="G43" s="205" t="s">
        <v>284</v>
      </c>
      <c r="H43" s="205" t="s">
        <v>284</v>
      </c>
      <c r="I43" s="205"/>
      <c r="J43" s="205"/>
      <c r="K43" s="205"/>
      <c r="L43" s="205"/>
      <c r="M43" s="205"/>
      <c r="N43" s="205"/>
      <c r="O43" s="206" t="s">
        <v>284</v>
      </c>
      <c r="P43" s="207"/>
      <c r="Q43" s="205"/>
      <c r="R43" s="205"/>
      <c r="S43" s="207"/>
      <c r="T43" s="205"/>
      <c r="U43" s="205"/>
      <c r="V43" s="205"/>
      <c r="W43" s="205"/>
      <c r="X43" s="205"/>
      <c r="Y43" s="205"/>
      <c r="Z43" s="205"/>
      <c r="AA43" s="205"/>
      <c r="AB43" s="205"/>
      <c r="AC43" s="207"/>
      <c r="AD43" s="205"/>
      <c r="AE43" s="205"/>
      <c r="AF43" s="205"/>
      <c r="AG43" s="205"/>
      <c r="AH43" s="207"/>
      <c r="AI43" s="205"/>
      <c r="AJ43" s="205"/>
      <c r="AK43" s="205"/>
      <c r="AL43" s="205"/>
      <c r="AM43" s="205"/>
      <c r="AN43" s="205"/>
      <c r="AO43" s="205"/>
      <c r="AP43" s="205"/>
      <c r="AQ43" s="205"/>
      <c r="AR43" s="207"/>
      <c r="AS43" s="205"/>
      <c r="AT43" s="205"/>
      <c r="AU43" s="208"/>
      <c r="AV43" s="205"/>
      <c r="AW43" s="205"/>
      <c r="AX43" s="207"/>
      <c r="AY43" s="205"/>
      <c r="AZ43" s="205"/>
      <c r="BA43" s="205"/>
      <c r="BB43" s="205"/>
      <c r="BC43" s="205"/>
      <c r="BD43" s="205"/>
      <c r="BE43" s="205"/>
      <c r="BF43" s="205"/>
      <c r="BG43" s="205"/>
      <c r="BH43" s="205"/>
      <c r="BI43" s="205"/>
      <c r="BJ43" s="205"/>
      <c r="BK43" s="205"/>
      <c r="BL43" s="207"/>
      <c r="BM43" s="205"/>
      <c r="BN43" s="205"/>
      <c r="BO43" s="205"/>
      <c r="BP43" s="205"/>
      <c r="BQ43" s="205"/>
      <c r="BR43" s="205"/>
      <c r="BS43" s="205"/>
      <c r="BT43" s="205"/>
      <c r="BU43" s="205"/>
      <c r="BV43" s="205"/>
      <c r="BW43" s="208"/>
      <c r="BX43" s="204"/>
      <c r="BY43" s="205"/>
      <c r="BZ43" s="205"/>
      <c r="CA43" s="205"/>
      <c r="CB43" s="206"/>
      <c r="CC43" s="207" t="s">
        <v>284</v>
      </c>
      <c r="CD43" s="205"/>
      <c r="CE43" s="205" t="s">
        <v>284</v>
      </c>
      <c r="CF43" s="206"/>
      <c r="CG43" s="160"/>
    </row>
    <row r="44" spans="1:85">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7"/>
      <c r="Q44" s="205"/>
      <c r="R44" s="205"/>
      <c r="S44" s="207"/>
      <c r="T44" s="205"/>
      <c r="U44" s="205"/>
      <c r="V44" s="205"/>
      <c r="W44" s="205"/>
      <c r="X44" s="205"/>
      <c r="Y44" s="205"/>
      <c r="Z44" s="205"/>
      <c r="AA44" s="205"/>
      <c r="AB44" s="205"/>
      <c r="AC44" s="207"/>
      <c r="AD44" s="205"/>
      <c r="AE44" s="205"/>
      <c r="AF44" s="205"/>
      <c r="AG44" s="205"/>
      <c r="AH44" s="207"/>
      <c r="AI44" s="205"/>
      <c r="AJ44" s="205"/>
      <c r="AK44" s="205"/>
      <c r="AL44" s="205"/>
      <c r="AM44" s="205"/>
      <c r="AN44" s="205"/>
      <c r="AO44" s="205"/>
      <c r="AP44" s="205"/>
      <c r="AQ44" s="205"/>
      <c r="AR44" s="207"/>
      <c r="AS44" s="205"/>
      <c r="AT44" s="205"/>
      <c r="AU44" s="208"/>
      <c r="AV44" s="205"/>
      <c r="AW44" s="205"/>
      <c r="AX44" s="207"/>
      <c r="AY44" s="205"/>
      <c r="AZ44" s="205"/>
      <c r="BA44" s="205"/>
      <c r="BB44" s="205"/>
      <c r="BC44" s="205"/>
      <c r="BD44" s="205"/>
      <c r="BE44" s="205"/>
      <c r="BF44" s="205"/>
      <c r="BG44" s="205"/>
      <c r="BH44" s="205"/>
      <c r="BI44" s="205"/>
      <c r="BJ44" s="205"/>
      <c r="BK44" s="205"/>
      <c r="BL44" s="207"/>
      <c r="BM44" s="205"/>
      <c r="BN44" s="205"/>
      <c r="BO44" s="205"/>
      <c r="BP44" s="205"/>
      <c r="BQ44" s="205"/>
      <c r="BR44" s="205"/>
      <c r="BS44" s="205"/>
      <c r="BT44" s="205"/>
      <c r="BU44" s="205"/>
      <c r="BV44" s="205"/>
      <c r="BW44" s="208"/>
      <c r="BX44" s="204"/>
      <c r="BY44" s="205"/>
      <c r="BZ44" s="205"/>
      <c r="CA44" s="205"/>
      <c r="CB44" s="206"/>
      <c r="CC44" s="207"/>
      <c r="CD44" s="205"/>
      <c r="CE44" s="205"/>
      <c r="CF44" s="206"/>
      <c r="CG44" s="160"/>
    </row>
    <row r="45" spans="1:85">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7"/>
      <c r="Q45" s="205"/>
      <c r="R45" s="205"/>
      <c r="S45" s="207"/>
      <c r="T45" s="205"/>
      <c r="U45" s="205"/>
      <c r="V45" s="205"/>
      <c r="W45" s="205"/>
      <c r="X45" s="205"/>
      <c r="Y45" s="205"/>
      <c r="Z45" s="205"/>
      <c r="AA45" s="205"/>
      <c r="AB45" s="205"/>
      <c r="AC45" s="207"/>
      <c r="AD45" s="205"/>
      <c r="AE45" s="205"/>
      <c r="AF45" s="205"/>
      <c r="AG45" s="205"/>
      <c r="AH45" s="207"/>
      <c r="AI45" s="205"/>
      <c r="AJ45" s="205"/>
      <c r="AK45" s="205"/>
      <c r="AL45" s="205"/>
      <c r="AM45" s="205"/>
      <c r="AN45" s="205"/>
      <c r="AO45" s="205"/>
      <c r="AP45" s="205"/>
      <c r="AQ45" s="205"/>
      <c r="AR45" s="207"/>
      <c r="AS45" s="205"/>
      <c r="AT45" s="205"/>
      <c r="AU45" s="208"/>
      <c r="AV45" s="205"/>
      <c r="AW45" s="205"/>
      <c r="AX45" s="207"/>
      <c r="AY45" s="205"/>
      <c r="AZ45" s="205"/>
      <c r="BA45" s="205"/>
      <c r="BB45" s="205"/>
      <c r="BC45" s="205"/>
      <c r="BD45" s="205"/>
      <c r="BE45" s="205"/>
      <c r="BF45" s="205"/>
      <c r="BG45" s="205"/>
      <c r="BH45" s="205"/>
      <c r="BI45" s="205"/>
      <c r="BJ45" s="205"/>
      <c r="BK45" s="205"/>
      <c r="BL45" s="207"/>
      <c r="BM45" s="205"/>
      <c r="BN45" s="205"/>
      <c r="BO45" s="205"/>
      <c r="BP45" s="205"/>
      <c r="BQ45" s="205"/>
      <c r="BR45" s="205"/>
      <c r="BS45" s="205"/>
      <c r="BT45" s="205"/>
      <c r="BU45" s="205"/>
      <c r="BV45" s="205"/>
      <c r="BW45" s="208"/>
      <c r="BX45" s="204" t="s">
        <v>284</v>
      </c>
      <c r="BY45" s="205" t="s">
        <v>284</v>
      </c>
      <c r="BZ45" s="205" t="s">
        <v>284</v>
      </c>
      <c r="CA45" s="205" t="s">
        <v>284</v>
      </c>
      <c r="CB45" s="206" t="s">
        <v>284</v>
      </c>
      <c r="CC45" s="207"/>
      <c r="CD45" s="205"/>
      <c r="CE45" s="205"/>
      <c r="CF45" s="206"/>
      <c r="CG45" s="160"/>
    </row>
    <row r="46" spans="1:85">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7"/>
      <c r="Q46" s="205"/>
      <c r="R46" s="205"/>
      <c r="S46" s="207"/>
      <c r="T46" s="205"/>
      <c r="U46" s="205"/>
      <c r="V46" s="205"/>
      <c r="W46" s="205"/>
      <c r="X46" s="205"/>
      <c r="Y46" s="205"/>
      <c r="Z46" s="205"/>
      <c r="AA46" s="205"/>
      <c r="AB46" s="205"/>
      <c r="AC46" s="207"/>
      <c r="AD46" s="205"/>
      <c r="AE46" s="205"/>
      <c r="AF46" s="205"/>
      <c r="AG46" s="205"/>
      <c r="AH46" s="207"/>
      <c r="AI46" s="205"/>
      <c r="AJ46" s="205"/>
      <c r="AK46" s="205"/>
      <c r="AL46" s="205"/>
      <c r="AM46" s="205"/>
      <c r="AN46" s="205"/>
      <c r="AO46" s="205"/>
      <c r="AP46" s="205"/>
      <c r="AQ46" s="205"/>
      <c r="AR46" s="207"/>
      <c r="AS46" s="205"/>
      <c r="AT46" s="205"/>
      <c r="AU46" s="208"/>
      <c r="AV46" s="205"/>
      <c r="AW46" s="205"/>
      <c r="AX46" s="207"/>
      <c r="AY46" s="205"/>
      <c r="AZ46" s="205"/>
      <c r="BA46" s="205"/>
      <c r="BB46" s="205"/>
      <c r="BC46" s="205"/>
      <c r="BD46" s="205"/>
      <c r="BE46" s="205"/>
      <c r="BF46" s="205"/>
      <c r="BG46" s="205"/>
      <c r="BH46" s="205"/>
      <c r="BI46" s="205"/>
      <c r="BJ46" s="205"/>
      <c r="BK46" s="205"/>
      <c r="BL46" s="207"/>
      <c r="BM46" s="205"/>
      <c r="BN46" s="205"/>
      <c r="BO46" s="205"/>
      <c r="BP46" s="205"/>
      <c r="BQ46" s="205"/>
      <c r="BR46" s="205"/>
      <c r="BS46" s="205"/>
      <c r="BT46" s="205"/>
      <c r="BU46" s="205"/>
      <c r="BV46" s="205"/>
      <c r="BW46" s="208"/>
      <c r="BX46" s="204"/>
      <c r="BY46" s="205"/>
      <c r="BZ46" s="205"/>
      <c r="CA46" s="205"/>
      <c r="CB46" s="206"/>
      <c r="CC46" s="207"/>
      <c r="CD46" s="205"/>
      <c r="CE46" s="205"/>
      <c r="CF46" s="206"/>
      <c r="CG46" s="160"/>
    </row>
    <row r="47" spans="1:85">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7"/>
      <c r="Q47" s="205"/>
      <c r="R47" s="205"/>
      <c r="S47" s="207"/>
      <c r="T47" s="205"/>
      <c r="U47" s="205"/>
      <c r="V47" s="205"/>
      <c r="W47" s="205"/>
      <c r="X47" s="205"/>
      <c r="Y47" s="205"/>
      <c r="Z47" s="205"/>
      <c r="AA47" s="205"/>
      <c r="AB47" s="205"/>
      <c r="AC47" s="207"/>
      <c r="AD47" s="205"/>
      <c r="AE47" s="205"/>
      <c r="AF47" s="205"/>
      <c r="AG47" s="205"/>
      <c r="AH47" s="207"/>
      <c r="AI47" s="205"/>
      <c r="AJ47" s="205"/>
      <c r="AK47" s="205"/>
      <c r="AL47" s="205"/>
      <c r="AM47" s="205"/>
      <c r="AN47" s="205"/>
      <c r="AO47" s="205"/>
      <c r="AP47" s="205"/>
      <c r="AQ47" s="205"/>
      <c r="AR47" s="207"/>
      <c r="AS47" s="205"/>
      <c r="AT47" s="205"/>
      <c r="AU47" s="208"/>
      <c r="AV47" s="205"/>
      <c r="AW47" s="205"/>
      <c r="AX47" s="207"/>
      <c r="AY47" s="205"/>
      <c r="AZ47" s="205"/>
      <c r="BA47" s="205"/>
      <c r="BB47" s="205"/>
      <c r="BC47" s="205"/>
      <c r="BD47" s="205"/>
      <c r="BE47" s="205"/>
      <c r="BF47" s="205"/>
      <c r="BG47" s="205"/>
      <c r="BH47" s="205"/>
      <c r="BI47" s="205"/>
      <c r="BJ47" s="205"/>
      <c r="BK47" s="205"/>
      <c r="BL47" s="207"/>
      <c r="BM47" s="205"/>
      <c r="BN47" s="205"/>
      <c r="BO47" s="205"/>
      <c r="BP47" s="205"/>
      <c r="BQ47" s="205"/>
      <c r="BR47" s="205"/>
      <c r="BS47" s="205"/>
      <c r="BT47" s="205"/>
      <c r="BU47" s="205"/>
      <c r="BV47" s="205"/>
      <c r="BW47" s="208"/>
      <c r="BX47" s="204"/>
      <c r="BY47" s="205"/>
      <c r="BZ47" s="205"/>
      <c r="CA47" s="205"/>
      <c r="CB47" s="206"/>
      <c r="CC47" s="207"/>
      <c r="CD47" s="205"/>
      <c r="CE47" s="205"/>
      <c r="CF47" s="206"/>
      <c r="CG47" s="160"/>
    </row>
    <row r="48" spans="1:85">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7"/>
      <c r="Q48" s="205"/>
      <c r="R48" s="205"/>
      <c r="S48" s="207"/>
      <c r="T48" s="205"/>
      <c r="U48" s="205"/>
      <c r="V48" s="205"/>
      <c r="W48" s="205"/>
      <c r="X48" s="205"/>
      <c r="Y48" s="205"/>
      <c r="Z48" s="205"/>
      <c r="AA48" s="205"/>
      <c r="AB48" s="205"/>
      <c r="AC48" s="207"/>
      <c r="AD48" s="205"/>
      <c r="AE48" s="205"/>
      <c r="AF48" s="205"/>
      <c r="AG48" s="205"/>
      <c r="AH48" s="207"/>
      <c r="AI48" s="205"/>
      <c r="AJ48" s="205"/>
      <c r="AK48" s="205"/>
      <c r="AL48" s="205"/>
      <c r="AM48" s="205"/>
      <c r="AN48" s="205"/>
      <c r="AO48" s="205"/>
      <c r="AP48" s="205"/>
      <c r="AQ48" s="205"/>
      <c r="AR48" s="207"/>
      <c r="AS48" s="205"/>
      <c r="AT48" s="205"/>
      <c r="AU48" s="208"/>
      <c r="AV48" s="205"/>
      <c r="AW48" s="205"/>
      <c r="AX48" s="207"/>
      <c r="AY48" s="205"/>
      <c r="AZ48" s="205"/>
      <c r="BA48" s="205"/>
      <c r="BB48" s="205"/>
      <c r="BC48" s="205"/>
      <c r="BD48" s="205"/>
      <c r="BE48" s="205"/>
      <c r="BF48" s="205"/>
      <c r="BG48" s="205"/>
      <c r="BH48" s="205"/>
      <c r="BI48" s="205"/>
      <c r="BJ48" s="205"/>
      <c r="BK48" s="205"/>
      <c r="BL48" s="207"/>
      <c r="BM48" s="205"/>
      <c r="BN48" s="205"/>
      <c r="BO48" s="205"/>
      <c r="BP48" s="205"/>
      <c r="BQ48" s="205"/>
      <c r="BR48" s="205"/>
      <c r="BS48" s="205"/>
      <c r="BT48" s="205"/>
      <c r="BU48" s="205"/>
      <c r="BV48" s="205"/>
      <c r="BW48" s="208"/>
      <c r="BX48" s="204"/>
      <c r="BY48" s="205"/>
      <c r="BZ48" s="205"/>
      <c r="CA48" s="205"/>
      <c r="CB48" s="206"/>
      <c r="CC48" s="207" t="s">
        <v>284</v>
      </c>
      <c r="CD48" s="205"/>
      <c r="CE48" s="205" t="s">
        <v>284</v>
      </c>
      <c r="CF48" s="206"/>
      <c r="CG48" s="160"/>
    </row>
    <row r="49" spans="1:85">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7"/>
      <c r="Q49" s="205"/>
      <c r="R49" s="205"/>
      <c r="S49" s="207"/>
      <c r="T49" s="205"/>
      <c r="U49" s="205"/>
      <c r="V49" s="205"/>
      <c r="W49" s="205"/>
      <c r="X49" s="205"/>
      <c r="Y49" s="205"/>
      <c r="Z49" s="205"/>
      <c r="AA49" s="205"/>
      <c r="AB49" s="205"/>
      <c r="AC49" s="207"/>
      <c r="AD49" s="205"/>
      <c r="AE49" s="205"/>
      <c r="AF49" s="205"/>
      <c r="AG49" s="205"/>
      <c r="AH49" s="207"/>
      <c r="AI49" s="205"/>
      <c r="AJ49" s="205"/>
      <c r="AK49" s="205"/>
      <c r="AL49" s="205"/>
      <c r="AM49" s="205"/>
      <c r="AN49" s="205"/>
      <c r="AO49" s="205"/>
      <c r="AP49" s="205"/>
      <c r="AQ49" s="205"/>
      <c r="AR49" s="207"/>
      <c r="AS49" s="205"/>
      <c r="AT49" s="205"/>
      <c r="AU49" s="208"/>
      <c r="AV49" s="205"/>
      <c r="AW49" s="205"/>
      <c r="AX49" s="207"/>
      <c r="AY49" s="205"/>
      <c r="AZ49" s="205"/>
      <c r="BA49" s="205"/>
      <c r="BB49" s="205"/>
      <c r="BC49" s="205"/>
      <c r="BD49" s="205"/>
      <c r="BE49" s="205"/>
      <c r="BF49" s="205"/>
      <c r="BG49" s="205"/>
      <c r="BH49" s="205"/>
      <c r="BI49" s="205"/>
      <c r="BJ49" s="205"/>
      <c r="BK49" s="205"/>
      <c r="BL49" s="207"/>
      <c r="BM49" s="205"/>
      <c r="BN49" s="205"/>
      <c r="BO49" s="205"/>
      <c r="BP49" s="205"/>
      <c r="BQ49" s="205"/>
      <c r="BR49" s="205"/>
      <c r="BS49" s="205"/>
      <c r="BT49" s="205"/>
      <c r="BU49" s="205"/>
      <c r="BV49" s="205"/>
      <c r="BW49" s="208"/>
      <c r="BX49" s="204"/>
      <c r="BY49" s="205"/>
      <c r="BZ49" s="205"/>
      <c r="CA49" s="205"/>
      <c r="CB49" s="206"/>
      <c r="CC49" s="207" t="s">
        <v>284</v>
      </c>
      <c r="CD49" s="205"/>
      <c r="CE49" s="205" t="s">
        <v>284</v>
      </c>
      <c r="CF49" s="206"/>
      <c r="CG49" s="160"/>
    </row>
    <row r="50" spans="1:85">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7"/>
      <c r="Q50" s="205"/>
      <c r="R50" s="205"/>
      <c r="S50" s="207"/>
      <c r="T50" s="205"/>
      <c r="U50" s="205"/>
      <c r="V50" s="205"/>
      <c r="W50" s="205"/>
      <c r="X50" s="205"/>
      <c r="Y50" s="205"/>
      <c r="Z50" s="205"/>
      <c r="AA50" s="205"/>
      <c r="AB50" s="205"/>
      <c r="AC50" s="207"/>
      <c r="AD50" s="205"/>
      <c r="AE50" s="205"/>
      <c r="AF50" s="205"/>
      <c r="AG50" s="205"/>
      <c r="AH50" s="207"/>
      <c r="AI50" s="205"/>
      <c r="AJ50" s="205"/>
      <c r="AK50" s="205"/>
      <c r="AL50" s="205"/>
      <c r="AM50" s="205"/>
      <c r="AN50" s="205"/>
      <c r="AO50" s="205"/>
      <c r="AP50" s="205"/>
      <c r="AQ50" s="205"/>
      <c r="AR50" s="207"/>
      <c r="AS50" s="205"/>
      <c r="AT50" s="205"/>
      <c r="AU50" s="208"/>
      <c r="AV50" s="205"/>
      <c r="AW50" s="205"/>
      <c r="AX50" s="207"/>
      <c r="AY50" s="205"/>
      <c r="AZ50" s="205"/>
      <c r="BA50" s="205"/>
      <c r="BB50" s="205"/>
      <c r="BC50" s="205"/>
      <c r="BD50" s="205"/>
      <c r="BE50" s="205"/>
      <c r="BF50" s="205"/>
      <c r="BG50" s="205"/>
      <c r="BH50" s="205"/>
      <c r="BI50" s="205"/>
      <c r="BJ50" s="205"/>
      <c r="BK50" s="205"/>
      <c r="BL50" s="207"/>
      <c r="BM50" s="205"/>
      <c r="BN50" s="205"/>
      <c r="BO50" s="205"/>
      <c r="BP50" s="205"/>
      <c r="BQ50" s="205"/>
      <c r="BR50" s="205"/>
      <c r="BS50" s="205"/>
      <c r="BT50" s="205"/>
      <c r="BU50" s="205"/>
      <c r="BV50" s="205"/>
      <c r="BW50" s="208"/>
      <c r="BX50" s="204"/>
      <c r="BY50" s="205"/>
      <c r="BZ50" s="205"/>
      <c r="CA50" s="205"/>
      <c r="CB50" s="206"/>
      <c r="CC50" s="207" t="s">
        <v>284</v>
      </c>
      <c r="CD50" s="205"/>
      <c r="CE50" s="205" t="s">
        <v>284</v>
      </c>
      <c r="CF50" s="206"/>
      <c r="CG50" s="160"/>
    </row>
    <row r="51" spans="1:85">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7"/>
      <c r="Q51" s="205"/>
      <c r="R51" s="205"/>
      <c r="S51" s="207"/>
      <c r="T51" s="205"/>
      <c r="U51" s="205"/>
      <c r="V51" s="205"/>
      <c r="W51" s="205"/>
      <c r="X51" s="205"/>
      <c r="Y51" s="205"/>
      <c r="Z51" s="205"/>
      <c r="AA51" s="205"/>
      <c r="AB51" s="205"/>
      <c r="AC51" s="207"/>
      <c r="AD51" s="205"/>
      <c r="AE51" s="205"/>
      <c r="AF51" s="205"/>
      <c r="AG51" s="205"/>
      <c r="AH51" s="207"/>
      <c r="AI51" s="205"/>
      <c r="AJ51" s="205"/>
      <c r="AK51" s="205"/>
      <c r="AL51" s="205"/>
      <c r="AM51" s="205"/>
      <c r="AN51" s="205"/>
      <c r="AO51" s="205"/>
      <c r="AP51" s="205"/>
      <c r="AQ51" s="205"/>
      <c r="AR51" s="207"/>
      <c r="AS51" s="205"/>
      <c r="AT51" s="205"/>
      <c r="AU51" s="208"/>
      <c r="AV51" s="205"/>
      <c r="AW51" s="205"/>
      <c r="AX51" s="207"/>
      <c r="AY51" s="205"/>
      <c r="AZ51" s="205"/>
      <c r="BA51" s="205"/>
      <c r="BB51" s="205"/>
      <c r="BC51" s="205"/>
      <c r="BD51" s="205"/>
      <c r="BE51" s="205"/>
      <c r="BF51" s="205"/>
      <c r="BG51" s="205"/>
      <c r="BH51" s="205"/>
      <c r="BI51" s="205"/>
      <c r="BJ51" s="205"/>
      <c r="BK51" s="205"/>
      <c r="BL51" s="207"/>
      <c r="BM51" s="205"/>
      <c r="BN51" s="205"/>
      <c r="BO51" s="205"/>
      <c r="BP51" s="205"/>
      <c r="BQ51" s="205"/>
      <c r="BR51" s="205"/>
      <c r="BS51" s="205"/>
      <c r="BT51" s="205"/>
      <c r="BU51" s="205"/>
      <c r="BV51" s="205"/>
      <c r="BW51" s="208"/>
      <c r="BX51" s="204"/>
      <c r="BY51" s="205"/>
      <c r="BZ51" s="205"/>
      <c r="CA51" s="205"/>
      <c r="CB51" s="206"/>
      <c r="CC51" s="207" t="s">
        <v>284</v>
      </c>
      <c r="CD51" s="205"/>
      <c r="CE51" s="205" t="s">
        <v>284</v>
      </c>
      <c r="CF51" s="206"/>
      <c r="CG51" s="160"/>
    </row>
    <row r="52" spans="1:85">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7"/>
      <c r="Q52" s="205"/>
      <c r="R52" s="205"/>
      <c r="S52" s="207"/>
      <c r="T52" s="205"/>
      <c r="U52" s="205"/>
      <c r="V52" s="205"/>
      <c r="W52" s="205"/>
      <c r="X52" s="205"/>
      <c r="Y52" s="205"/>
      <c r="Z52" s="205"/>
      <c r="AA52" s="205"/>
      <c r="AB52" s="205"/>
      <c r="AC52" s="207"/>
      <c r="AD52" s="205"/>
      <c r="AE52" s="205"/>
      <c r="AF52" s="205"/>
      <c r="AG52" s="205"/>
      <c r="AH52" s="207"/>
      <c r="AI52" s="205"/>
      <c r="AJ52" s="205"/>
      <c r="AK52" s="205"/>
      <c r="AL52" s="205"/>
      <c r="AM52" s="205"/>
      <c r="AN52" s="205"/>
      <c r="AO52" s="205"/>
      <c r="AP52" s="205"/>
      <c r="AQ52" s="205"/>
      <c r="AR52" s="207"/>
      <c r="AS52" s="205"/>
      <c r="AT52" s="205"/>
      <c r="AU52" s="208"/>
      <c r="AV52" s="205"/>
      <c r="AW52" s="205"/>
      <c r="AX52" s="207"/>
      <c r="AY52" s="205"/>
      <c r="AZ52" s="205"/>
      <c r="BA52" s="205"/>
      <c r="BB52" s="205"/>
      <c r="BC52" s="205"/>
      <c r="BD52" s="205"/>
      <c r="BE52" s="205"/>
      <c r="BF52" s="205"/>
      <c r="BG52" s="205"/>
      <c r="BH52" s="205"/>
      <c r="BI52" s="205"/>
      <c r="BJ52" s="205"/>
      <c r="BK52" s="205"/>
      <c r="BL52" s="207"/>
      <c r="BM52" s="205"/>
      <c r="BN52" s="205"/>
      <c r="BO52" s="205"/>
      <c r="BP52" s="205"/>
      <c r="BQ52" s="205"/>
      <c r="BR52" s="205"/>
      <c r="BS52" s="205"/>
      <c r="BT52" s="205"/>
      <c r="BU52" s="205"/>
      <c r="BV52" s="205"/>
      <c r="BW52" s="208"/>
      <c r="BX52" s="204"/>
      <c r="BY52" s="205"/>
      <c r="BZ52" s="205"/>
      <c r="CA52" s="205"/>
      <c r="CB52" s="206"/>
      <c r="CC52" s="207"/>
      <c r="CD52" s="205"/>
      <c r="CE52" s="205"/>
      <c r="CF52" s="206"/>
      <c r="CG52" s="160"/>
    </row>
    <row r="53" spans="1:85">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7"/>
      <c r="Q53" s="205"/>
      <c r="R53" s="205"/>
      <c r="S53" s="207"/>
      <c r="T53" s="205"/>
      <c r="U53" s="205"/>
      <c r="V53" s="205"/>
      <c r="W53" s="205"/>
      <c r="X53" s="205"/>
      <c r="Y53" s="205"/>
      <c r="Z53" s="205"/>
      <c r="AA53" s="205"/>
      <c r="AB53" s="205"/>
      <c r="AC53" s="207"/>
      <c r="AD53" s="205"/>
      <c r="AE53" s="205"/>
      <c r="AF53" s="205"/>
      <c r="AG53" s="205"/>
      <c r="AH53" s="207"/>
      <c r="AI53" s="205"/>
      <c r="AJ53" s="205"/>
      <c r="AK53" s="205"/>
      <c r="AL53" s="205"/>
      <c r="AM53" s="205"/>
      <c r="AN53" s="205"/>
      <c r="AO53" s="205"/>
      <c r="AP53" s="205"/>
      <c r="AQ53" s="205"/>
      <c r="AR53" s="207"/>
      <c r="AS53" s="205"/>
      <c r="AT53" s="205"/>
      <c r="AU53" s="208"/>
      <c r="AV53" s="205"/>
      <c r="AW53" s="205"/>
      <c r="AX53" s="207"/>
      <c r="AY53" s="205"/>
      <c r="AZ53" s="205"/>
      <c r="BA53" s="205"/>
      <c r="BB53" s="205"/>
      <c r="BC53" s="205"/>
      <c r="BD53" s="205"/>
      <c r="BE53" s="205"/>
      <c r="BF53" s="205"/>
      <c r="BG53" s="205"/>
      <c r="BH53" s="205"/>
      <c r="BI53" s="205"/>
      <c r="BJ53" s="205"/>
      <c r="BK53" s="205"/>
      <c r="BL53" s="207"/>
      <c r="BM53" s="205"/>
      <c r="BN53" s="205"/>
      <c r="BO53" s="205"/>
      <c r="BP53" s="205"/>
      <c r="BQ53" s="205"/>
      <c r="BR53" s="205"/>
      <c r="BS53" s="205"/>
      <c r="BT53" s="205"/>
      <c r="BU53" s="205"/>
      <c r="BV53" s="205"/>
      <c r="BW53" s="208"/>
      <c r="BX53" s="204"/>
      <c r="BY53" s="205"/>
      <c r="BZ53" s="205"/>
      <c r="CA53" s="205"/>
      <c r="CB53" s="206"/>
      <c r="CC53" s="207"/>
      <c r="CD53" s="205"/>
      <c r="CE53" s="205"/>
      <c r="CF53" s="206"/>
      <c r="CG53" s="160"/>
    </row>
    <row r="54" spans="1:85">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7"/>
      <c r="Q54" s="205"/>
      <c r="R54" s="205"/>
      <c r="S54" s="207"/>
      <c r="T54" s="205"/>
      <c r="U54" s="205"/>
      <c r="V54" s="205"/>
      <c r="W54" s="205"/>
      <c r="X54" s="205"/>
      <c r="Y54" s="205"/>
      <c r="Z54" s="205"/>
      <c r="AA54" s="205"/>
      <c r="AB54" s="205"/>
      <c r="AC54" s="207"/>
      <c r="AD54" s="205"/>
      <c r="AE54" s="205"/>
      <c r="AF54" s="205"/>
      <c r="AG54" s="205"/>
      <c r="AH54" s="207"/>
      <c r="AI54" s="205"/>
      <c r="AJ54" s="205"/>
      <c r="AK54" s="205"/>
      <c r="AL54" s="205"/>
      <c r="AM54" s="205"/>
      <c r="AN54" s="205"/>
      <c r="AO54" s="205"/>
      <c r="AP54" s="205"/>
      <c r="AQ54" s="205"/>
      <c r="AR54" s="207"/>
      <c r="AS54" s="205"/>
      <c r="AT54" s="205"/>
      <c r="AU54" s="208"/>
      <c r="AV54" s="205"/>
      <c r="AW54" s="205"/>
      <c r="AX54" s="207"/>
      <c r="AY54" s="205"/>
      <c r="AZ54" s="205"/>
      <c r="BA54" s="205"/>
      <c r="BB54" s="205"/>
      <c r="BC54" s="205"/>
      <c r="BD54" s="205"/>
      <c r="BE54" s="205"/>
      <c r="BF54" s="205"/>
      <c r="BG54" s="205"/>
      <c r="BH54" s="205"/>
      <c r="BI54" s="205"/>
      <c r="BJ54" s="205"/>
      <c r="BK54" s="205"/>
      <c r="BL54" s="207"/>
      <c r="BM54" s="205"/>
      <c r="BN54" s="205"/>
      <c r="BO54" s="205"/>
      <c r="BP54" s="205"/>
      <c r="BQ54" s="205"/>
      <c r="BR54" s="205"/>
      <c r="BS54" s="205"/>
      <c r="BT54" s="205"/>
      <c r="BU54" s="205"/>
      <c r="BV54" s="205"/>
      <c r="BW54" s="208"/>
      <c r="BX54" s="204"/>
      <c r="BY54" s="205"/>
      <c r="BZ54" s="205"/>
      <c r="CA54" s="205"/>
      <c r="CB54" s="206"/>
      <c r="CC54" s="207"/>
      <c r="CD54" s="205"/>
      <c r="CE54" s="205"/>
      <c r="CF54" s="206"/>
      <c r="CG54" s="160"/>
    </row>
    <row r="55" spans="1:85">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7"/>
      <c r="Q55" s="205"/>
      <c r="R55" s="205"/>
      <c r="S55" s="207"/>
      <c r="T55" s="205"/>
      <c r="U55" s="205"/>
      <c r="V55" s="205"/>
      <c r="W55" s="205"/>
      <c r="X55" s="205"/>
      <c r="Y55" s="205"/>
      <c r="Z55" s="205"/>
      <c r="AA55" s="205"/>
      <c r="AB55" s="205"/>
      <c r="AC55" s="207"/>
      <c r="AD55" s="205"/>
      <c r="AE55" s="205"/>
      <c r="AF55" s="205"/>
      <c r="AG55" s="205"/>
      <c r="AH55" s="207"/>
      <c r="AI55" s="205"/>
      <c r="AJ55" s="205"/>
      <c r="AK55" s="205"/>
      <c r="AL55" s="205"/>
      <c r="AM55" s="205"/>
      <c r="AN55" s="205"/>
      <c r="AO55" s="205"/>
      <c r="AP55" s="205"/>
      <c r="AQ55" s="205"/>
      <c r="AR55" s="207"/>
      <c r="AS55" s="205"/>
      <c r="AT55" s="205"/>
      <c r="AU55" s="208"/>
      <c r="AV55" s="205"/>
      <c r="AW55" s="205"/>
      <c r="AX55" s="207"/>
      <c r="AY55" s="205"/>
      <c r="AZ55" s="205"/>
      <c r="BA55" s="205"/>
      <c r="BB55" s="205"/>
      <c r="BC55" s="205"/>
      <c r="BD55" s="205"/>
      <c r="BE55" s="205"/>
      <c r="BF55" s="205"/>
      <c r="BG55" s="205"/>
      <c r="BH55" s="205"/>
      <c r="BI55" s="205"/>
      <c r="BJ55" s="205"/>
      <c r="BK55" s="205"/>
      <c r="BL55" s="207"/>
      <c r="BM55" s="205"/>
      <c r="BN55" s="205"/>
      <c r="BO55" s="205"/>
      <c r="BP55" s="205"/>
      <c r="BQ55" s="205"/>
      <c r="BR55" s="205"/>
      <c r="BS55" s="205"/>
      <c r="BT55" s="205"/>
      <c r="BU55" s="205"/>
      <c r="BV55" s="205"/>
      <c r="BW55" s="208"/>
      <c r="BX55" s="204"/>
      <c r="BY55" s="205"/>
      <c r="BZ55" s="205"/>
      <c r="CA55" s="205"/>
      <c r="CB55" s="206"/>
      <c r="CC55" s="207"/>
      <c r="CD55" s="205"/>
      <c r="CE55" s="205"/>
      <c r="CF55" s="206"/>
      <c r="CG55" s="160"/>
    </row>
    <row r="56" spans="1:85">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7"/>
      <c r="Q56" s="205"/>
      <c r="R56" s="205"/>
      <c r="S56" s="207"/>
      <c r="T56" s="205"/>
      <c r="U56" s="205"/>
      <c r="V56" s="205"/>
      <c r="W56" s="205"/>
      <c r="X56" s="205"/>
      <c r="Y56" s="205"/>
      <c r="Z56" s="205"/>
      <c r="AA56" s="205"/>
      <c r="AB56" s="205"/>
      <c r="AC56" s="207"/>
      <c r="AD56" s="205"/>
      <c r="AE56" s="205"/>
      <c r="AF56" s="205"/>
      <c r="AG56" s="205"/>
      <c r="AH56" s="207"/>
      <c r="AI56" s="205"/>
      <c r="AJ56" s="205"/>
      <c r="AK56" s="205"/>
      <c r="AL56" s="205"/>
      <c r="AM56" s="205"/>
      <c r="AN56" s="205"/>
      <c r="AO56" s="205"/>
      <c r="AP56" s="205"/>
      <c r="AQ56" s="205"/>
      <c r="AR56" s="207"/>
      <c r="AS56" s="205"/>
      <c r="AT56" s="205"/>
      <c r="AU56" s="208"/>
      <c r="AV56" s="205"/>
      <c r="AW56" s="205"/>
      <c r="AX56" s="207"/>
      <c r="AY56" s="205"/>
      <c r="AZ56" s="205"/>
      <c r="BA56" s="205"/>
      <c r="BB56" s="205"/>
      <c r="BC56" s="205"/>
      <c r="BD56" s="205"/>
      <c r="BE56" s="205"/>
      <c r="BF56" s="205"/>
      <c r="BG56" s="205"/>
      <c r="BH56" s="205"/>
      <c r="BI56" s="205"/>
      <c r="BJ56" s="205"/>
      <c r="BK56" s="205"/>
      <c r="BL56" s="207"/>
      <c r="BM56" s="205"/>
      <c r="BN56" s="205"/>
      <c r="BO56" s="205"/>
      <c r="BP56" s="205"/>
      <c r="BQ56" s="205"/>
      <c r="BR56" s="205"/>
      <c r="BS56" s="205"/>
      <c r="BT56" s="205"/>
      <c r="BU56" s="205"/>
      <c r="BV56" s="205"/>
      <c r="BW56" s="208"/>
      <c r="BX56" s="204"/>
      <c r="BY56" s="205"/>
      <c r="BZ56" s="205"/>
      <c r="CA56" s="205"/>
      <c r="CB56" s="206"/>
      <c r="CC56" s="207" t="s">
        <v>284</v>
      </c>
      <c r="CD56" s="205"/>
      <c r="CE56" s="205" t="s">
        <v>284</v>
      </c>
      <c r="CF56" s="206"/>
      <c r="CG56" s="160"/>
    </row>
    <row r="57" spans="1:85">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7"/>
      <c r="Q57" s="205"/>
      <c r="R57" s="205"/>
      <c r="S57" s="207"/>
      <c r="T57" s="205"/>
      <c r="U57" s="205"/>
      <c r="V57" s="205"/>
      <c r="W57" s="205"/>
      <c r="X57" s="205"/>
      <c r="Y57" s="205"/>
      <c r="Z57" s="205"/>
      <c r="AA57" s="205"/>
      <c r="AB57" s="205"/>
      <c r="AC57" s="207"/>
      <c r="AD57" s="205"/>
      <c r="AE57" s="205"/>
      <c r="AF57" s="205"/>
      <c r="AG57" s="205"/>
      <c r="AH57" s="207"/>
      <c r="AI57" s="205"/>
      <c r="AJ57" s="205"/>
      <c r="AK57" s="205"/>
      <c r="AL57" s="205"/>
      <c r="AM57" s="205"/>
      <c r="AN57" s="205"/>
      <c r="AO57" s="205"/>
      <c r="AP57" s="205"/>
      <c r="AQ57" s="205"/>
      <c r="AR57" s="207"/>
      <c r="AS57" s="205"/>
      <c r="AT57" s="205"/>
      <c r="AU57" s="208"/>
      <c r="AV57" s="205"/>
      <c r="AW57" s="205"/>
      <c r="AX57" s="207"/>
      <c r="AY57" s="205"/>
      <c r="AZ57" s="205"/>
      <c r="BA57" s="205"/>
      <c r="BB57" s="205"/>
      <c r="BC57" s="205"/>
      <c r="BD57" s="205"/>
      <c r="BE57" s="205"/>
      <c r="BF57" s="205"/>
      <c r="BG57" s="205"/>
      <c r="BH57" s="205"/>
      <c r="BI57" s="205"/>
      <c r="BJ57" s="205"/>
      <c r="BK57" s="205"/>
      <c r="BL57" s="207"/>
      <c r="BM57" s="205"/>
      <c r="BN57" s="205"/>
      <c r="BO57" s="205"/>
      <c r="BP57" s="205"/>
      <c r="BQ57" s="205"/>
      <c r="BR57" s="205"/>
      <c r="BS57" s="205"/>
      <c r="BT57" s="205"/>
      <c r="BU57" s="205"/>
      <c r="BV57" s="205"/>
      <c r="BW57" s="208"/>
      <c r="BX57" s="204"/>
      <c r="BY57" s="205"/>
      <c r="BZ57" s="205"/>
      <c r="CA57" s="205"/>
      <c r="CB57" s="206"/>
      <c r="CC57" s="207" t="s">
        <v>284</v>
      </c>
      <c r="CD57" s="205"/>
      <c r="CE57" s="205" t="s">
        <v>284</v>
      </c>
      <c r="CF57" s="206"/>
      <c r="CG57" s="160"/>
    </row>
    <row r="58" spans="1:85">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7"/>
      <c r="Q58" s="205"/>
      <c r="R58" s="205"/>
      <c r="S58" s="207"/>
      <c r="T58" s="205"/>
      <c r="U58" s="205"/>
      <c r="V58" s="205"/>
      <c r="W58" s="205"/>
      <c r="X58" s="205"/>
      <c r="Y58" s="205"/>
      <c r="Z58" s="205"/>
      <c r="AA58" s="205"/>
      <c r="AB58" s="205"/>
      <c r="AC58" s="207"/>
      <c r="AD58" s="205"/>
      <c r="AE58" s="205"/>
      <c r="AF58" s="205"/>
      <c r="AG58" s="205"/>
      <c r="AH58" s="207"/>
      <c r="AI58" s="205"/>
      <c r="AJ58" s="205"/>
      <c r="AK58" s="205"/>
      <c r="AL58" s="205"/>
      <c r="AM58" s="205"/>
      <c r="AN58" s="205"/>
      <c r="AO58" s="205"/>
      <c r="AP58" s="205"/>
      <c r="AQ58" s="205"/>
      <c r="AR58" s="207"/>
      <c r="AS58" s="205"/>
      <c r="AT58" s="205"/>
      <c r="AU58" s="208"/>
      <c r="AV58" s="205"/>
      <c r="AW58" s="205"/>
      <c r="AX58" s="207"/>
      <c r="AY58" s="205"/>
      <c r="AZ58" s="205"/>
      <c r="BA58" s="205"/>
      <c r="BB58" s="205"/>
      <c r="BC58" s="205"/>
      <c r="BD58" s="205"/>
      <c r="BE58" s="205"/>
      <c r="BF58" s="205"/>
      <c r="BG58" s="205"/>
      <c r="BH58" s="205"/>
      <c r="BI58" s="205"/>
      <c r="BJ58" s="205"/>
      <c r="BK58" s="205"/>
      <c r="BL58" s="207"/>
      <c r="BM58" s="205"/>
      <c r="BN58" s="205"/>
      <c r="BO58" s="205"/>
      <c r="BP58" s="205"/>
      <c r="BQ58" s="205"/>
      <c r="BR58" s="205"/>
      <c r="BS58" s="205"/>
      <c r="BT58" s="205"/>
      <c r="BU58" s="205"/>
      <c r="BV58" s="205"/>
      <c r="BW58" s="208"/>
      <c r="BX58" s="204"/>
      <c r="BY58" s="205"/>
      <c r="BZ58" s="205"/>
      <c r="CA58" s="205"/>
      <c r="CB58" s="206"/>
      <c r="CC58" s="207" t="s">
        <v>284</v>
      </c>
      <c r="CD58" s="205"/>
      <c r="CE58" s="205" t="s">
        <v>284</v>
      </c>
      <c r="CF58" s="206"/>
      <c r="CG58" s="160"/>
    </row>
    <row r="59" spans="1:85">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7"/>
      <c r="Q59" s="205"/>
      <c r="R59" s="205"/>
      <c r="S59" s="207"/>
      <c r="T59" s="205"/>
      <c r="U59" s="205"/>
      <c r="V59" s="205"/>
      <c r="W59" s="205"/>
      <c r="X59" s="205"/>
      <c r="Y59" s="205"/>
      <c r="Z59" s="205"/>
      <c r="AA59" s="205"/>
      <c r="AB59" s="205"/>
      <c r="AC59" s="207"/>
      <c r="AD59" s="205"/>
      <c r="AE59" s="205"/>
      <c r="AF59" s="205"/>
      <c r="AG59" s="205"/>
      <c r="AH59" s="207"/>
      <c r="AI59" s="205"/>
      <c r="AJ59" s="205"/>
      <c r="AK59" s="205"/>
      <c r="AL59" s="205"/>
      <c r="AM59" s="205"/>
      <c r="AN59" s="205"/>
      <c r="AO59" s="205"/>
      <c r="AP59" s="205"/>
      <c r="AQ59" s="205"/>
      <c r="AR59" s="207"/>
      <c r="AS59" s="205"/>
      <c r="AT59" s="205"/>
      <c r="AU59" s="208"/>
      <c r="AV59" s="205"/>
      <c r="AW59" s="205"/>
      <c r="AX59" s="207"/>
      <c r="AY59" s="205"/>
      <c r="AZ59" s="205"/>
      <c r="BA59" s="205"/>
      <c r="BB59" s="205"/>
      <c r="BC59" s="205"/>
      <c r="BD59" s="205"/>
      <c r="BE59" s="205"/>
      <c r="BF59" s="205"/>
      <c r="BG59" s="205"/>
      <c r="BH59" s="205"/>
      <c r="BI59" s="205"/>
      <c r="BJ59" s="205"/>
      <c r="BK59" s="205"/>
      <c r="BL59" s="207"/>
      <c r="BM59" s="205"/>
      <c r="BN59" s="205"/>
      <c r="BO59" s="205"/>
      <c r="BP59" s="205"/>
      <c r="BQ59" s="205"/>
      <c r="BR59" s="205"/>
      <c r="BS59" s="205"/>
      <c r="BT59" s="205"/>
      <c r="BU59" s="205"/>
      <c r="BV59" s="205"/>
      <c r="BW59" s="208"/>
      <c r="BX59" s="204"/>
      <c r="BY59" s="205"/>
      <c r="BZ59" s="205"/>
      <c r="CA59" s="205"/>
      <c r="CB59" s="206"/>
      <c r="CC59" s="207" t="s">
        <v>284</v>
      </c>
      <c r="CD59" s="205"/>
      <c r="CE59" s="205" t="s">
        <v>284</v>
      </c>
      <c r="CF59" s="206"/>
      <c r="CG59" s="160"/>
    </row>
    <row r="60" spans="1:85">
      <c r="A60" s="160"/>
      <c r="B60" s="202"/>
      <c r="C60" s="203" t="s">
        <v>319</v>
      </c>
      <c r="D60" s="204"/>
      <c r="E60" s="205"/>
      <c r="F60" s="205"/>
      <c r="G60" s="205"/>
      <c r="H60" s="205"/>
      <c r="I60" s="205"/>
      <c r="J60" s="205"/>
      <c r="K60" s="205"/>
      <c r="L60" s="205"/>
      <c r="M60" s="205"/>
      <c r="N60" s="205"/>
      <c r="O60" s="206" t="s">
        <v>284</v>
      </c>
      <c r="P60" s="207"/>
      <c r="Q60" s="205"/>
      <c r="R60" s="205"/>
      <c r="S60" s="207"/>
      <c r="T60" s="205"/>
      <c r="U60" s="205"/>
      <c r="V60" s="205"/>
      <c r="W60" s="205"/>
      <c r="X60" s="205"/>
      <c r="Y60" s="205"/>
      <c r="Z60" s="205"/>
      <c r="AA60" s="205"/>
      <c r="AB60" s="205"/>
      <c r="AC60" s="207"/>
      <c r="AD60" s="205"/>
      <c r="AE60" s="205"/>
      <c r="AF60" s="205"/>
      <c r="AG60" s="205"/>
      <c r="AH60" s="207"/>
      <c r="AI60" s="205"/>
      <c r="AJ60" s="205"/>
      <c r="AK60" s="205"/>
      <c r="AL60" s="205"/>
      <c r="AM60" s="205"/>
      <c r="AN60" s="205"/>
      <c r="AO60" s="205"/>
      <c r="AP60" s="205"/>
      <c r="AQ60" s="205"/>
      <c r="AR60" s="207"/>
      <c r="AS60" s="205"/>
      <c r="AT60" s="205"/>
      <c r="AU60" s="208"/>
      <c r="AV60" s="205"/>
      <c r="AW60" s="205"/>
      <c r="AX60" s="207"/>
      <c r="AY60" s="205"/>
      <c r="AZ60" s="205"/>
      <c r="BA60" s="205"/>
      <c r="BB60" s="205"/>
      <c r="BC60" s="205"/>
      <c r="BD60" s="205"/>
      <c r="BE60" s="205"/>
      <c r="BF60" s="205"/>
      <c r="BG60" s="205"/>
      <c r="BH60" s="205"/>
      <c r="BI60" s="205"/>
      <c r="BJ60" s="205"/>
      <c r="BK60" s="205"/>
      <c r="BL60" s="207"/>
      <c r="BM60" s="205"/>
      <c r="BN60" s="205"/>
      <c r="BO60" s="205"/>
      <c r="BP60" s="205"/>
      <c r="BQ60" s="205"/>
      <c r="BR60" s="205"/>
      <c r="BS60" s="205"/>
      <c r="BT60" s="205"/>
      <c r="BU60" s="205"/>
      <c r="BV60" s="205"/>
      <c r="BW60" s="208"/>
      <c r="BX60" s="204"/>
      <c r="BY60" s="205"/>
      <c r="BZ60" s="205"/>
      <c r="CA60" s="205"/>
      <c r="CB60" s="206"/>
      <c r="CC60" s="207"/>
      <c r="CD60" s="205"/>
      <c r="CE60" s="205"/>
      <c r="CF60" s="206"/>
      <c r="CG60" s="160"/>
    </row>
    <row r="61" spans="1:85">
      <c r="A61" s="160"/>
      <c r="B61" s="202"/>
      <c r="C61" s="203" t="s">
        <v>320</v>
      </c>
      <c r="D61" s="204"/>
      <c r="E61" s="205"/>
      <c r="F61" s="205"/>
      <c r="G61" s="205"/>
      <c r="H61" s="205"/>
      <c r="I61" s="205"/>
      <c r="J61" s="205"/>
      <c r="K61" s="205"/>
      <c r="L61" s="205"/>
      <c r="M61" s="205"/>
      <c r="N61" s="205"/>
      <c r="O61" s="206" t="s">
        <v>284</v>
      </c>
      <c r="P61" s="207"/>
      <c r="Q61" s="205"/>
      <c r="R61" s="205"/>
      <c r="S61" s="207"/>
      <c r="T61" s="205"/>
      <c r="U61" s="205"/>
      <c r="V61" s="205"/>
      <c r="W61" s="205"/>
      <c r="X61" s="205"/>
      <c r="Y61" s="205"/>
      <c r="Z61" s="205"/>
      <c r="AA61" s="205"/>
      <c r="AB61" s="205"/>
      <c r="AC61" s="207"/>
      <c r="AD61" s="205"/>
      <c r="AE61" s="205"/>
      <c r="AF61" s="205"/>
      <c r="AG61" s="205"/>
      <c r="AH61" s="207"/>
      <c r="AI61" s="205"/>
      <c r="AJ61" s="205"/>
      <c r="AK61" s="205"/>
      <c r="AL61" s="205"/>
      <c r="AM61" s="205"/>
      <c r="AN61" s="205"/>
      <c r="AO61" s="205"/>
      <c r="AP61" s="205"/>
      <c r="AQ61" s="205"/>
      <c r="AR61" s="207"/>
      <c r="AS61" s="205"/>
      <c r="AT61" s="205"/>
      <c r="AU61" s="208"/>
      <c r="AV61" s="205"/>
      <c r="AW61" s="205"/>
      <c r="AX61" s="207"/>
      <c r="AY61" s="205"/>
      <c r="AZ61" s="205"/>
      <c r="BA61" s="205"/>
      <c r="BB61" s="205"/>
      <c r="BC61" s="205"/>
      <c r="BD61" s="205"/>
      <c r="BE61" s="205"/>
      <c r="BF61" s="205"/>
      <c r="BG61" s="205"/>
      <c r="BH61" s="205"/>
      <c r="BI61" s="205"/>
      <c r="BJ61" s="205"/>
      <c r="BK61" s="205"/>
      <c r="BL61" s="207"/>
      <c r="BM61" s="205"/>
      <c r="BN61" s="205"/>
      <c r="BO61" s="205"/>
      <c r="BP61" s="205"/>
      <c r="BQ61" s="205"/>
      <c r="BR61" s="205"/>
      <c r="BS61" s="205"/>
      <c r="BT61" s="205"/>
      <c r="BU61" s="205"/>
      <c r="BV61" s="205"/>
      <c r="BW61" s="208"/>
      <c r="BX61" s="204"/>
      <c r="BY61" s="205"/>
      <c r="BZ61" s="205"/>
      <c r="CA61" s="205"/>
      <c r="CB61" s="206"/>
      <c r="CC61" s="207" t="s">
        <v>284</v>
      </c>
      <c r="CD61" s="205"/>
      <c r="CE61" s="205" t="s">
        <v>284</v>
      </c>
      <c r="CF61" s="206"/>
      <c r="CG61" s="160"/>
    </row>
    <row r="62" spans="1:85">
      <c r="A62" s="160"/>
      <c r="B62" s="202"/>
      <c r="C62" s="203" t="s">
        <v>261</v>
      </c>
      <c r="D62" s="204"/>
      <c r="E62" s="205"/>
      <c r="F62" s="205"/>
      <c r="G62" s="205"/>
      <c r="H62" s="205"/>
      <c r="I62" s="205"/>
      <c r="J62" s="205"/>
      <c r="K62" s="205"/>
      <c r="L62" s="205"/>
      <c r="M62" s="205"/>
      <c r="N62" s="205" t="s">
        <v>284</v>
      </c>
      <c r="O62" s="206"/>
      <c r="P62" s="207"/>
      <c r="Q62" s="205"/>
      <c r="R62" s="205"/>
      <c r="S62" s="207"/>
      <c r="T62" s="205"/>
      <c r="U62" s="205"/>
      <c r="V62" s="205"/>
      <c r="W62" s="205"/>
      <c r="X62" s="205"/>
      <c r="Y62" s="205"/>
      <c r="Z62" s="205"/>
      <c r="AA62" s="205"/>
      <c r="AB62" s="205"/>
      <c r="AC62" s="207"/>
      <c r="AD62" s="205"/>
      <c r="AE62" s="205"/>
      <c r="AF62" s="205"/>
      <c r="AG62" s="205"/>
      <c r="AH62" s="207"/>
      <c r="AI62" s="205"/>
      <c r="AJ62" s="205"/>
      <c r="AK62" s="205"/>
      <c r="AL62" s="205"/>
      <c r="AM62" s="205"/>
      <c r="AN62" s="205"/>
      <c r="AO62" s="205"/>
      <c r="AP62" s="205"/>
      <c r="AQ62" s="205"/>
      <c r="AR62" s="207"/>
      <c r="AS62" s="205"/>
      <c r="AT62" s="205"/>
      <c r="AU62" s="208"/>
      <c r="AV62" s="205"/>
      <c r="AW62" s="205"/>
      <c r="AX62" s="207"/>
      <c r="AY62" s="205"/>
      <c r="AZ62" s="205"/>
      <c r="BA62" s="205"/>
      <c r="BB62" s="205"/>
      <c r="BC62" s="205"/>
      <c r="BD62" s="205"/>
      <c r="BE62" s="205"/>
      <c r="BF62" s="205"/>
      <c r="BG62" s="205"/>
      <c r="BH62" s="205"/>
      <c r="BI62" s="205"/>
      <c r="BJ62" s="205"/>
      <c r="BK62" s="205"/>
      <c r="BL62" s="207"/>
      <c r="BM62" s="205"/>
      <c r="BN62" s="205"/>
      <c r="BO62" s="205"/>
      <c r="BP62" s="205"/>
      <c r="BQ62" s="205"/>
      <c r="BR62" s="205"/>
      <c r="BS62" s="205"/>
      <c r="BT62" s="205"/>
      <c r="BU62" s="205"/>
      <c r="BV62" s="205"/>
      <c r="BW62" s="208"/>
      <c r="BX62" s="204"/>
      <c r="BY62" s="205"/>
      <c r="BZ62" s="205"/>
      <c r="CA62" s="205"/>
      <c r="CB62" s="206"/>
      <c r="CC62" s="207"/>
      <c r="CD62" s="205"/>
      <c r="CE62" s="205"/>
      <c r="CF62" s="206"/>
      <c r="CG62" s="160"/>
    </row>
    <row r="63" spans="1:85">
      <c r="A63" s="160"/>
      <c r="B63" s="202"/>
      <c r="C63" s="203" t="s">
        <v>321</v>
      </c>
      <c r="D63" s="204"/>
      <c r="E63" s="205"/>
      <c r="F63" s="205"/>
      <c r="G63" s="205"/>
      <c r="H63" s="205"/>
      <c r="I63" s="205"/>
      <c r="J63" s="205"/>
      <c r="K63" s="205"/>
      <c r="L63" s="205"/>
      <c r="M63" s="205"/>
      <c r="N63" s="205" t="s">
        <v>284</v>
      </c>
      <c r="O63" s="206"/>
      <c r="P63" s="207"/>
      <c r="Q63" s="205"/>
      <c r="R63" s="205"/>
      <c r="S63" s="207"/>
      <c r="T63" s="205"/>
      <c r="U63" s="205"/>
      <c r="V63" s="205"/>
      <c r="W63" s="205"/>
      <c r="X63" s="205"/>
      <c r="Y63" s="205"/>
      <c r="Z63" s="205"/>
      <c r="AA63" s="205"/>
      <c r="AB63" s="205"/>
      <c r="AC63" s="207"/>
      <c r="AD63" s="205"/>
      <c r="AE63" s="205"/>
      <c r="AF63" s="205"/>
      <c r="AG63" s="205"/>
      <c r="AH63" s="207"/>
      <c r="AI63" s="205"/>
      <c r="AJ63" s="205"/>
      <c r="AK63" s="205"/>
      <c r="AL63" s="205"/>
      <c r="AM63" s="205"/>
      <c r="AN63" s="205"/>
      <c r="AO63" s="205"/>
      <c r="AP63" s="205"/>
      <c r="AQ63" s="205"/>
      <c r="AR63" s="207"/>
      <c r="AS63" s="205"/>
      <c r="AT63" s="205"/>
      <c r="AU63" s="208"/>
      <c r="AV63" s="205"/>
      <c r="AW63" s="205"/>
      <c r="AX63" s="207"/>
      <c r="AY63" s="205"/>
      <c r="AZ63" s="205"/>
      <c r="BA63" s="205"/>
      <c r="BB63" s="205"/>
      <c r="BC63" s="205"/>
      <c r="BD63" s="205"/>
      <c r="BE63" s="205"/>
      <c r="BF63" s="205"/>
      <c r="BG63" s="205"/>
      <c r="BH63" s="205"/>
      <c r="BI63" s="205"/>
      <c r="BJ63" s="205"/>
      <c r="BK63" s="205"/>
      <c r="BL63" s="207"/>
      <c r="BM63" s="205"/>
      <c r="BN63" s="205"/>
      <c r="BO63" s="205"/>
      <c r="BP63" s="205"/>
      <c r="BQ63" s="205"/>
      <c r="BR63" s="205"/>
      <c r="BS63" s="205"/>
      <c r="BT63" s="205"/>
      <c r="BU63" s="205"/>
      <c r="BV63" s="205"/>
      <c r="BW63" s="208"/>
      <c r="BX63" s="204"/>
      <c r="BY63" s="205"/>
      <c r="BZ63" s="205"/>
      <c r="CA63" s="205"/>
      <c r="CB63" s="206"/>
      <c r="CC63" s="207" t="s">
        <v>284</v>
      </c>
      <c r="CD63" s="205"/>
      <c r="CE63" s="205" t="s">
        <v>284</v>
      </c>
      <c r="CF63" s="206"/>
      <c r="CG63" s="160"/>
    </row>
    <row r="64" spans="1:85">
      <c r="A64" s="160"/>
      <c r="B64" s="202"/>
      <c r="C64" s="203" t="s">
        <v>246</v>
      </c>
      <c r="D64" s="204"/>
      <c r="E64" s="205"/>
      <c r="F64" s="205"/>
      <c r="G64" s="205"/>
      <c r="H64" s="205"/>
      <c r="I64" s="205" t="s">
        <v>284</v>
      </c>
      <c r="J64" s="205" t="s">
        <v>284</v>
      </c>
      <c r="K64" s="205" t="s">
        <v>284</v>
      </c>
      <c r="L64" s="205" t="s">
        <v>284</v>
      </c>
      <c r="M64" s="205" t="s">
        <v>284</v>
      </c>
      <c r="N64" s="205"/>
      <c r="O64" s="206"/>
      <c r="P64" s="207"/>
      <c r="Q64" s="205"/>
      <c r="R64" s="205"/>
      <c r="S64" s="207"/>
      <c r="T64" s="205"/>
      <c r="U64" s="205"/>
      <c r="V64" s="205"/>
      <c r="W64" s="205"/>
      <c r="X64" s="205"/>
      <c r="Y64" s="205"/>
      <c r="Z64" s="205"/>
      <c r="AA64" s="205"/>
      <c r="AB64" s="205"/>
      <c r="AC64" s="207"/>
      <c r="AD64" s="205"/>
      <c r="AE64" s="205"/>
      <c r="AF64" s="205"/>
      <c r="AG64" s="205"/>
      <c r="AH64" s="207"/>
      <c r="AI64" s="205"/>
      <c r="AJ64" s="205"/>
      <c r="AK64" s="205"/>
      <c r="AL64" s="205"/>
      <c r="AM64" s="205"/>
      <c r="AN64" s="205"/>
      <c r="AO64" s="205"/>
      <c r="AP64" s="205"/>
      <c r="AQ64" s="205"/>
      <c r="AR64" s="207"/>
      <c r="AS64" s="205"/>
      <c r="AT64" s="205"/>
      <c r="AU64" s="208"/>
      <c r="AV64" s="205"/>
      <c r="AW64" s="205"/>
      <c r="AX64" s="207"/>
      <c r="AY64" s="205"/>
      <c r="AZ64" s="205"/>
      <c r="BA64" s="205"/>
      <c r="BB64" s="205"/>
      <c r="BC64" s="205"/>
      <c r="BD64" s="205"/>
      <c r="BE64" s="205"/>
      <c r="BF64" s="205"/>
      <c r="BG64" s="205"/>
      <c r="BH64" s="205"/>
      <c r="BI64" s="205"/>
      <c r="BJ64" s="205"/>
      <c r="BK64" s="205"/>
      <c r="BL64" s="207"/>
      <c r="BM64" s="205"/>
      <c r="BN64" s="205"/>
      <c r="BO64" s="205"/>
      <c r="BP64" s="205"/>
      <c r="BQ64" s="205"/>
      <c r="BR64" s="205"/>
      <c r="BS64" s="205"/>
      <c r="BT64" s="205"/>
      <c r="BU64" s="205"/>
      <c r="BV64" s="205"/>
      <c r="BW64" s="208"/>
      <c r="BX64" s="204"/>
      <c r="BY64" s="205"/>
      <c r="BZ64" s="205"/>
      <c r="CA64" s="205"/>
      <c r="CB64" s="206"/>
      <c r="CC64" s="207"/>
      <c r="CD64" s="205"/>
      <c r="CE64" s="205"/>
      <c r="CF64" s="206"/>
      <c r="CG64" s="160"/>
    </row>
    <row r="65" spans="1:85">
      <c r="A65" s="160"/>
      <c r="B65" s="202"/>
      <c r="C65" s="203" t="s">
        <v>245</v>
      </c>
      <c r="D65" s="204"/>
      <c r="E65" s="205"/>
      <c r="F65" s="205"/>
      <c r="G65" s="205"/>
      <c r="H65" s="205"/>
      <c r="I65" s="205" t="s">
        <v>284</v>
      </c>
      <c r="J65" s="205" t="s">
        <v>284</v>
      </c>
      <c r="K65" s="205" t="s">
        <v>284</v>
      </c>
      <c r="L65" s="205" t="s">
        <v>284</v>
      </c>
      <c r="M65" s="205" t="s">
        <v>284</v>
      </c>
      <c r="N65" s="205"/>
      <c r="O65" s="206"/>
      <c r="P65" s="207"/>
      <c r="Q65" s="205"/>
      <c r="R65" s="205"/>
      <c r="S65" s="207"/>
      <c r="T65" s="205"/>
      <c r="U65" s="205"/>
      <c r="V65" s="205"/>
      <c r="W65" s="205"/>
      <c r="X65" s="205"/>
      <c r="Y65" s="205"/>
      <c r="Z65" s="205"/>
      <c r="AA65" s="205"/>
      <c r="AB65" s="205"/>
      <c r="AC65" s="207"/>
      <c r="AD65" s="205"/>
      <c r="AE65" s="205"/>
      <c r="AF65" s="205"/>
      <c r="AG65" s="205"/>
      <c r="AH65" s="207"/>
      <c r="AI65" s="205"/>
      <c r="AJ65" s="205"/>
      <c r="AK65" s="205"/>
      <c r="AL65" s="205"/>
      <c r="AM65" s="205"/>
      <c r="AN65" s="205"/>
      <c r="AO65" s="205"/>
      <c r="AP65" s="205"/>
      <c r="AQ65" s="205"/>
      <c r="AR65" s="207"/>
      <c r="AS65" s="205"/>
      <c r="AT65" s="205"/>
      <c r="AU65" s="208"/>
      <c r="AV65" s="205"/>
      <c r="AW65" s="205"/>
      <c r="AX65" s="207"/>
      <c r="AY65" s="205"/>
      <c r="AZ65" s="205"/>
      <c r="BA65" s="205"/>
      <c r="BB65" s="205"/>
      <c r="BC65" s="205"/>
      <c r="BD65" s="205"/>
      <c r="BE65" s="205"/>
      <c r="BF65" s="205"/>
      <c r="BG65" s="205"/>
      <c r="BH65" s="205"/>
      <c r="BI65" s="205"/>
      <c r="BJ65" s="205"/>
      <c r="BK65" s="205"/>
      <c r="BL65" s="207"/>
      <c r="BM65" s="205"/>
      <c r="BN65" s="205"/>
      <c r="BO65" s="205"/>
      <c r="BP65" s="205"/>
      <c r="BQ65" s="205"/>
      <c r="BR65" s="205"/>
      <c r="BS65" s="205"/>
      <c r="BT65" s="205"/>
      <c r="BU65" s="205"/>
      <c r="BV65" s="205"/>
      <c r="BW65" s="208"/>
      <c r="BX65" s="204"/>
      <c r="BY65" s="205"/>
      <c r="BZ65" s="205"/>
      <c r="CA65" s="205"/>
      <c r="CB65" s="206"/>
      <c r="CC65" s="207" t="s">
        <v>284</v>
      </c>
      <c r="CD65" s="205"/>
      <c r="CE65" s="205"/>
      <c r="CF65" s="206"/>
      <c r="CG65" s="160"/>
    </row>
    <row r="66" spans="1:85">
      <c r="A66" s="160"/>
      <c r="B66" s="202"/>
      <c r="C66" s="203" t="s">
        <v>236</v>
      </c>
      <c r="D66" s="204"/>
      <c r="E66" s="205"/>
      <c r="F66" s="205"/>
      <c r="G66" s="205"/>
      <c r="H66" s="205"/>
      <c r="I66" s="205" t="s">
        <v>284</v>
      </c>
      <c r="J66" s="205" t="s">
        <v>284</v>
      </c>
      <c r="K66" s="205" t="s">
        <v>284</v>
      </c>
      <c r="L66" s="205" t="s">
        <v>284</v>
      </c>
      <c r="M66" s="205" t="s">
        <v>284</v>
      </c>
      <c r="N66" s="205"/>
      <c r="O66" s="206" t="s">
        <v>284</v>
      </c>
      <c r="P66" s="207"/>
      <c r="Q66" s="205"/>
      <c r="R66" s="205"/>
      <c r="S66" s="207"/>
      <c r="T66" s="205"/>
      <c r="U66" s="205"/>
      <c r="V66" s="205"/>
      <c r="W66" s="205"/>
      <c r="X66" s="205"/>
      <c r="Y66" s="205"/>
      <c r="Z66" s="205"/>
      <c r="AA66" s="205"/>
      <c r="AB66" s="205"/>
      <c r="AC66" s="207"/>
      <c r="AD66" s="205"/>
      <c r="AE66" s="205"/>
      <c r="AF66" s="205"/>
      <c r="AG66" s="205"/>
      <c r="AH66" s="207"/>
      <c r="AI66" s="205"/>
      <c r="AJ66" s="205"/>
      <c r="AK66" s="205"/>
      <c r="AL66" s="205"/>
      <c r="AM66" s="205"/>
      <c r="AN66" s="205"/>
      <c r="AO66" s="205"/>
      <c r="AP66" s="205"/>
      <c r="AQ66" s="205"/>
      <c r="AR66" s="207"/>
      <c r="AS66" s="205"/>
      <c r="AT66" s="205"/>
      <c r="AU66" s="208"/>
      <c r="AV66" s="205"/>
      <c r="AW66" s="205"/>
      <c r="AX66" s="207"/>
      <c r="AY66" s="205"/>
      <c r="AZ66" s="205"/>
      <c r="BA66" s="205"/>
      <c r="BB66" s="205"/>
      <c r="BC66" s="205"/>
      <c r="BD66" s="205"/>
      <c r="BE66" s="205"/>
      <c r="BF66" s="205"/>
      <c r="BG66" s="205"/>
      <c r="BH66" s="205"/>
      <c r="BI66" s="205"/>
      <c r="BJ66" s="205"/>
      <c r="BK66" s="205"/>
      <c r="BL66" s="207"/>
      <c r="BM66" s="205"/>
      <c r="BN66" s="205"/>
      <c r="BO66" s="205"/>
      <c r="BP66" s="205"/>
      <c r="BQ66" s="205"/>
      <c r="BR66" s="205"/>
      <c r="BS66" s="205"/>
      <c r="BT66" s="205"/>
      <c r="BU66" s="205"/>
      <c r="BV66" s="205"/>
      <c r="BW66" s="208"/>
      <c r="BX66" s="204"/>
      <c r="BY66" s="205"/>
      <c r="BZ66" s="205"/>
      <c r="CA66" s="205"/>
      <c r="CB66" s="206"/>
      <c r="CC66" s="207" t="s">
        <v>284</v>
      </c>
      <c r="CD66" s="205"/>
      <c r="CE66" s="205"/>
      <c r="CF66" s="206"/>
      <c r="CG66" s="160"/>
    </row>
    <row r="67" spans="1:85">
      <c r="A67" s="160"/>
      <c r="B67" s="202"/>
      <c r="C67" s="203" t="s">
        <v>247</v>
      </c>
      <c r="D67" s="204"/>
      <c r="E67" s="205"/>
      <c r="F67" s="205"/>
      <c r="G67" s="205"/>
      <c r="H67" s="205"/>
      <c r="I67" s="205" t="s">
        <v>284</v>
      </c>
      <c r="J67" s="205" t="s">
        <v>284</v>
      </c>
      <c r="K67" s="205" t="s">
        <v>284</v>
      </c>
      <c r="L67" s="205" t="s">
        <v>284</v>
      </c>
      <c r="M67" s="205" t="s">
        <v>284</v>
      </c>
      <c r="N67" s="205"/>
      <c r="O67" s="206"/>
      <c r="P67" s="207"/>
      <c r="Q67" s="205"/>
      <c r="R67" s="205"/>
      <c r="S67" s="207"/>
      <c r="T67" s="205"/>
      <c r="U67" s="205"/>
      <c r="V67" s="205"/>
      <c r="W67" s="205"/>
      <c r="X67" s="205"/>
      <c r="Y67" s="205"/>
      <c r="Z67" s="205"/>
      <c r="AA67" s="205"/>
      <c r="AB67" s="205"/>
      <c r="AC67" s="207"/>
      <c r="AD67" s="205"/>
      <c r="AE67" s="205"/>
      <c r="AF67" s="205"/>
      <c r="AG67" s="205"/>
      <c r="AH67" s="207"/>
      <c r="AI67" s="205"/>
      <c r="AJ67" s="205"/>
      <c r="AK67" s="205"/>
      <c r="AL67" s="205"/>
      <c r="AM67" s="205"/>
      <c r="AN67" s="205"/>
      <c r="AO67" s="205"/>
      <c r="AP67" s="205"/>
      <c r="AQ67" s="205"/>
      <c r="AR67" s="207"/>
      <c r="AS67" s="205"/>
      <c r="AT67" s="205"/>
      <c r="AU67" s="208"/>
      <c r="AV67" s="205"/>
      <c r="AW67" s="205"/>
      <c r="AX67" s="207"/>
      <c r="AY67" s="205"/>
      <c r="AZ67" s="205"/>
      <c r="BA67" s="205"/>
      <c r="BB67" s="205"/>
      <c r="BC67" s="205"/>
      <c r="BD67" s="205"/>
      <c r="BE67" s="205"/>
      <c r="BF67" s="205"/>
      <c r="BG67" s="205"/>
      <c r="BH67" s="205"/>
      <c r="BI67" s="205"/>
      <c r="BJ67" s="205"/>
      <c r="BK67" s="205"/>
      <c r="BL67" s="207"/>
      <c r="BM67" s="205"/>
      <c r="BN67" s="205"/>
      <c r="BO67" s="205"/>
      <c r="BP67" s="205"/>
      <c r="BQ67" s="205"/>
      <c r="BR67" s="205"/>
      <c r="BS67" s="205"/>
      <c r="BT67" s="205"/>
      <c r="BU67" s="205"/>
      <c r="BV67" s="205"/>
      <c r="BW67" s="208"/>
      <c r="BX67" s="204"/>
      <c r="BY67" s="205"/>
      <c r="BZ67" s="205"/>
      <c r="CA67" s="205"/>
      <c r="CB67" s="206"/>
      <c r="CC67" s="207" t="s">
        <v>284</v>
      </c>
      <c r="CD67" s="205"/>
      <c r="CE67" s="205" t="s">
        <v>284</v>
      </c>
      <c r="CF67" s="206"/>
      <c r="CG67" s="160"/>
    </row>
    <row r="68" spans="1:85">
      <c r="A68" s="160"/>
      <c r="B68" s="202"/>
      <c r="C68" s="203" t="s">
        <v>253</v>
      </c>
      <c r="D68" s="204"/>
      <c r="E68" s="205"/>
      <c r="F68" s="205"/>
      <c r="G68" s="205"/>
      <c r="H68" s="205"/>
      <c r="I68" s="205" t="s">
        <v>284</v>
      </c>
      <c r="J68" s="205" t="s">
        <v>284</v>
      </c>
      <c r="K68" s="205" t="s">
        <v>284</v>
      </c>
      <c r="L68" s="205" t="s">
        <v>284</v>
      </c>
      <c r="M68" s="205" t="s">
        <v>284</v>
      </c>
      <c r="N68" s="205"/>
      <c r="O68" s="206"/>
      <c r="P68" s="207"/>
      <c r="Q68" s="205"/>
      <c r="R68" s="205"/>
      <c r="S68" s="207"/>
      <c r="T68" s="205"/>
      <c r="U68" s="205"/>
      <c r="V68" s="205"/>
      <c r="W68" s="205"/>
      <c r="X68" s="205"/>
      <c r="Y68" s="205"/>
      <c r="Z68" s="205"/>
      <c r="AA68" s="205"/>
      <c r="AB68" s="205"/>
      <c r="AC68" s="207"/>
      <c r="AD68" s="205"/>
      <c r="AE68" s="205"/>
      <c r="AF68" s="205"/>
      <c r="AG68" s="205"/>
      <c r="AH68" s="207"/>
      <c r="AI68" s="205"/>
      <c r="AJ68" s="205"/>
      <c r="AK68" s="205"/>
      <c r="AL68" s="205"/>
      <c r="AM68" s="205"/>
      <c r="AN68" s="205"/>
      <c r="AO68" s="205"/>
      <c r="AP68" s="205"/>
      <c r="AQ68" s="205"/>
      <c r="AR68" s="207"/>
      <c r="AS68" s="205"/>
      <c r="AT68" s="205"/>
      <c r="AU68" s="208"/>
      <c r="AV68" s="205"/>
      <c r="AW68" s="205"/>
      <c r="AX68" s="207"/>
      <c r="AY68" s="205"/>
      <c r="AZ68" s="205"/>
      <c r="BA68" s="205"/>
      <c r="BB68" s="205"/>
      <c r="BC68" s="205"/>
      <c r="BD68" s="205"/>
      <c r="BE68" s="205"/>
      <c r="BF68" s="205"/>
      <c r="BG68" s="205"/>
      <c r="BH68" s="205"/>
      <c r="BI68" s="205"/>
      <c r="BJ68" s="205"/>
      <c r="BK68" s="205"/>
      <c r="BL68" s="207"/>
      <c r="BM68" s="205"/>
      <c r="BN68" s="205"/>
      <c r="BO68" s="205"/>
      <c r="BP68" s="205"/>
      <c r="BQ68" s="205"/>
      <c r="BR68" s="205"/>
      <c r="BS68" s="205"/>
      <c r="BT68" s="205"/>
      <c r="BU68" s="205"/>
      <c r="BV68" s="205"/>
      <c r="BW68" s="208"/>
      <c r="BX68" s="204"/>
      <c r="BY68" s="205"/>
      <c r="BZ68" s="205"/>
      <c r="CA68" s="205"/>
      <c r="CB68" s="206"/>
      <c r="CC68" s="207" t="s">
        <v>284</v>
      </c>
      <c r="CD68" s="205"/>
      <c r="CE68" s="205" t="s">
        <v>284</v>
      </c>
      <c r="CF68" s="206"/>
      <c r="CG68" s="160"/>
    </row>
    <row r="69" spans="1:85">
      <c r="A69" s="160"/>
      <c r="B69" s="202"/>
      <c r="C69" s="203" t="s">
        <v>322</v>
      </c>
      <c r="D69" s="204"/>
      <c r="E69" s="205"/>
      <c r="F69" s="205"/>
      <c r="G69" s="205"/>
      <c r="H69" s="205"/>
      <c r="I69" s="205" t="s">
        <v>284</v>
      </c>
      <c r="J69" s="205" t="s">
        <v>284</v>
      </c>
      <c r="K69" s="205" t="s">
        <v>284</v>
      </c>
      <c r="L69" s="205" t="s">
        <v>284</v>
      </c>
      <c r="M69" s="205" t="s">
        <v>284</v>
      </c>
      <c r="N69" s="205"/>
      <c r="O69" s="206" t="s">
        <v>284</v>
      </c>
      <c r="P69" s="207"/>
      <c r="Q69" s="205"/>
      <c r="R69" s="205"/>
      <c r="S69" s="207"/>
      <c r="T69" s="205"/>
      <c r="U69" s="205"/>
      <c r="V69" s="205"/>
      <c r="W69" s="205"/>
      <c r="X69" s="205"/>
      <c r="Y69" s="205"/>
      <c r="Z69" s="205"/>
      <c r="AA69" s="205"/>
      <c r="AB69" s="205"/>
      <c r="AC69" s="207"/>
      <c r="AD69" s="205"/>
      <c r="AE69" s="205"/>
      <c r="AF69" s="205"/>
      <c r="AG69" s="205"/>
      <c r="AH69" s="207"/>
      <c r="AI69" s="205"/>
      <c r="AJ69" s="205"/>
      <c r="AK69" s="205"/>
      <c r="AL69" s="205"/>
      <c r="AM69" s="205"/>
      <c r="AN69" s="205"/>
      <c r="AO69" s="205"/>
      <c r="AP69" s="205"/>
      <c r="AQ69" s="205"/>
      <c r="AR69" s="207"/>
      <c r="AS69" s="205"/>
      <c r="AT69" s="205"/>
      <c r="AU69" s="208"/>
      <c r="AV69" s="205"/>
      <c r="AW69" s="205"/>
      <c r="AX69" s="207"/>
      <c r="AY69" s="205"/>
      <c r="AZ69" s="205"/>
      <c r="BA69" s="205"/>
      <c r="BB69" s="205"/>
      <c r="BC69" s="205"/>
      <c r="BD69" s="205"/>
      <c r="BE69" s="205"/>
      <c r="BF69" s="205"/>
      <c r="BG69" s="205"/>
      <c r="BH69" s="205"/>
      <c r="BI69" s="205"/>
      <c r="BJ69" s="205"/>
      <c r="BK69" s="205"/>
      <c r="BL69" s="207"/>
      <c r="BM69" s="205"/>
      <c r="BN69" s="205"/>
      <c r="BO69" s="205"/>
      <c r="BP69" s="205"/>
      <c r="BQ69" s="205"/>
      <c r="BR69" s="205"/>
      <c r="BS69" s="205"/>
      <c r="BT69" s="205"/>
      <c r="BU69" s="205"/>
      <c r="BV69" s="205"/>
      <c r="BW69" s="208"/>
      <c r="BX69" s="204"/>
      <c r="BY69" s="205"/>
      <c r="BZ69" s="205"/>
      <c r="CA69" s="205"/>
      <c r="CB69" s="206"/>
      <c r="CC69" s="207" t="s">
        <v>284</v>
      </c>
      <c r="CD69" s="205"/>
      <c r="CE69" s="205" t="s">
        <v>284</v>
      </c>
      <c r="CF69" s="206"/>
      <c r="CG69" s="160"/>
    </row>
    <row r="70" spans="1:85">
      <c r="A70" s="160"/>
      <c r="B70" s="202"/>
      <c r="C70" s="203" t="s">
        <v>251</v>
      </c>
      <c r="D70" s="204"/>
      <c r="E70" s="205"/>
      <c r="F70" s="205"/>
      <c r="G70" s="205"/>
      <c r="H70" s="205"/>
      <c r="I70" s="205" t="s">
        <v>284</v>
      </c>
      <c r="J70" s="205" t="s">
        <v>284</v>
      </c>
      <c r="K70" s="205" t="s">
        <v>284</v>
      </c>
      <c r="L70" s="205" t="s">
        <v>284</v>
      </c>
      <c r="M70" s="205" t="s">
        <v>284</v>
      </c>
      <c r="N70" s="205"/>
      <c r="O70" s="206" t="s">
        <v>284</v>
      </c>
      <c r="P70" s="207"/>
      <c r="Q70" s="205"/>
      <c r="R70" s="205"/>
      <c r="S70" s="207"/>
      <c r="T70" s="205"/>
      <c r="U70" s="205"/>
      <c r="V70" s="205"/>
      <c r="W70" s="205"/>
      <c r="X70" s="205"/>
      <c r="Y70" s="205"/>
      <c r="Z70" s="205"/>
      <c r="AA70" s="205"/>
      <c r="AB70" s="205"/>
      <c r="AC70" s="207"/>
      <c r="AD70" s="205"/>
      <c r="AE70" s="205"/>
      <c r="AF70" s="205"/>
      <c r="AG70" s="205"/>
      <c r="AH70" s="207"/>
      <c r="AI70" s="205"/>
      <c r="AJ70" s="205"/>
      <c r="AK70" s="205"/>
      <c r="AL70" s="205"/>
      <c r="AM70" s="205"/>
      <c r="AN70" s="205"/>
      <c r="AO70" s="205"/>
      <c r="AP70" s="205"/>
      <c r="AQ70" s="205"/>
      <c r="AR70" s="207"/>
      <c r="AS70" s="205"/>
      <c r="AT70" s="205"/>
      <c r="AU70" s="208"/>
      <c r="AV70" s="205"/>
      <c r="AW70" s="205"/>
      <c r="AX70" s="207"/>
      <c r="AY70" s="205"/>
      <c r="AZ70" s="205"/>
      <c r="BA70" s="205"/>
      <c r="BB70" s="205"/>
      <c r="BC70" s="205"/>
      <c r="BD70" s="205"/>
      <c r="BE70" s="205"/>
      <c r="BF70" s="205"/>
      <c r="BG70" s="205"/>
      <c r="BH70" s="205"/>
      <c r="BI70" s="205"/>
      <c r="BJ70" s="205"/>
      <c r="BK70" s="205"/>
      <c r="BL70" s="207"/>
      <c r="BM70" s="205"/>
      <c r="BN70" s="205"/>
      <c r="BO70" s="205"/>
      <c r="BP70" s="205"/>
      <c r="BQ70" s="205"/>
      <c r="BR70" s="205"/>
      <c r="BS70" s="205"/>
      <c r="BT70" s="205"/>
      <c r="BU70" s="205"/>
      <c r="BV70" s="205"/>
      <c r="BW70" s="208"/>
      <c r="BX70" s="204"/>
      <c r="BY70" s="205"/>
      <c r="BZ70" s="205"/>
      <c r="CA70" s="205"/>
      <c r="CB70" s="206"/>
      <c r="CC70" s="207" t="s">
        <v>284</v>
      </c>
      <c r="CD70" s="205"/>
      <c r="CE70" s="205" t="s">
        <v>284</v>
      </c>
      <c r="CF70" s="206"/>
      <c r="CG70" s="160"/>
    </row>
    <row r="71" spans="1:85">
      <c r="A71" s="160"/>
      <c r="B71" s="202"/>
      <c r="C71" s="203" t="s">
        <v>260</v>
      </c>
      <c r="D71" s="204"/>
      <c r="E71" s="205"/>
      <c r="F71" s="205"/>
      <c r="G71" s="205"/>
      <c r="H71" s="205"/>
      <c r="I71" s="205" t="s">
        <v>284</v>
      </c>
      <c r="J71" s="205" t="s">
        <v>284</v>
      </c>
      <c r="K71" s="205" t="s">
        <v>284</v>
      </c>
      <c r="L71" s="205" t="s">
        <v>284</v>
      </c>
      <c r="M71" s="205" t="s">
        <v>284</v>
      </c>
      <c r="N71" s="205" t="s">
        <v>284</v>
      </c>
      <c r="O71" s="206"/>
      <c r="P71" s="207"/>
      <c r="Q71" s="205"/>
      <c r="R71" s="205"/>
      <c r="S71" s="207"/>
      <c r="T71" s="205"/>
      <c r="U71" s="205"/>
      <c r="V71" s="205"/>
      <c r="W71" s="205"/>
      <c r="X71" s="205"/>
      <c r="Y71" s="205"/>
      <c r="Z71" s="205"/>
      <c r="AA71" s="205"/>
      <c r="AB71" s="205"/>
      <c r="AC71" s="207"/>
      <c r="AD71" s="205"/>
      <c r="AE71" s="205"/>
      <c r="AF71" s="205"/>
      <c r="AG71" s="205"/>
      <c r="AH71" s="207"/>
      <c r="AI71" s="205"/>
      <c r="AJ71" s="205"/>
      <c r="AK71" s="205"/>
      <c r="AL71" s="205"/>
      <c r="AM71" s="205"/>
      <c r="AN71" s="205"/>
      <c r="AO71" s="205"/>
      <c r="AP71" s="205"/>
      <c r="AQ71" s="205"/>
      <c r="AR71" s="207"/>
      <c r="AS71" s="205"/>
      <c r="AT71" s="205"/>
      <c r="AU71" s="208"/>
      <c r="AV71" s="205"/>
      <c r="AW71" s="205"/>
      <c r="AX71" s="207"/>
      <c r="AY71" s="205"/>
      <c r="AZ71" s="205"/>
      <c r="BA71" s="205"/>
      <c r="BB71" s="205"/>
      <c r="BC71" s="205"/>
      <c r="BD71" s="205"/>
      <c r="BE71" s="205"/>
      <c r="BF71" s="205"/>
      <c r="BG71" s="205"/>
      <c r="BH71" s="205"/>
      <c r="BI71" s="205"/>
      <c r="BJ71" s="205"/>
      <c r="BK71" s="205"/>
      <c r="BL71" s="207"/>
      <c r="BM71" s="205"/>
      <c r="BN71" s="205"/>
      <c r="BO71" s="205"/>
      <c r="BP71" s="205"/>
      <c r="BQ71" s="205"/>
      <c r="BR71" s="205"/>
      <c r="BS71" s="205"/>
      <c r="BT71" s="205"/>
      <c r="BU71" s="205"/>
      <c r="BV71" s="205"/>
      <c r="BW71" s="208"/>
      <c r="BX71" s="204"/>
      <c r="BY71" s="205"/>
      <c r="BZ71" s="205"/>
      <c r="CA71" s="205"/>
      <c r="CB71" s="206"/>
      <c r="CC71" s="207"/>
      <c r="CD71" s="205"/>
      <c r="CE71" s="205"/>
      <c r="CF71" s="206"/>
      <c r="CG71" s="160"/>
    </row>
    <row r="72" spans="1:85">
      <c r="A72" s="160"/>
      <c r="B72" s="202"/>
      <c r="C72" s="203" t="s">
        <v>237</v>
      </c>
      <c r="D72" s="204"/>
      <c r="E72" s="205"/>
      <c r="F72" s="205"/>
      <c r="G72" s="205"/>
      <c r="H72" s="205"/>
      <c r="I72" s="205" t="s">
        <v>284</v>
      </c>
      <c r="J72" s="205" t="s">
        <v>284</v>
      </c>
      <c r="K72" s="205" t="s">
        <v>284</v>
      </c>
      <c r="L72" s="205" t="s">
        <v>284</v>
      </c>
      <c r="M72" s="205" t="s">
        <v>284</v>
      </c>
      <c r="N72" s="205" t="s">
        <v>284</v>
      </c>
      <c r="O72" s="206" t="s">
        <v>284</v>
      </c>
      <c r="P72" s="207"/>
      <c r="Q72" s="205"/>
      <c r="R72" s="205"/>
      <c r="S72" s="207"/>
      <c r="T72" s="205"/>
      <c r="U72" s="205"/>
      <c r="V72" s="205"/>
      <c r="W72" s="205"/>
      <c r="X72" s="205"/>
      <c r="Y72" s="205"/>
      <c r="Z72" s="205"/>
      <c r="AA72" s="205"/>
      <c r="AB72" s="205"/>
      <c r="AC72" s="207"/>
      <c r="AD72" s="205"/>
      <c r="AE72" s="205"/>
      <c r="AF72" s="205"/>
      <c r="AG72" s="205"/>
      <c r="AH72" s="207"/>
      <c r="AI72" s="205"/>
      <c r="AJ72" s="205"/>
      <c r="AK72" s="205"/>
      <c r="AL72" s="205"/>
      <c r="AM72" s="205"/>
      <c r="AN72" s="205"/>
      <c r="AO72" s="205"/>
      <c r="AP72" s="205"/>
      <c r="AQ72" s="205"/>
      <c r="AR72" s="207"/>
      <c r="AS72" s="205"/>
      <c r="AT72" s="205"/>
      <c r="AU72" s="208"/>
      <c r="AV72" s="205"/>
      <c r="AW72" s="205"/>
      <c r="AX72" s="207"/>
      <c r="AY72" s="205"/>
      <c r="AZ72" s="205"/>
      <c r="BA72" s="205"/>
      <c r="BB72" s="205"/>
      <c r="BC72" s="205"/>
      <c r="BD72" s="205"/>
      <c r="BE72" s="205"/>
      <c r="BF72" s="205"/>
      <c r="BG72" s="205"/>
      <c r="BH72" s="205"/>
      <c r="BI72" s="205"/>
      <c r="BJ72" s="205"/>
      <c r="BK72" s="205"/>
      <c r="BL72" s="207"/>
      <c r="BM72" s="205"/>
      <c r="BN72" s="205"/>
      <c r="BO72" s="205"/>
      <c r="BP72" s="205"/>
      <c r="BQ72" s="205"/>
      <c r="BR72" s="205"/>
      <c r="BS72" s="205"/>
      <c r="BT72" s="205"/>
      <c r="BU72" s="205"/>
      <c r="BV72" s="205"/>
      <c r="BW72" s="208"/>
      <c r="BX72" s="204"/>
      <c r="BY72" s="205"/>
      <c r="BZ72" s="205"/>
      <c r="CA72" s="205"/>
      <c r="CB72" s="206"/>
      <c r="CC72" s="207" t="s">
        <v>284</v>
      </c>
      <c r="CD72" s="205"/>
      <c r="CE72" s="205"/>
      <c r="CF72" s="206"/>
      <c r="CG72" s="160"/>
    </row>
    <row r="73" spans="1:85">
      <c r="A73" s="160"/>
      <c r="B73" s="202"/>
      <c r="C73" s="203" t="s">
        <v>323</v>
      </c>
      <c r="D73" s="204"/>
      <c r="E73" s="205"/>
      <c r="F73" s="205"/>
      <c r="G73" s="205"/>
      <c r="H73" s="205"/>
      <c r="I73" s="205" t="s">
        <v>284</v>
      </c>
      <c r="J73" s="205" t="s">
        <v>284</v>
      </c>
      <c r="K73" s="205" t="s">
        <v>284</v>
      </c>
      <c r="L73" s="205" t="s">
        <v>284</v>
      </c>
      <c r="M73" s="205" t="s">
        <v>284</v>
      </c>
      <c r="N73" s="205" t="s">
        <v>284</v>
      </c>
      <c r="O73" s="206"/>
      <c r="P73" s="207"/>
      <c r="Q73" s="205"/>
      <c r="R73" s="205"/>
      <c r="S73" s="207"/>
      <c r="T73" s="205"/>
      <c r="U73" s="205"/>
      <c r="V73" s="205"/>
      <c r="W73" s="205"/>
      <c r="X73" s="205"/>
      <c r="Y73" s="205"/>
      <c r="Z73" s="205"/>
      <c r="AA73" s="205"/>
      <c r="AB73" s="205"/>
      <c r="AC73" s="207"/>
      <c r="AD73" s="205"/>
      <c r="AE73" s="205"/>
      <c r="AF73" s="205"/>
      <c r="AG73" s="205"/>
      <c r="AH73" s="207"/>
      <c r="AI73" s="205"/>
      <c r="AJ73" s="205"/>
      <c r="AK73" s="205"/>
      <c r="AL73" s="205"/>
      <c r="AM73" s="205"/>
      <c r="AN73" s="205"/>
      <c r="AO73" s="205"/>
      <c r="AP73" s="205"/>
      <c r="AQ73" s="205"/>
      <c r="AR73" s="207"/>
      <c r="AS73" s="205"/>
      <c r="AT73" s="205"/>
      <c r="AU73" s="208"/>
      <c r="AV73" s="205"/>
      <c r="AW73" s="205"/>
      <c r="AX73" s="207"/>
      <c r="AY73" s="205"/>
      <c r="AZ73" s="205"/>
      <c r="BA73" s="205"/>
      <c r="BB73" s="205"/>
      <c r="BC73" s="205"/>
      <c r="BD73" s="205"/>
      <c r="BE73" s="205"/>
      <c r="BF73" s="205"/>
      <c r="BG73" s="205"/>
      <c r="BH73" s="205"/>
      <c r="BI73" s="205"/>
      <c r="BJ73" s="205"/>
      <c r="BK73" s="205"/>
      <c r="BL73" s="207"/>
      <c r="BM73" s="205"/>
      <c r="BN73" s="205"/>
      <c r="BO73" s="205"/>
      <c r="BP73" s="205"/>
      <c r="BQ73" s="205"/>
      <c r="BR73" s="205"/>
      <c r="BS73" s="205"/>
      <c r="BT73" s="205"/>
      <c r="BU73" s="205"/>
      <c r="BV73" s="205"/>
      <c r="BW73" s="208"/>
      <c r="BX73" s="204"/>
      <c r="BY73" s="205"/>
      <c r="BZ73" s="205"/>
      <c r="CA73" s="205"/>
      <c r="CB73" s="206"/>
      <c r="CC73" s="207" t="s">
        <v>284</v>
      </c>
      <c r="CD73" s="205"/>
      <c r="CE73" s="205" t="s">
        <v>284</v>
      </c>
      <c r="CF73" s="206"/>
      <c r="CG73" s="160"/>
    </row>
    <row r="74" spans="1:85">
      <c r="A74" s="160"/>
      <c r="B74" s="202"/>
      <c r="C74" s="203" t="s">
        <v>252</v>
      </c>
      <c r="D74" s="204"/>
      <c r="E74" s="205"/>
      <c r="F74" s="205"/>
      <c r="G74" s="205"/>
      <c r="H74" s="205"/>
      <c r="I74" s="205" t="s">
        <v>284</v>
      </c>
      <c r="J74" s="205" t="s">
        <v>284</v>
      </c>
      <c r="K74" s="205" t="s">
        <v>284</v>
      </c>
      <c r="L74" s="205" t="s">
        <v>284</v>
      </c>
      <c r="M74" s="205" t="s">
        <v>284</v>
      </c>
      <c r="N74" s="205" t="s">
        <v>284</v>
      </c>
      <c r="O74" s="206" t="s">
        <v>284</v>
      </c>
      <c r="P74" s="207"/>
      <c r="Q74" s="205"/>
      <c r="R74" s="205"/>
      <c r="S74" s="207"/>
      <c r="T74" s="205"/>
      <c r="U74" s="205"/>
      <c r="V74" s="205"/>
      <c r="W74" s="205"/>
      <c r="X74" s="205"/>
      <c r="Y74" s="205"/>
      <c r="Z74" s="205"/>
      <c r="AA74" s="205"/>
      <c r="AB74" s="205"/>
      <c r="AC74" s="207"/>
      <c r="AD74" s="205"/>
      <c r="AE74" s="205"/>
      <c r="AF74" s="205"/>
      <c r="AG74" s="205"/>
      <c r="AH74" s="207"/>
      <c r="AI74" s="205"/>
      <c r="AJ74" s="205"/>
      <c r="AK74" s="205"/>
      <c r="AL74" s="205"/>
      <c r="AM74" s="205"/>
      <c r="AN74" s="205"/>
      <c r="AO74" s="205"/>
      <c r="AP74" s="205"/>
      <c r="AQ74" s="205"/>
      <c r="AR74" s="207"/>
      <c r="AS74" s="205"/>
      <c r="AT74" s="205"/>
      <c r="AU74" s="208"/>
      <c r="AV74" s="205"/>
      <c r="AW74" s="205"/>
      <c r="AX74" s="207"/>
      <c r="AY74" s="205"/>
      <c r="AZ74" s="205"/>
      <c r="BA74" s="205"/>
      <c r="BB74" s="205"/>
      <c r="BC74" s="205"/>
      <c r="BD74" s="205"/>
      <c r="BE74" s="205"/>
      <c r="BF74" s="205"/>
      <c r="BG74" s="205"/>
      <c r="BH74" s="205"/>
      <c r="BI74" s="205"/>
      <c r="BJ74" s="205"/>
      <c r="BK74" s="205"/>
      <c r="BL74" s="207"/>
      <c r="BM74" s="205"/>
      <c r="BN74" s="205"/>
      <c r="BO74" s="205"/>
      <c r="BP74" s="205"/>
      <c r="BQ74" s="205"/>
      <c r="BR74" s="205"/>
      <c r="BS74" s="205"/>
      <c r="BT74" s="205"/>
      <c r="BU74" s="205"/>
      <c r="BV74" s="205"/>
      <c r="BW74" s="208"/>
      <c r="BX74" s="204"/>
      <c r="BY74" s="205"/>
      <c r="BZ74" s="205"/>
      <c r="CA74" s="205"/>
      <c r="CB74" s="206"/>
      <c r="CC74" s="207" t="s">
        <v>284</v>
      </c>
      <c r="CD74" s="205"/>
      <c r="CE74" s="205" t="s">
        <v>284</v>
      </c>
      <c r="CF74" s="206"/>
      <c r="CG74" s="160"/>
    </row>
    <row r="75" spans="1:85">
      <c r="A75" s="160"/>
      <c r="B75" s="202"/>
      <c r="C75" s="203" t="s">
        <v>324</v>
      </c>
      <c r="D75" s="204" t="s">
        <v>284</v>
      </c>
      <c r="E75" s="205" t="s">
        <v>284</v>
      </c>
      <c r="F75" s="205" t="s">
        <v>284</v>
      </c>
      <c r="G75" s="205" t="s">
        <v>284</v>
      </c>
      <c r="H75" s="205" t="s">
        <v>284</v>
      </c>
      <c r="I75" s="205"/>
      <c r="J75" s="205"/>
      <c r="K75" s="205"/>
      <c r="L75" s="205"/>
      <c r="M75" s="205"/>
      <c r="N75" s="205"/>
      <c r="O75" s="206" t="s">
        <v>284</v>
      </c>
      <c r="P75" s="207"/>
      <c r="Q75" s="205"/>
      <c r="R75" s="205"/>
      <c r="S75" s="207"/>
      <c r="T75" s="205"/>
      <c r="U75" s="205"/>
      <c r="V75" s="205"/>
      <c r="W75" s="205"/>
      <c r="X75" s="205"/>
      <c r="Y75" s="205"/>
      <c r="Z75" s="205"/>
      <c r="AA75" s="205"/>
      <c r="AB75" s="205"/>
      <c r="AC75" s="207"/>
      <c r="AD75" s="205"/>
      <c r="AE75" s="205"/>
      <c r="AF75" s="205"/>
      <c r="AG75" s="205"/>
      <c r="AH75" s="207"/>
      <c r="AI75" s="205"/>
      <c r="AJ75" s="205"/>
      <c r="AK75" s="205"/>
      <c r="AL75" s="205"/>
      <c r="AM75" s="205"/>
      <c r="AN75" s="205"/>
      <c r="AO75" s="205"/>
      <c r="AP75" s="205"/>
      <c r="AQ75" s="205"/>
      <c r="AR75" s="207"/>
      <c r="AS75" s="205"/>
      <c r="AT75" s="205"/>
      <c r="AU75" s="208"/>
      <c r="AV75" s="205"/>
      <c r="AW75" s="205"/>
      <c r="AX75" s="207"/>
      <c r="AY75" s="205"/>
      <c r="AZ75" s="205"/>
      <c r="BA75" s="205"/>
      <c r="BB75" s="205"/>
      <c r="BC75" s="205"/>
      <c r="BD75" s="205"/>
      <c r="BE75" s="205"/>
      <c r="BF75" s="205"/>
      <c r="BG75" s="205"/>
      <c r="BH75" s="205"/>
      <c r="BI75" s="205"/>
      <c r="BJ75" s="205"/>
      <c r="BK75" s="205"/>
      <c r="BL75" s="207"/>
      <c r="BM75" s="205"/>
      <c r="BN75" s="205"/>
      <c r="BO75" s="205"/>
      <c r="BP75" s="205"/>
      <c r="BQ75" s="205"/>
      <c r="BR75" s="205"/>
      <c r="BS75" s="205"/>
      <c r="BT75" s="205"/>
      <c r="BU75" s="205"/>
      <c r="BV75" s="205"/>
      <c r="BW75" s="208"/>
      <c r="BX75" s="204"/>
      <c r="BY75" s="205"/>
      <c r="BZ75" s="205"/>
      <c r="CA75" s="205"/>
      <c r="CB75" s="206"/>
      <c r="CC75" s="207" t="s">
        <v>284</v>
      </c>
      <c r="CD75" s="205"/>
      <c r="CE75" s="205" t="s">
        <v>284</v>
      </c>
      <c r="CF75" s="206"/>
      <c r="CG75" s="160"/>
    </row>
    <row r="76" spans="1:85">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7"/>
      <c r="Q76" s="205"/>
      <c r="R76" s="205"/>
      <c r="S76" s="207"/>
      <c r="T76" s="205"/>
      <c r="U76" s="205"/>
      <c r="V76" s="205"/>
      <c r="W76" s="205"/>
      <c r="X76" s="205"/>
      <c r="Y76" s="205"/>
      <c r="Z76" s="205"/>
      <c r="AA76" s="205"/>
      <c r="AB76" s="205"/>
      <c r="AC76" s="207"/>
      <c r="AD76" s="205"/>
      <c r="AE76" s="205"/>
      <c r="AF76" s="205"/>
      <c r="AG76" s="205"/>
      <c r="AH76" s="207"/>
      <c r="AI76" s="205"/>
      <c r="AJ76" s="205"/>
      <c r="AK76" s="205"/>
      <c r="AL76" s="205"/>
      <c r="AM76" s="205"/>
      <c r="AN76" s="205"/>
      <c r="AO76" s="205"/>
      <c r="AP76" s="205"/>
      <c r="AQ76" s="205"/>
      <c r="AR76" s="207"/>
      <c r="AS76" s="205"/>
      <c r="AT76" s="205"/>
      <c r="AU76" s="208"/>
      <c r="AV76" s="205"/>
      <c r="AW76" s="205"/>
      <c r="AX76" s="207"/>
      <c r="AY76" s="205"/>
      <c r="AZ76" s="205"/>
      <c r="BA76" s="205"/>
      <c r="BB76" s="205"/>
      <c r="BC76" s="205"/>
      <c r="BD76" s="205"/>
      <c r="BE76" s="205"/>
      <c r="BF76" s="205"/>
      <c r="BG76" s="205"/>
      <c r="BH76" s="205"/>
      <c r="BI76" s="205"/>
      <c r="BJ76" s="205"/>
      <c r="BK76" s="205"/>
      <c r="BL76" s="207"/>
      <c r="BM76" s="205"/>
      <c r="BN76" s="205"/>
      <c r="BO76" s="205"/>
      <c r="BP76" s="205"/>
      <c r="BQ76" s="205"/>
      <c r="BR76" s="205"/>
      <c r="BS76" s="205"/>
      <c r="BT76" s="205"/>
      <c r="BU76" s="205"/>
      <c r="BV76" s="205"/>
      <c r="BW76" s="208"/>
      <c r="BX76" s="204"/>
      <c r="BY76" s="205"/>
      <c r="BZ76" s="205"/>
      <c r="CA76" s="205"/>
      <c r="CB76" s="206"/>
      <c r="CC76" s="207"/>
      <c r="CD76" s="205"/>
      <c r="CE76" s="205"/>
      <c r="CF76" s="206"/>
      <c r="CG76" s="160"/>
    </row>
    <row r="77" spans="1:85">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7"/>
      <c r="Q77" s="205"/>
      <c r="R77" s="205"/>
      <c r="S77" s="207"/>
      <c r="T77" s="205"/>
      <c r="U77" s="205"/>
      <c r="V77" s="205"/>
      <c r="W77" s="205"/>
      <c r="X77" s="205"/>
      <c r="Y77" s="205"/>
      <c r="Z77" s="205"/>
      <c r="AA77" s="205"/>
      <c r="AB77" s="205"/>
      <c r="AC77" s="207"/>
      <c r="AD77" s="205"/>
      <c r="AE77" s="205"/>
      <c r="AF77" s="205"/>
      <c r="AG77" s="205"/>
      <c r="AH77" s="207"/>
      <c r="AI77" s="205"/>
      <c r="AJ77" s="205"/>
      <c r="AK77" s="205"/>
      <c r="AL77" s="205"/>
      <c r="AM77" s="205"/>
      <c r="AN77" s="205"/>
      <c r="AO77" s="205"/>
      <c r="AP77" s="205"/>
      <c r="AQ77" s="205"/>
      <c r="AR77" s="207"/>
      <c r="AS77" s="205"/>
      <c r="AT77" s="205"/>
      <c r="AU77" s="208"/>
      <c r="AV77" s="205"/>
      <c r="AW77" s="205"/>
      <c r="AX77" s="207"/>
      <c r="AY77" s="205"/>
      <c r="AZ77" s="205"/>
      <c r="BA77" s="205"/>
      <c r="BB77" s="205"/>
      <c r="BC77" s="205"/>
      <c r="BD77" s="205"/>
      <c r="BE77" s="205"/>
      <c r="BF77" s="205"/>
      <c r="BG77" s="205"/>
      <c r="BH77" s="205"/>
      <c r="BI77" s="205"/>
      <c r="BJ77" s="205"/>
      <c r="BK77" s="205"/>
      <c r="BL77" s="207"/>
      <c r="BM77" s="205"/>
      <c r="BN77" s="205"/>
      <c r="BO77" s="205"/>
      <c r="BP77" s="205"/>
      <c r="BQ77" s="205"/>
      <c r="BR77" s="205"/>
      <c r="BS77" s="205"/>
      <c r="BT77" s="205"/>
      <c r="BU77" s="205"/>
      <c r="BV77" s="205"/>
      <c r="BW77" s="208"/>
      <c r="BX77" s="204"/>
      <c r="BY77" s="205"/>
      <c r="BZ77" s="205"/>
      <c r="CA77" s="205"/>
      <c r="CB77" s="206"/>
      <c r="CC77" s="207" t="s">
        <v>284</v>
      </c>
      <c r="CD77" s="205"/>
      <c r="CE77" s="205" t="s">
        <v>284</v>
      </c>
      <c r="CF77" s="206"/>
      <c r="CG77" s="160"/>
    </row>
    <row r="78" spans="1:85">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7"/>
      <c r="Q78" s="205"/>
      <c r="R78" s="205"/>
      <c r="S78" s="207"/>
      <c r="T78" s="205"/>
      <c r="U78" s="205"/>
      <c r="V78" s="205"/>
      <c r="W78" s="205"/>
      <c r="X78" s="205"/>
      <c r="Y78" s="205"/>
      <c r="Z78" s="205"/>
      <c r="AA78" s="205"/>
      <c r="AB78" s="205"/>
      <c r="AC78" s="207"/>
      <c r="AD78" s="205"/>
      <c r="AE78" s="205"/>
      <c r="AF78" s="205"/>
      <c r="AG78" s="205"/>
      <c r="AH78" s="207"/>
      <c r="AI78" s="205"/>
      <c r="AJ78" s="205"/>
      <c r="AK78" s="205"/>
      <c r="AL78" s="205"/>
      <c r="AM78" s="205"/>
      <c r="AN78" s="205"/>
      <c r="AO78" s="205"/>
      <c r="AP78" s="205"/>
      <c r="AQ78" s="205"/>
      <c r="AR78" s="207"/>
      <c r="AS78" s="205"/>
      <c r="AT78" s="205"/>
      <c r="AU78" s="208"/>
      <c r="AV78" s="205"/>
      <c r="AW78" s="205"/>
      <c r="AX78" s="207"/>
      <c r="AY78" s="205"/>
      <c r="AZ78" s="205"/>
      <c r="BA78" s="205"/>
      <c r="BB78" s="205"/>
      <c r="BC78" s="205"/>
      <c r="BD78" s="205"/>
      <c r="BE78" s="205"/>
      <c r="BF78" s="205"/>
      <c r="BG78" s="205"/>
      <c r="BH78" s="205"/>
      <c r="BI78" s="205"/>
      <c r="BJ78" s="205"/>
      <c r="BK78" s="205"/>
      <c r="BL78" s="207"/>
      <c r="BM78" s="205"/>
      <c r="BN78" s="205"/>
      <c r="BO78" s="205"/>
      <c r="BP78" s="205"/>
      <c r="BQ78" s="205"/>
      <c r="BR78" s="205"/>
      <c r="BS78" s="205"/>
      <c r="BT78" s="205"/>
      <c r="BU78" s="205"/>
      <c r="BV78" s="205"/>
      <c r="BW78" s="208"/>
      <c r="BX78" s="204"/>
      <c r="BY78" s="205"/>
      <c r="BZ78" s="205"/>
      <c r="CA78" s="205"/>
      <c r="CB78" s="206"/>
      <c r="CC78" s="207" t="s">
        <v>284</v>
      </c>
      <c r="CD78" s="205"/>
      <c r="CE78" s="205" t="s">
        <v>284</v>
      </c>
      <c r="CF78" s="206"/>
      <c r="CG78" s="160"/>
    </row>
    <row r="79" spans="1:85" ht="13.8" thickBot="1">
      <c r="A79" s="160"/>
      <c r="B79" s="202"/>
      <c r="C79" s="209" t="s">
        <v>326</v>
      </c>
      <c r="D79" s="210" t="s">
        <v>284</v>
      </c>
      <c r="E79" s="211" t="s">
        <v>284</v>
      </c>
      <c r="F79" s="211" t="s">
        <v>284</v>
      </c>
      <c r="G79" s="211" t="s">
        <v>284</v>
      </c>
      <c r="H79" s="211" t="s">
        <v>284</v>
      </c>
      <c r="I79" s="211" t="s">
        <v>284</v>
      </c>
      <c r="J79" s="211" t="s">
        <v>284</v>
      </c>
      <c r="K79" s="211" t="s">
        <v>284</v>
      </c>
      <c r="L79" s="211" t="s">
        <v>284</v>
      </c>
      <c r="M79" s="211" t="s">
        <v>284</v>
      </c>
      <c r="N79" s="211" t="s">
        <v>284</v>
      </c>
      <c r="O79" s="212" t="s">
        <v>284</v>
      </c>
      <c r="P79" s="213"/>
      <c r="Q79" s="211"/>
      <c r="R79" s="211"/>
      <c r="S79" s="213"/>
      <c r="T79" s="211"/>
      <c r="U79" s="211"/>
      <c r="V79" s="211"/>
      <c r="W79" s="211"/>
      <c r="X79" s="211"/>
      <c r="Y79" s="211"/>
      <c r="Z79" s="211"/>
      <c r="AA79" s="211"/>
      <c r="AB79" s="211"/>
      <c r="AC79" s="213"/>
      <c r="AD79" s="211"/>
      <c r="AE79" s="211"/>
      <c r="AF79" s="211"/>
      <c r="AG79" s="211"/>
      <c r="AH79" s="213"/>
      <c r="AI79" s="211"/>
      <c r="AJ79" s="211"/>
      <c r="AK79" s="211"/>
      <c r="AL79" s="211"/>
      <c r="AM79" s="211"/>
      <c r="AN79" s="211"/>
      <c r="AO79" s="211"/>
      <c r="AP79" s="211"/>
      <c r="AQ79" s="211"/>
      <c r="AR79" s="213"/>
      <c r="AS79" s="211"/>
      <c r="AT79" s="211"/>
      <c r="AU79" s="214"/>
      <c r="AV79" s="211"/>
      <c r="AW79" s="211"/>
      <c r="AX79" s="213"/>
      <c r="AY79" s="211"/>
      <c r="AZ79" s="211"/>
      <c r="BA79" s="211"/>
      <c r="BB79" s="211"/>
      <c r="BC79" s="211"/>
      <c r="BD79" s="211"/>
      <c r="BE79" s="211"/>
      <c r="BF79" s="211"/>
      <c r="BG79" s="211"/>
      <c r="BH79" s="211"/>
      <c r="BI79" s="211"/>
      <c r="BJ79" s="211"/>
      <c r="BK79" s="211"/>
      <c r="BL79" s="213"/>
      <c r="BM79" s="211"/>
      <c r="BN79" s="211"/>
      <c r="BO79" s="211"/>
      <c r="BP79" s="211"/>
      <c r="BQ79" s="211"/>
      <c r="BR79" s="211"/>
      <c r="BS79" s="211"/>
      <c r="BT79" s="211"/>
      <c r="BU79" s="211"/>
      <c r="BV79" s="211"/>
      <c r="BW79" s="214"/>
      <c r="BX79" s="210"/>
      <c r="BY79" s="211"/>
      <c r="BZ79" s="211"/>
      <c r="CA79" s="211"/>
      <c r="CB79" s="212"/>
      <c r="CC79" s="213" t="s">
        <v>284</v>
      </c>
      <c r="CD79" s="211"/>
      <c r="CE79" s="211" t="s">
        <v>284</v>
      </c>
      <c r="CF79" s="212"/>
      <c r="CG79" s="160"/>
    </row>
    <row r="80" spans="1:85">
      <c r="A80" s="160"/>
      <c r="B80" s="215" t="s">
        <v>686</v>
      </c>
      <c r="C80" s="216" t="s">
        <v>344</v>
      </c>
      <c r="D80" s="197"/>
      <c r="E80" s="198"/>
      <c r="F80" s="198"/>
      <c r="G80" s="198"/>
      <c r="H80" s="198"/>
      <c r="I80" s="198"/>
      <c r="J80" s="198"/>
      <c r="K80" s="198"/>
      <c r="L80" s="198"/>
      <c r="M80" s="198"/>
      <c r="N80" s="198"/>
      <c r="O80" s="199"/>
      <c r="P80" s="200"/>
      <c r="Q80" s="198"/>
      <c r="R80" s="198"/>
      <c r="S80" s="200"/>
      <c r="T80" s="198"/>
      <c r="U80" s="198"/>
      <c r="V80" s="198"/>
      <c r="W80" s="198"/>
      <c r="X80" s="198"/>
      <c r="Y80" s="198"/>
      <c r="Z80" s="198"/>
      <c r="AA80" s="198"/>
      <c r="AB80" s="198"/>
      <c r="AC80" s="200"/>
      <c r="AD80" s="198"/>
      <c r="AE80" s="198"/>
      <c r="AF80" s="198"/>
      <c r="AG80" s="198"/>
      <c r="AH80" s="200"/>
      <c r="AI80" s="198"/>
      <c r="AJ80" s="198"/>
      <c r="AK80" s="198"/>
      <c r="AL80" s="198"/>
      <c r="AM80" s="198"/>
      <c r="AN80" s="198"/>
      <c r="AO80" s="198"/>
      <c r="AP80" s="198"/>
      <c r="AQ80" s="198"/>
      <c r="AR80" s="200"/>
      <c r="AS80" s="198"/>
      <c r="AT80" s="198"/>
      <c r="AU80" s="201"/>
      <c r="AV80" s="198"/>
      <c r="AW80" s="198"/>
      <c r="AX80" s="200"/>
      <c r="AY80" s="198"/>
      <c r="AZ80" s="198"/>
      <c r="BA80" s="198"/>
      <c r="BB80" s="198"/>
      <c r="BC80" s="198"/>
      <c r="BD80" s="198"/>
      <c r="BE80" s="198"/>
      <c r="BF80" s="198"/>
      <c r="BG80" s="198"/>
      <c r="BH80" s="198"/>
      <c r="BI80" s="198"/>
      <c r="BJ80" s="198"/>
      <c r="BK80" s="198"/>
      <c r="BL80" s="200"/>
      <c r="BM80" s="198"/>
      <c r="BN80" s="198"/>
      <c r="BO80" s="198"/>
      <c r="BP80" s="198"/>
      <c r="BQ80" s="198"/>
      <c r="BR80" s="198"/>
      <c r="BS80" s="198"/>
      <c r="BT80" s="198"/>
      <c r="BU80" s="198"/>
      <c r="BV80" s="198"/>
      <c r="BW80" s="201"/>
      <c r="BX80" s="197"/>
      <c r="BY80" s="198"/>
      <c r="BZ80" s="198"/>
      <c r="CA80" s="198"/>
      <c r="CB80" s="199"/>
      <c r="CC80" s="200"/>
      <c r="CD80" s="198" t="s">
        <v>284</v>
      </c>
      <c r="CE80" s="198" t="s">
        <v>284</v>
      </c>
      <c r="CF80" s="199"/>
      <c r="CG80" s="160"/>
    </row>
    <row r="81" spans="1:85">
      <c r="A81" s="160"/>
      <c r="B81" s="217"/>
      <c r="C81" s="176" t="s">
        <v>345</v>
      </c>
      <c r="D81" s="204"/>
      <c r="E81" s="205"/>
      <c r="F81" s="205"/>
      <c r="G81" s="205"/>
      <c r="H81" s="205"/>
      <c r="I81" s="205"/>
      <c r="J81" s="205"/>
      <c r="K81" s="205"/>
      <c r="L81" s="205"/>
      <c r="M81" s="205"/>
      <c r="N81" s="205"/>
      <c r="O81" s="206"/>
      <c r="P81" s="207"/>
      <c r="Q81" s="205"/>
      <c r="R81" s="205"/>
      <c r="S81" s="207"/>
      <c r="T81" s="205"/>
      <c r="U81" s="205"/>
      <c r="V81" s="205"/>
      <c r="W81" s="205"/>
      <c r="X81" s="205"/>
      <c r="Y81" s="205"/>
      <c r="Z81" s="205"/>
      <c r="AA81" s="205"/>
      <c r="AB81" s="205"/>
      <c r="AC81" s="207"/>
      <c r="AD81" s="205"/>
      <c r="AE81" s="205"/>
      <c r="AF81" s="205"/>
      <c r="AG81" s="205"/>
      <c r="AH81" s="207"/>
      <c r="AI81" s="205"/>
      <c r="AJ81" s="205"/>
      <c r="AK81" s="205"/>
      <c r="AL81" s="205"/>
      <c r="AM81" s="205"/>
      <c r="AN81" s="205"/>
      <c r="AO81" s="205"/>
      <c r="AP81" s="205"/>
      <c r="AQ81" s="205"/>
      <c r="AR81" s="207"/>
      <c r="AS81" s="205"/>
      <c r="AT81" s="205"/>
      <c r="AU81" s="208"/>
      <c r="AV81" s="205"/>
      <c r="AW81" s="205"/>
      <c r="AX81" s="207"/>
      <c r="AY81" s="205"/>
      <c r="AZ81" s="205" t="s">
        <v>284</v>
      </c>
      <c r="BA81" s="205"/>
      <c r="BB81" s="205" t="s">
        <v>284</v>
      </c>
      <c r="BC81" s="205"/>
      <c r="BD81" s="205" t="s">
        <v>284</v>
      </c>
      <c r="BE81" s="205"/>
      <c r="BF81" s="205"/>
      <c r="BG81" s="205"/>
      <c r="BH81" s="205"/>
      <c r="BI81" s="205"/>
      <c r="BJ81" s="205"/>
      <c r="BK81" s="205"/>
      <c r="BL81" s="207"/>
      <c r="BM81" s="205"/>
      <c r="BN81" s="205"/>
      <c r="BO81" s="205"/>
      <c r="BP81" s="205"/>
      <c r="BQ81" s="205"/>
      <c r="BR81" s="205"/>
      <c r="BS81" s="205"/>
      <c r="BT81" s="205"/>
      <c r="BU81" s="205"/>
      <c r="BV81" s="205"/>
      <c r="BW81" s="208"/>
      <c r="BX81" s="204"/>
      <c r="BY81" s="205"/>
      <c r="BZ81" s="205"/>
      <c r="CA81" s="205"/>
      <c r="CB81" s="206"/>
      <c r="CC81" s="207"/>
      <c r="CD81" s="205" t="s">
        <v>284</v>
      </c>
      <c r="CE81" s="205" t="s">
        <v>284</v>
      </c>
      <c r="CF81" s="206"/>
      <c r="CG81" s="160"/>
    </row>
    <row r="82" spans="1:85">
      <c r="A82" s="160"/>
      <c r="B82" s="217"/>
      <c r="C82" s="176" t="s">
        <v>346</v>
      </c>
      <c r="D82" s="204"/>
      <c r="E82" s="205"/>
      <c r="F82" s="205"/>
      <c r="G82" s="205"/>
      <c r="H82" s="205"/>
      <c r="I82" s="205"/>
      <c r="J82" s="205"/>
      <c r="K82" s="205"/>
      <c r="L82" s="205"/>
      <c r="M82" s="205"/>
      <c r="N82" s="205"/>
      <c r="O82" s="206"/>
      <c r="P82" s="207"/>
      <c r="Q82" s="205"/>
      <c r="R82" s="205"/>
      <c r="S82" s="207"/>
      <c r="T82" s="205"/>
      <c r="U82" s="205"/>
      <c r="V82" s="205"/>
      <c r="W82" s="205"/>
      <c r="X82" s="205"/>
      <c r="Y82" s="205"/>
      <c r="Z82" s="205"/>
      <c r="AA82" s="205"/>
      <c r="AB82" s="205"/>
      <c r="AC82" s="207"/>
      <c r="AD82" s="205"/>
      <c r="AE82" s="205" t="s">
        <v>284</v>
      </c>
      <c r="AF82" s="205" t="s">
        <v>284</v>
      </c>
      <c r="AG82" s="205" t="s">
        <v>284</v>
      </c>
      <c r="AH82" s="207" t="s">
        <v>284</v>
      </c>
      <c r="AI82" s="205"/>
      <c r="AJ82" s="205" t="s">
        <v>284</v>
      </c>
      <c r="AK82" s="205" t="s">
        <v>284</v>
      </c>
      <c r="AL82" s="205" t="s">
        <v>284</v>
      </c>
      <c r="AM82" s="205" t="s">
        <v>284</v>
      </c>
      <c r="AN82" s="205"/>
      <c r="AO82" s="205" t="s">
        <v>284</v>
      </c>
      <c r="AP82" s="205" t="s">
        <v>284</v>
      </c>
      <c r="AQ82" s="205" t="s">
        <v>284</v>
      </c>
      <c r="AR82" s="207" t="s">
        <v>284</v>
      </c>
      <c r="AS82" s="205"/>
      <c r="AT82" s="205"/>
      <c r="AU82" s="208"/>
      <c r="AV82" s="205"/>
      <c r="AW82" s="205"/>
      <c r="AX82" s="207"/>
      <c r="AY82" s="205"/>
      <c r="AZ82" s="205"/>
      <c r="BA82" s="205"/>
      <c r="BB82" s="205"/>
      <c r="BC82" s="205"/>
      <c r="BD82" s="205"/>
      <c r="BE82" s="205"/>
      <c r="BF82" s="205"/>
      <c r="BG82" s="205"/>
      <c r="BH82" s="205"/>
      <c r="BI82" s="205" t="s">
        <v>284</v>
      </c>
      <c r="BJ82" s="205" t="s">
        <v>284</v>
      </c>
      <c r="BK82" s="205"/>
      <c r="BL82" s="207"/>
      <c r="BM82" s="205"/>
      <c r="BN82" s="205"/>
      <c r="BO82" s="205"/>
      <c r="BP82" s="205"/>
      <c r="BQ82" s="205"/>
      <c r="BR82" s="205" t="s">
        <v>284</v>
      </c>
      <c r="BS82" s="205"/>
      <c r="BT82" s="205" t="s">
        <v>284</v>
      </c>
      <c r="BU82" s="205"/>
      <c r="BV82" s="205" t="s">
        <v>284</v>
      </c>
      <c r="BW82" s="208"/>
      <c r="BX82" s="204"/>
      <c r="BY82" s="205"/>
      <c r="BZ82" s="205"/>
      <c r="CA82" s="205"/>
      <c r="CB82" s="206"/>
      <c r="CC82" s="207"/>
      <c r="CD82" s="205"/>
      <c r="CE82" s="205"/>
      <c r="CF82" s="206"/>
      <c r="CG82" s="160"/>
    </row>
    <row r="83" spans="1:85">
      <c r="A83" s="160"/>
      <c r="B83" s="217"/>
      <c r="C83" s="176" t="s">
        <v>347</v>
      </c>
      <c r="D83" s="204"/>
      <c r="E83" s="205"/>
      <c r="F83" s="205"/>
      <c r="G83" s="205"/>
      <c r="H83" s="205"/>
      <c r="I83" s="205"/>
      <c r="J83" s="205"/>
      <c r="K83" s="205"/>
      <c r="L83" s="205"/>
      <c r="M83" s="205"/>
      <c r="N83" s="205"/>
      <c r="O83" s="206"/>
      <c r="P83" s="207"/>
      <c r="Q83" s="205"/>
      <c r="R83" s="205"/>
      <c r="S83" s="207"/>
      <c r="T83" s="205"/>
      <c r="U83" s="205"/>
      <c r="V83" s="205"/>
      <c r="W83" s="205"/>
      <c r="X83" s="205"/>
      <c r="Y83" s="205"/>
      <c r="Z83" s="205"/>
      <c r="AA83" s="205"/>
      <c r="AB83" s="205"/>
      <c r="AC83" s="207"/>
      <c r="AD83" s="205"/>
      <c r="AE83" s="205" t="s">
        <v>284</v>
      </c>
      <c r="AF83" s="205" t="s">
        <v>284</v>
      </c>
      <c r="AG83" s="205" t="s">
        <v>284</v>
      </c>
      <c r="AH83" s="207" t="s">
        <v>284</v>
      </c>
      <c r="AI83" s="205"/>
      <c r="AJ83" s="205" t="s">
        <v>284</v>
      </c>
      <c r="AK83" s="205" t="s">
        <v>284</v>
      </c>
      <c r="AL83" s="205" t="s">
        <v>284</v>
      </c>
      <c r="AM83" s="205" t="s">
        <v>284</v>
      </c>
      <c r="AN83" s="205"/>
      <c r="AO83" s="205" t="s">
        <v>284</v>
      </c>
      <c r="AP83" s="205" t="s">
        <v>284</v>
      </c>
      <c r="AQ83" s="205" t="s">
        <v>284</v>
      </c>
      <c r="AR83" s="207" t="s">
        <v>284</v>
      </c>
      <c r="AS83" s="205"/>
      <c r="AT83" s="205" t="s">
        <v>284</v>
      </c>
      <c r="AU83" s="208"/>
      <c r="AV83" s="205" t="s">
        <v>284</v>
      </c>
      <c r="AW83" s="205"/>
      <c r="AX83" s="207" t="s">
        <v>284</v>
      </c>
      <c r="AY83" s="205"/>
      <c r="AZ83" s="205" t="s">
        <v>284</v>
      </c>
      <c r="BA83" s="205"/>
      <c r="BB83" s="205" t="s">
        <v>284</v>
      </c>
      <c r="BC83" s="205"/>
      <c r="BD83" s="205" t="s">
        <v>284</v>
      </c>
      <c r="BE83" s="205"/>
      <c r="BF83" s="205"/>
      <c r="BG83" s="205"/>
      <c r="BH83" s="205"/>
      <c r="BI83" s="205" t="s">
        <v>284</v>
      </c>
      <c r="BJ83" s="205" t="s">
        <v>284</v>
      </c>
      <c r="BK83" s="205"/>
      <c r="BL83" s="207"/>
      <c r="BM83" s="205"/>
      <c r="BN83" s="205"/>
      <c r="BO83" s="205"/>
      <c r="BP83" s="205"/>
      <c r="BQ83" s="205"/>
      <c r="BR83" s="205" t="s">
        <v>284</v>
      </c>
      <c r="BS83" s="205"/>
      <c r="BT83" s="205" t="s">
        <v>284</v>
      </c>
      <c r="BU83" s="205"/>
      <c r="BV83" s="205" t="s">
        <v>284</v>
      </c>
      <c r="BW83" s="208"/>
      <c r="BX83" s="204"/>
      <c r="BY83" s="205"/>
      <c r="BZ83" s="205"/>
      <c r="CA83" s="205"/>
      <c r="CB83" s="206"/>
      <c r="CC83" s="207"/>
      <c r="CD83" s="205"/>
      <c r="CE83" s="205"/>
      <c r="CF83" s="206"/>
      <c r="CG83" s="160"/>
    </row>
    <row r="84" spans="1:85">
      <c r="A84" s="160"/>
      <c r="B84" s="217"/>
      <c r="C84" s="176" t="s">
        <v>348</v>
      </c>
      <c r="D84" s="204"/>
      <c r="E84" s="205"/>
      <c r="F84" s="205"/>
      <c r="G84" s="205"/>
      <c r="H84" s="205"/>
      <c r="I84" s="205"/>
      <c r="J84" s="205"/>
      <c r="K84" s="205"/>
      <c r="L84" s="205"/>
      <c r="M84" s="205"/>
      <c r="N84" s="205"/>
      <c r="O84" s="206"/>
      <c r="P84" s="207"/>
      <c r="Q84" s="205"/>
      <c r="R84" s="205"/>
      <c r="S84" s="207"/>
      <c r="T84" s="205"/>
      <c r="U84" s="205"/>
      <c r="V84" s="205"/>
      <c r="W84" s="205"/>
      <c r="X84" s="205"/>
      <c r="Y84" s="205"/>
      <c r="Z84" s="205"/>
      <c r="AA84" s="205"/>
      <c r="AB84" s="205"/>
      <c r="AC84" s="207"/>
      <c r="AD84" s="205"/>
      <c r="AE84" s="205" t="s">
        <v>284</v>
      </c>
      <c r="AF84" s="205" t="s">
        <v>284</v>
      </c>
      <c r="AG84" s="205" t="s">
        <v>284</v>
      </c>
      <c r="AH84" s="207" t="s">
        <v>284</v>
      </c>
      <c r="AI84" s="205"/>
      <c r="AJ84" s="205" t="s">
        <v>284</v>
      </c>
      <c r="AK84" s="205" t="s">
        <v>284</v>
      </c>
      <c r="AL84" s="205" t="s">
        <v>284</v>
      </c>
      <c r="AM84" s="205" t="s">
        <v>284</v>
      </c>
      <c r="AN84" s="205"/>
      <c r="AO84" s="205" t="s">
        <v>284</v>
      </c>
      <c r="AP84" s="205" t="s">
        <v>284</v>
      </c>
      <c r="AQ84" s="205" t="s">
        <v>284</v>
      </c>
      <c r="AR84" s="207" t="s">
        <v>284</v>
      </c>
      <c r="AS84" s="205"/>
      <c r="AT84" s="205"/>
      <c r="AU84" s="208"/>
      <c r="AV84" s="205"/>
      <c r="AW84" s="205"/>
      <c r="AX84" s="207"/>
      <c r="AY84" s="205"/>
      <c r="AZ84" s="205"/>
      <c r="BA84" s="205"/>
      <c r="BB84" s="205"/>
      <c r="BC84" s="205"/>
      <c r="BD84" s="205"/>
      <c r="BE84" s="205"/>
      <c r="BF84" s="205"/>
      <c r="BG84" s="205"/>
      <c r="BH84" s="205"/>
      <c r="BI84" s="205" t="s">
        <v>284</v>
      </c>
      <c r="BJ84" s="205" t="s">
        <v>284</v>
      </c>
      <c r="BK84" s="205"/>
      <c r="BL84" s="207"/>
      <c r="BM84" s="205"/>
      <c r="BN84" s="205"/>
      <c r="BO84" s="205"/>
      <c r="BP84" s="205"/>
      <c r="BQ84" s="205"/>
      <c r="BR84" s="205" t="s">
        <v>284</v>
      </c>
      <c r="BS84" s="205"/>
      <c r="BT84" s="205" t="s">
        <v>284</v>
      </c>
      <c r="BU84" s="205"/>
      <c r="BV84" s="205" t="s">
        <v>284</v>
      </c>
      <c r="BW84" s="208"/>
      <c r="BX84" s="204"/>
      <c r="BY84" s="205"/>
      <c r="BZ84" s="205"/>
      <c r="CA84" s="205"/>
      <c r="CB84" s="206"/>
      <c r="CC84" s="207"/>
      <c r="CD84" s="205" t="s">
        <v>284</v>
      </c>
      <c r="CE84" s="205" t="s">
        <v>284</v>
      </c>
      <c r="CF84" s="206"/>
      <c r="CG84" s="160"/>
    </row>
    <row r="85" spans="1:85">
      <c r="A85" s="160"/>
      <c r="B85" s="217"/>
      <c r="C85" s="176" t="s">
        <v>349</v>
      </c>
      <c r="D85" s="204"/>
      <c r="E85" s="205"/>
      <c r="F85" s="205"/>
      <c r="G85" s="205"/>
      <c r="H85" s="205"/>
      <c r="I85" s="205"/>
      <c r="J85" s="205"/>
      <c r="K85" s="205"/>
      <c r="L85" s="205"/>
      <c r="M85" s="205"/>
      <c r="N85" s="205"/>
      <c r="O85" s="206"/>
      <c r="P85" s="207"/>
      <c r="Q85" s="205"/>
      <c r="R85" s="205"/>
      <c r="S85" s="207"/>
      <c r="T85" s="205"/>
      <c r="U85" s="205"/>
      <c r="V85" s="205"/>
      <c r="W85" s="205"/>
      <c r="X85" s="205"/>
      <c r="Y85" s="205"/>
      <c r="Z85" s="205"/>
      <c r="AA85" s="205"/>
      <c r="AB85" s="205"/>
      <c r="AC85" s="207"/>
      <c r="AD85" s="205"/>
      <c r="AE85" s="205" t="s">
        <v>284</v>
      </c>
      <c r="AF85" s="205" t="s">
        <v>284</v>
      </c>
      <c r="AG85" s="205" t="s">
        <v>284</v>
      </c>
      <c r="AH85" s="207" t="s">
        <v>284</v>
      </c>
      <c r="AI85" s="205"/>
      <c r="AJ85" s="205" t="s">
        <v>284</v>
      </c>
      <c r="AK85" s="205" t="s">
        <v>284</v>
      </c>
      <c r="AL85" s="205" t="s">
        <v>284</v>
      </c>
      <c r="AM85" s="205" t="s">
        <v>284</v>
      </c>
      <c r="AN85" s="205"/>
      <c r="AO85" s="205" t="s">
        <v>284</v>
      </c>
      <c r="AP85" s="205" t="s">
        <v>284</v>
      </c>
      <c r="AQ85" s="205" t="s">
        <v>284</v>
      </c>
      <c r="AR85" s="207" t="s">
        <v>284</v>
      </c>
      <c r="AS85" s="205"/>
      <c r="AT85" s="205" t="s">
        <v>284</v>
      </c>
      <c r="AU85" s="208"/>
      <c r="AV85" s="205" t="s">
        <v>284</v>
      </c>
      <c r="AW85" s="205"/>
      <c r="AX85" s="207" t="s">
        <v>284</v>
      </c>
      <c r="AY85" s="205"/>
      <c r="AZ85" s="205"/>
      <c r="BA85" s="205"/>
      <c r="BB85" s="205"/>
      <c r="BC85" s="205"/>
      <c r="BD85" s="205"/>
      <c r="BE85" s="205"/>
      <c r="BF85" s="205"/>
      <c r="BG85" s="205"/>
      <c r="BH85" s="205"/>
      <c r="BI85" s="205" t="s">
        <v>284</v>
      </c>
      <c r="BJ85" s="205" t="s">
        <v>284</v>
      </c>
      <c r="BK85" s="205"/>
      <c r="BL85" s="207"/>
      <c r="BM85" s="205"/>
      <c r="BN85" s="205"/>
      <c r="BO85" s="205"/>
      <c r="BP85" s="205"/>
      <c r="BQ85" s="205"/>
      <c r="BR85" s="205" t="s">
        <v>284</v>
      </c>
      <c r="BS85" s="205"/>
      <c r="BT85" s="205" t="s">
        <v>284</v>
      </c>
      <c r="BU85" s="205"/>
      <c r="BV85" s="205" t="s">
        <v>284</v>
      </c>
      <c r="BW85" s="208"/>
      <c r="BX85" s="204"/>
      <c r="BY85" s="205"/>
      <c r="BZ85" s="205"/>
      <c r="CA85" s="205"/>
      <c r="CB85" s="206"/>
      <c r="CC85" s="207"/>
      <c r="CD85" s="205" t="s">
        <v>284</v>
      </c>
      <c r="CE85" s="205" t="s">
        <v>284</v>
      </c>
      <c r="CF85" s="206"/>
      <c r="CG85" s="160"/>
    </row>
    <row r="86" spans="1:85">
      <c r="A86" s="160"/>
      <c r="B86" s="217"/>
      <c r="C86" s="176" t="s">
        <v>350</v>
      </c>
      <c r="D86" s="204"/>
      <c r="E86" s="205"/>
      <c r="F86" s="205"/>
      <c r="G86" s="205"/>
      <c r="H86" s="205"/>
      <c r="I86" s="205"/>
      <c r="J86" s="205"/>
      <c r="K86" s="205"/>
      <c r="L86" s="205"/>
      <c r="M86" s="205"/>
      <c r="N86" s="205"/>
      <c r="O86" s="206"/>
      <c r="P86" s="207" t="s">
        <v>284</v>
      </c>
      <c r="Q86" s="205" t="s">
        <v>284</v>
      </c>
      <c r="R86" s="205" t="s">
        <v>284</v>
      </c>
      <c r="S86" s="207" t="s">
        <v>284</v>
      </c>
      <c r="T86" s="205"/>
      <c r="U86" s="205" t="s">
        <v>284</v>
      </c>
      <c r="V86" s="205" t="s">
        <v>284</v>
      </c>
      <c r="W86" s="205" t="s">
        <v>284</v>
      </c>
      <c r="X86" s="205" t="s">
        <v>284</v>
      </c>
      <c r="Y86" s="205"/>
      <c r="Z86" s="205" t="s">
        <v>284</v>
      </c>
      <c r="AA86" s="205" t="s">
        <v>284</v>
      </c>
      <c r="AB86" s="205" t="s">
        <v>284</v>
      </c>
      <c r="AC86" s="207" t="s">
        <v>284</v>
      </c>
      <c r="AD86" s="205"/>
      <c r="AE86" s="205"/>
      <c r="AF86" s="205"/>
      <c r="AG86" s="205"/>
      <c r="AH86" s="207"/>
      <c r="AI86" s="205"/>
      <c r="AJ86" s="205"/>
      <c r="AK86" s="205"/>
      <c r="AL86" s="205"/>
      <c r="AM86" s="205"/>
      <c r="AN86" s="205"/>
      <c r="AO86" s="205"/>
      <c r="AP86" s="205"/>
      <c r="AQ86" s="205"/>
      <c r="AR86" s="207"/>
      <c r="AS86" s="205"/>
      <c r="AT86" s="205"/>
      <c r="AU86" s="208"/>
      <c r="AV86" s="205"/>
      <c r="AW86" s="205"/>
      <c r="AX86" s="207"/>
      <c r="AY86" s="205"/>
      <c r="AZ86" s="205"/>
      <c r="BA86" s="205"/>
      <c r="BB86" s="205"/>
      <c r="BC86" s="205"/>
      <c r="BD86" s="205"/>
      <c r="BE86" s="205"/>
      <c r="BF86" s="205" t="s">
        <v>284</v>
      </c>
      <c r="BG86" s="205" t="s">
        <v>284</v>
      </c>
      <c r="BH86" s="205"/>
      <c r="BI86" s="205"/>
      <c r="BJ86" s="205"/>
      <c r="BK86" s="205"/>
      <c r="BL86" s="207" t="s">
        <v>284</v>
      </c>
      <c r="BM86" s="205"/>
      <c r="BN86" s="205" t="s">
        <v>284</v>
      </c>
      <c r="BO86" s="205"/>
      <c r="BP86" s="205" t="s">
        <v>284</v>
      </c>
      <c r="BQ86" s="205"/>
      <c r="BR86" s="205"/>
      <c r="BS86" s="205"/>
      <c r="BT86" s="205"/>
      <c r="BU86" s="205"/>
      <c r="BV86" s="205"/>
      <c r="BW86" s="208"/>
      <c r="BX86" s="204"/>
      <c r="BY86" s="205"/>
      <c r="BZ86" s="205"/>
      <c r="CA86" s="205"/>
      <c r="CB86" s="206"/>
      <c r="CC86" s="207"/>
      <c r="CD86" s="205"/>
      <c r="CE86" s="205"/>
      <c r="CF86" s="206"/>
      <c r="CG86" s="160"/>
    </row>
    <row r="87" spans="1:85">
      <c r="A87" s="160"/>
      <c r="B87" s="217"/>
      <c r="C87" s="176" t="s">
        <v>351</v>
      </c>
      <c r="D87" s="204"/>
      <c r="E87" s="205"/>
      <c r="F87" s="205"/>
      <c r="G87" s="205"/>
      <c r="H87" s="205"/>
      <c r="I87" s="205"/>
      <c r="J87" s="205"/>
      <c r="K87" s="205"/>
      <c r="L87" s="205"/>
      <c r="M87" s="205"/>
      <c r="N87" s="205"/>
      <c r="O87" s="206"/>
      <c r="P87" s="207" t="s">
        <v>284</v>
      </c>
      <c r="Q87" s="205" t="s">
        <v>284</v>
      </c>
      <c r="R87" s="205" t="s">
        <v>284</v>
      </c>
      <c r="S87" s="207" t="s">
        <v>284</v>
      </c>
      <c r="T87" s="205"/>
      <c r="U87" s="205" t="s">
        <v>284</v>
      </c>
      <c r="V87" s="205" t="s">
        <v>284</v>
      </c>
      <c r="W87" s="205" t="s">
        <v>284</v>
      </c>
      <c r="X87" s="205" t="s">
        <v>284</v>
      </c>
      <c r="Y87" s="205"/>
      <c r="Z87" s="205" t="s">
        <v>284</v>
      </c>
      <c r="AA87" s="205" t="s">
        <v>284</v>
      </c>
      <c r="AB87" s="205" t="s">
        <v>284</v>
      </c>
      <c r="AC87" s="207" t="s">
        <v>284</v>
      </c>
      <c r="AD87" s="205"/>
      <c r="AE87" s="205"/>
      <c r="AF87" s="205"/>
      <c r="AG87" s="205"/>
      <c r="AH87" s="207"/>
      <c r="AI87" s="205"/>
      <c r="AJ87" s="205"/>
      <c r="AK87" s="205"/>
      <c r="AL87" s="205"/>
      <c r="AM87" s="205"/>
      <c r="AN87" s="205"/>
      <c r="AO87" s="205"/>
      <c r="AP87" s="205"/>
      <c r="AQ87" s="205"/>
      <c r="AR87" s="207"/>
      <c r="AS87" s="205"/>
      <c r="AT87" s="205" t="s">
        <v>284</v>
      </c>
      <c r="AU87" s="208"/>
      <c r="AV87" s="205" t="s">
        <v>284</v>
      </c>
      <c r="AW87" s="205"/>
      <c r="AX87" s="207" t="s">
        <v>284</v>
      </c>
      <c r="AY87" s="205"/>
      <c r="AZ87" s="205"/>
      <c r="BA87" s="205"/>
      <c r="BB87" s="205"/>
      <c r="BC87" s="205"/>
      <c r="BD87" s="205"/>
      <c r="BE87" s="205"/>
      <c r="BF87" s="205" t="s">
        <v>284</v>
      </c>
      <c r="BG87" s="205" t="s">
        <v>284</v>
      </c>
      <c r="BH87" s="205"/>
      <c r="BI87" s="205"/>
      <c r="BJ87" s="205"/>
      <c r="BK87" s="205"/>
      <c r="BL87" s="207" t="s">
        <v>284</v>
      </c>
      <c r="BM87" s="205"/>
      <c r="BN87" s="205" t="s">
        <v>284</v>
      </c>
      <c r="BO87" s="205"/>
      <c r="BP87" s="205" t="s">
        <v>284</v>
      </c>
      <c r="BQ87" s="205"/>
      <c r="BR87" s="205"/>
      <c r="BS87" s="205"/>
      <c r="BT87" s="205"/>
      <c r="BU87" s="205"/>
      <c r="BV87" s="205"/>
      <c r="BW87" s="208"/>
      <c r="BX87" s="204"/>
      <c r="BY87" s="205"/>
      <c r="BZ87" s="205"/>
      <c r="CA87" s="205"/>
      <c r="CB87" s="206"/>
      <c r="CC87" s="207"/>
      <c r="CD87" s="205"/>
      <c r="CE87" s="205"/>
      <c r="CF87" s="206"/>
      <c r="CG87" s="160"/>
    </row>
    <row r="88" spans="1:85">
      <c r="A88" s="160"/>
      <c r="B88" s="217"/>
      <c r="C88" s="176" t="s">
        <v>352</v>
      </c>
      <c r="D88" s="204"/>
      <c r="E88" s="205"/>
      <c r="F88" s="205"/>
      <c r="G88" s="205"/>
      <c r="H88" s="205"/>
      <c r="I88" s="205"/>
      <c r="J88" s="205"/>
      <c r="K88" s="205"/>
      <c r="L88" s="205"/>
      <c r="M88" s="205"/>
      <c r="N88" s="205"/>
      <c r="O88" s="206"/>
      <c r="P88" s="207" t="s">
        <v>284</v>
      </c>
      <c r="Q88" s="205" t="s">
        <v>284</v>
      </c>
      <c r="R88" s="205" t="s">
        <v>284</v>
      </c>
      <c r="S88" s="207" t="s">
        <v>284</v>
      </c>
      <c r="T88" s="205"/>
      <c r="U88" s="205" t="s">
        <v>284</v>
      </c>
      <c r="V88" s="205" t="s">
        <v>284</v>
      </c>
      <c r="W88" s="205" t="s">
        <v>284</v>
      </c>
      <c r="X88" s="205" t="s">
        <v>284</v>
      </c>
      <c r="Y88" s="205"/>
      <c r="Z88" s="205" t="s">
        <v>284</v>
      </c>
      <c r="AA88" s="205" t="s">
        <v>284</v>
      </c>
      <c r="AB88" s="205" t="s">
        <v>284</v>
      </c>
      <c r="AC88" s="207" t="s">
        <v>284</v>
      </c>
      <c r="AD88" s="205"/>
      <c r="AE88" s="205"/>
      <c r="AF88" s="205"/>
      <c r="AG88" s="205"/>
      <c r="AH88" s="207"/>
      <c r="AI88" s="205"/>
      <c r="AJ88" s="205"/>
      <c r="AK88" s="205"/>
      <c r="AL88" s="205"/>
      <c r="AM88" s="205"/>
      <c r="AN88" s="205"/>
      <c r="AO88" s="205"/>
      <c r="AP88" s="205"/>
      <c r="AQ88" s="205"/>
      <c r="AR88" s="207"/>
      <c r="AS88" s="205"/>
      <c r="AT88" s="205"/>
      <c r="AU88" s="208"/>
      <c r="AV88" s="205"/>
      <c r="AW88" s="205"/>
      <c r="AX88" s="207"/>
      <c r="AY88" s="205"/>
      <c r="AZ88" s="205"/>
      <c r="BA88" s="205"/>
      <c r="BB88" s="205"/>
      <c r="BC88" s="205"/>
      <c r="BD88" s="205"/>
      <c r="BE88" s="205"/>
      <c r="BF88" s="205" t="s">
        <v>284</v>
      </c>
      <c r="BG88" s="205" t="s">
        <v>284</v>
      </c>
      <c r="BH88" s="205"/>
      <c r="BI88" s="205"/>
      <c r="BJ88" s="205"/>
      <c r="BK88" s="205"/>
      <c r="BL88" s="207" t="s">
        <v>284</v>
      </c>
      <c r="BM88" s="205"/>
      <c r="BN88" s="205" t="s">
        <v>284</v>
      </c>
      <c r="BO88" s="205"/>
      <c r="BP88" s="205" t="s">
        <v>284</v>
      </c>
      <c r="BQ88" s="205"/>
      <c r="BR88" s="205"/>
      <c r="BS88" s="205"/>
      <c r="BT88" s="205"/>
      <c r="BU88" s="205"/>
      <c r="BV88" s="205"/>
      <c r="BW88" s="208"/>
      <c r="BX88" s="204"/>
      <c r="BY88" s="205"/>
      <c r="BZ88" s="205"/>
      <c r="CA88" s="205"/>
      <c r="CB88" s="206"/>
      <c r="CC88" s="207"/>
      <c r="CD88" s="205" t="s">
        <v>284</v>
      </c>
      <c r="CE88" s="205" t="s">
        <v>284</v>
      </c>
      <c r="CF88" s="206"/>
      <c r="CG88" s="160"/>
    </row>
    <row r="89" spans="1:85">
      <c r="A89" s="160"/>
      <c r="B89" s="217"/>
      <c r="C89" s="176" t="s">
        <v>353</v>
      </c>
      <c r="D89" s="204"/>
      <c r="E89" s="205"/>
      <c r="F89" s="205"/>
      <c r="G89" s="205"/>
      <c r="H89" s="205"/>
      <c r="I89" s="205"/>
      <c r="J89" s="205"/>
      <c r="K89" s="205"/>
      <c r="L89" s="205"/>
      <c r="M89" s="205"/>
      <c r="N89" s="205"/>
      <c r="O89" s="206"/>
      <c r="P89" s="207" t="s">
        <v>284</v>
      </c>
      <c r="Q89" s="205" t="s">
        <v>284</v>
      </c>
      <c r="R89" s="205" t="s">
        <v>284</v>
      </c>
      <c r="S89" s="207" t="s">
        <v>284</v>
      </c>
      <c r="T89" s="205"/>
      <c r="U89" s="205" t="s">
        <v>284</v>
      </c>
      <c r="V89" s="205" t="s">
        <v>284</v>
      </c>
      <c r="W89" s="205" t="s">
        <v>284</v>
      </c>
      <c r="X89" s="205" t="s">
        <v>284</v>
      </c>
      <c r="Y89" s="205"/>
      <c r="Z89" s="205" t="s">
        <v>284</v>
      </c>
      <c r="AA89" s="205" t="s">
        <v>284</v>
      </c>
      <c r="AB89" s="205" t="s">
        <v>284</v>
      </c>
      <c r="AC89" s="207" t="s">
        <v>284</v>
      </c>
      <c r="AD89" s="205"/>
      <c r="AE89" s="205"/>
      <c r="AF89" s="205"/>
      <c r="AG89" s="205"/>
      <c r="AH89" s="207"/>
      <c r="AI89" s="205"/>
      <c r="AJ89" s="205"/>
      <c r="AK89" s="205"/>
      <c r="AL89" s="205"/>
      <c r="AM89" s="205"/>
      <c r="AN89" s="205"/>
      <c r="AO89" s="205"/>
      <c r="AP89" s="205"/>
      <c r="AQ89" s="205"/>
      <c r="AR89" s="207"/>
      <c r="AS89" s="205"/>
      <c r="AT89" s="205" t="s">
        <v>284</v>
      </c>
      <c r="AU89" s="208"/>
      <c r="AV89" s="205" t="s">
        <v>284</v>
      </c>
      <c r="AW89" s="205"/>
      <c r="AX89" s="207" t="s">
        <v>284</v>
      </c>
      <c r="AY89" s="205"/>
      <c r="AZ89" s="205"/>
      <c r="BA89" s="205"/>
      <c r="BB89" s="205"/>
      <c r="BC89" s="205"/>
      <c r="BD89" s="205"/>
      <c r="BE89" s="205"/>
      <c r="BF89" s="205" t="s">
        <v>284</v>
      </c>
      <c r="BG89" s="205" t="s">
        <v>284</v>
      </c>
      <c r="BH89" s="205"/>
      <c r="BI89" s="205"/>
      <c r="BJ89" s="205"/>
      <c r="BK89" s="205"/>
      <c r="BL89" s="207" t="s">
        <v>284</v>
      </c>
      <c r="BM89" s="205"/>
      <c r="BN89" s="205" t="s">
        <v>284</v>
      </c>
      <c r="BO89" s="205"/>
      <c r="BP89" s="205" t="s">
        <v>284</v>
      </c>
      <c r="BQ89" s="205"/>
      <c r="BR89" s="205"/>
      <c r="BS89" s="205"/>
      <c r="BT89" s="205"/>
      <c r="BU89" s="205"/>
      <c r="BV89" s="205"/>
      <c r="BW89" s="208"/>
      <c r="BX89" s="204"/>
      <c r="BY89" s="205"/>
      <c r="BZ89" s="205"/>
      <c r="CA89" s="205"/>
      <c r="CB89" s="206"/>
      <c r="CC89" s="207"/>
      <c r="CD89" s="205" t="s">
        <v>284</v>
      </c>
      <c r="CE89" s="205" t="s">
        <v>284</v>
      </c>
      <c r="CF89" s="206"/>
      <c r="CG89" s="160"/>
    </row>
    <row r="90" spans="1:85">
      <c r="A90" s="160"/>
      <c r="B90" s="217"/>
      <c r="C90" s="176" t="s">
        <v>354</v>
      </c>
      <c r="D90" s="204"/>
      <c r="E90" s="205"/>
      <c r="F90" s="205"/>
      <c r="G90" s="205"/>
      <c r="H90" s="205"/>
      <c r="I90" s="205"/>
      <c r="J90" s="205"/>
      <c r="K90" s="205"/>
      <c r="L90" s="205"/>
      <c r="M90" s="205"/>
      <c r="N90" s="205"/>
      <c r="O90" s="206"/>
      <c r="P90" s="207" t="s">
        <v>284</v>
      </c>
      <c r="Q90" s="205" t="s">
        <v>284</v>
      </c>
      <c r="R90" s="205" t="s">
        <v>284</v>
      </c>
      <c r="S90" s="207" t="s">
        <v>284</v>
      </c>
      <c r="T90" s="205"/>
      <c r="U90" s="205" t="s">
        <v>284</v>
      </c>
      <c r="V90" s="205" t="s">
        <v>284</v>
      </c>
      <c r="W90" s="205" t="s">
        <v>284</v>
      </c>
      <c r="X90" s="205" t="s">
        <v>284</v>
      </c>
      <c r="Y90" s="205"/>
      <c r="Z90" s="205" t="s">
        <v>284</v>
      </c>
      <c r="AA90" s="205" t="s">
        <v>284</v>
      </c>
      <c r="AB90" s="205" t="s">
        <v>284</v>
      </c>
      <c r="AC90" s="207" t="s">
        <v>284</v>
      </c>
      <c r="AD90" s="205"/>
      <c r="AE90" s="205" t="s">
        <v>284</v>
      </c>
      <c r="AF90" s="205" t="s">
        <v>284</v>
      </c>
      <c r="AG90" s="205" t="s">
        <v>284</v>
      </c>
      <c r="AH90" s="207" t="s">
        <v>284</v>
      </c>
      <c r="AI90" s="205"/>
      <c r="AJ90" s="205" t="s">
        <v>284</v>
      </c>
      <c r="AK90" s="205" t="s">
        <v>284</v>
      </c>
      <c r="AL90" s="205" t="s">
        <v>284</v>
      </c>
      <c r="AM90" s="205" t="s">
        <v>284</v>
      </c>
      <c r="AN90" s="205"/>
      <c r="AO90" s="205" t="s">
        <v>284</v>
      </c>
      <c r="AP90" s="205" t="s">
        <v>284</v>
      </c>
      <c r="AQ90" s="205" t="s">
        <v>284</v>
      </c>
      <c r="AR90" s="207" t="s">
        <v>284</v>
      </c>
      <c r="AS90" s="205"/>
      <c r="AT90" s="205"/>
      <c r="AU90" s="208"/>
      <c r="AV90" s="205"/>
      <c r="AW90" s="205"/>
      <c r="AX90" s="207"/>
      <c r="AY90" s="205"/>
      <c r="AZ90" s="205"/>
      <c r="BA90" s="205"/>
      <c r="BB90" s="205"/>
      <c r="BC90" s="205"/>
      <c r="BD90" s="205"/>
      <c r="BE90" s="205"/>
      <c r="BF90" s="205" t="s">
        <v>284</v>
      </c>
      <c r="BG90" s="205" t="s">
        <v>284</v>
      </c>
      <c r="BH90" s="205"/>
      <c r="BI90" s="205" t="s">
        <v>284</v>
      </c>
      <c r="BJ90" s="205" t="s">
        <v>284</v>
      </c>
      <c r="BK90" s="205"/>
      <c r="BL90" s="207" t="s">
        <v>284</v>
      </c>
      <c r="BM90" s="205"/>
      <c r="BN90" s="205" t="s">
        <v>284</v>
      </c>
      <c r="BO90" s="205"/>
      <c r="BP90" s="205" t="s">
        <v>284</v>
      </c>
      <c r="BQ90" s="205"/>
      <c r="BR90" s="205" t="s">
        <v>284</v>
      </c>
      <c r="BS90" s="205"/>
      <c r="BT90" s="205" t="s">
        <v>284</v>
      </c>
      <c r="BU90" s="205"/>
      <c r="BV90" s="205" t="s">
        <v>284</v>
      </c>
      <c r="BW90" s="208"/>
      <c r="BX90" s="204"/>
      <c r="BY90" s="205"/>
      <c r="BZ90" s="205"/>
      <c r="CA90" s="205"/>
      <c r="CB90" s="206"/>
      <c r="CC90" s="207"/>
      <c r="CD90" s="205" t="s">
        <v>284</v>
      </c>
      <c r="CE90" s="205"/>
      <c r="CF90" s="206"/>
      <c r="CG90" s="160"/>
    </row>
    <row r="91" spans="1:85">
      <c r="A91" s="160"/>
      <c r="B91" s="217"/>
      <c r="C91" s="176" t="s">
        <v>355</v>
      </c>
      <c r="D91" s="204"/>
      <c r="E91" s="205"/>
      <c r="F91" s="205"/>
      <c r="G91" s="205"/>
      <c r="H91" s="205"/>
      <c r="I91" s="205"/>
      <c r="J91" s="205"/>
      <c r="K91" s="205"/>
      <c r="L91" s="205"/>
      <c r="M91" s="205"/>
      <c r="N91" s="205"/>
      <c r="O91" s="206"/>
      <c r="P91" s="207" t="s">
        <v>284</v>
      </c>
      <c r="Q91" s="205" t="s">
        <v>284</v>
      </c>
      <c r="R91" s="205" t="s">
        <v>284</v>
      </c>
      <c r="S91" s="207" t="s">
        <v>284</v>
      </c>
      <c r="T91" s="205"/>
      <c r="U91" s="205" t="s">
        <v>284</v>
      </c>
      <c r="V91" s="205" t="s">
        <v>284</v>
      </c>
      <c r="W91" s="205" t="s">
        <v>284</v>
      </c>
      <c r="X91" s="205" t="s">
        <v>284</v>
      </c>
      <c r="Y91" s="205"/>
      <c r="Z91" s="205" t="s">
        <v>284</v>
      </c>
      <c r="AA91" s="205" t="s">
        <v>284</v>
      </c>
      <c r="AB91" s="205" t="s">
        <v>284</v>
      </c>
      <c r="AC91" s="207" t="s">
        <v>284</v>
      </c>
      <c r="AD91" s="205"/>
      <c r="AE91" s="205" t="s">
        <v>284</v>
      </c>
      <c r="AF91" s="205" t="s">
        <v>284</v>
      </c>
      <c r="AG91" s="205" t="s">
        <v>284</v>
      </c>
      <c r="AH91" s="207" t="s">
        <v>284</v>
      </c>
      <c r="AI91" s="205"/>
      <c r="AJ91" s="205" t="s">
        <v>284</v>
      </c>
      <c r="AK91" s="205" t="s">
        <v>284</v>
      </c>
      <c r="AL91" s="205" t="s">
        <v>284</v>
      </c>
      <c r="AM91" s="205" t="s">
        <v>284</v>
      </c>
      <c r="AN91" s="205"/>
      <c r="AO91" s="205" t="s">
        <v>284</v>
      </c>
      <c r="AP91" s="205" t="s">
        <v>284</v>
      </c>
      <c r="AQ91" s="205" t="s">
        <v>284</v>
      </c>
      <c r="AR91" s="207" t="s">
        <v>284</v>
      </c>
      <c r="AS91" s="205"/>
      <c r="AT91" s="205" t="s">
        <v>284</v>
      </c>
      <c r="AU91" s="208"/>
      <c r="AV91" s="205" t="s">
        <v>284</v>
      </c>
      <c r="AW91" s="205"/>
      <c r="AX91" s="207" t="s">
        <v>284</v>
      </c>
      <c r="AY91" s="205"/>
      <c r="AZ91" s="205" t="s">
        <v>284</v>
      </c>
      <c r="BA91" s="205"/>
      <c r="BB91" s="205" t="s">
        <v>284</v>
      </c>
      <c r="BC91" s="205"/>
      <c r="BD91" s="205" t="s">
        <v>284</v>
      </c>
      <c r="BE91" s="205"/>
      <c r="BF91" s="205" t="s">
        <v>284</v>
      </c>
      <c r="BG91" s="205" t="s">
        <v>284</v>
      </c>
      <c r="BH91" s="205"/>
      <c r="BI91" s="205" t="s">
        <v>284</v>
      </c>
      <c r="BJ91" s="205" t="s">
        <v>284</v>
      </c>
      <c r="BK91" s="205"/>
      <c r="BL91" s="207" t="s">
        <v>284</v>
      </c>
      <c r="BM91" s="205"/>
      <c r="BN91" s="205" t="s">
        <v>284</v>
      </c>
      <c r="BO91" s="205"/>
      <c r="BP91" s="205" t="s">
        <v>284</v>
      </c>
      <c r="BQ91" s="205"/>
      <c r="BR91" s="205" t="s">
        <v>284</v>
      </c>
      <c r="BS91" s="205"/>
      <c r="BT91" s="205" t="s">
        <v>284</v>
      </c>
      <c r="BU91" s="205"/>
      <c r="BV91" s="205" t="s">
        <v>284</v>
      </c>
      <c r="BW91" s="208"/>
      <c r="BX91" s="204"/>
      <c r="BY91" s="205"/>
      <c r="BZ91" s="205"/>
      <c r="CA91" s="205"/>
      <c r="CB91" s="206"/>
      <c r="CC91" s="207"/>
      <c r="CD91" s="205" t="s">
        <v>284</v>
      </c>
      <c r="CE91" s="205"/>
      <c r="CF91" s="206"/>
      <c r="CG91" s="160"/>
    </row>
    <row r="92" spans="1:85">
      <c r="A92" s="160"/>
      <c r="B92" s="217"/>
      <c r="C92" s="176" t="s">
        <v>356</v>
      </c>
      <c r="D92" s="204"/>
      <c r="E92" s="205"/>
      <c r="F92" s="205"/>
      <c r="G92" s="205"/>
      <c r="H92" s="205"/>
      <c r="I92" s="205"/>
      <c r="J92" s="205"/>
      <c r="K92" s="205"/>
      <c r="L92" s="205"/>
      <c r="M92" s="205"/>
      <c r="N92" s="205"/>
      <c r="O92" s="206"/>
      <c r="P92" s="207" t="s">
        <v>284</v>
      </c>
      <c r="Q92" s="205" t="s">
        <v>284</v>
      </c>
      <c r="R92" s="205" t="s">
        <v>284</v>
      </c>
      <c r="S92" s="207" t="s">
        <v>284</v>
      </c>
      <c r="T92" s="205"/>
      <c r="U92" s="205" t="s">
        <v>284</v>
      </c>
      <c r="V92" s="205" t="s">
        <v>284</v>
      </c>
      <c r="W92" s="205" t="s">
        <v>284</v>
      </c>
      <c r="X92" s="205" t="s">
        <v>284</v>
      </c>
      <c r="Y92" s="205"/>
      <c r="Z92" s="205" t="s">
        <v>284</v>
      </c>
      <c r="AA92" s="205" t="s">
        <v>284</v>
      </c>
      <c r="AB92" s="205" t="s">
        <v>284</v>
      </c>
      <c r="AC92" s="207" t="s">
        <v>284</v>
      </c>
      <c r="AD92" s="205"/>
      <c r="AE92" s="205" t="s">
        <v>284</v>
      </c>
      <c r="AF92" s="205" t="s">
        <v>284</v>
      </c>
      <c r="AG92" s="205" t="s">
        <v>284</v>
      </c>
      <c r="AH92" s="207" t="s">
        <v>284</v>
      </c>
      <c r="AI92" s="205"/>
      <c r="AJ92" s="205" t="s">
        <v>284</v>
      </c>
      <c r="AK92" s="205" t="s">
        <v>284</v>
      </c>
      <c r="AL92" s="205" t="s">
        <v>284</v>
      </c>
      <c r="AM92" s="205" t="s">
        <v>284</v>
      </c>
      <c r="AN92" s="205"/>
      <c r="AO92" s="205" t="s">
        <v>284</v>
      </c>
      <c r="AP92" s="205" t="s">
        <v>284</v>
      </c>
      <c r="AQ92" s="205" t="s">
        <v>284</v>
      </c>
      <c r="AR92" s="207" t="s">
        <v>284</v>
      </c>
      <c r="AS92" s="205"/>
      <c r="AT92" s="205"/>
      <c r="AU92" s="208"/>
      <c r="AV92" s="205"/>
      <c r="AW92" s="205"/>
      <c r="AX92" s="207"/>
      <c r="AY92" s="205"/>
      <c r="AZ92" s="205"/>
      <c r="BA92" s="205"/>
      <c r="BB92" s="205"/>
      <c r="BC92" s="205"/>
      <c r="BD92" s="205"/>
      <c r="BE92" s="205"/>
      <c r="BF92" s="205" t="s">
        <v>284</v>
      </c>
      <c r="BG92" s="205" t="s">
        <v>284</v>
      </c>
      <c r="BH92" s="205"/>
      <c r="BI92" s="205" t="s">
        <v>284</v>
      </c>
      <c r="BJ92" s="205" t="s">
        <v>284</v>
      </c>
      <c r="BK92" s="205"/>
      <c r="BL92" s="207" t="s">
        <v>284</v>
      </c>
      <c r="BM92" s="205"/>
      <c r="BN92" s="205" t="s">
        <v>284</v>
      </c>
      <c r="BO92" s="205"/>
      <c r="BP92" s="205" t="s">
        <v>284</v>
      </c>
      <c r="BQ92" s="205"/>
      <c r="BR92" s="205" t="s">
        <v>284</v>
      </c>
      <c r="BS92" s="205"/>
      <c r="BT92" s="205" t="s">
        <v>284</v>
      </c>
      <c r="BU92" s="205"/>
      <c r="BV92" s="205" t="s">
        <v>284</v>
      </c>
      <c r="BW92" s="208"/>
      <c r="BX92" s="204"/>
      <c r="BY92" s="205"/>
      <c r="BZ92" s="205"/>
      <c r="CA92" s="205"/>
      <c r="CB92" s="206"/>
      <c r="CC92" s="207"/>
      <c r="CD92" s="205" t="s">
        <v>284</v>
      </c>
      <c r="CE92" s="205" t="s">
        <v>284</v>
      </c>
      <c r="CF92" s="206"/>
      <c r="CG92" s="160"/>
    </row>
    <row r="93" spans="1:85">
      <c r="A93" s="160"/>
      <c r="B93" s="217"/>
      <c r="C93" s="176" t="s">
        <v>357</v>
      </c>
      <c r="D93" s="204"/>
      <c r="E93" s="205"/>
      <c r="F93" s="205"/>
      <c r="G93" s="205"/>
      <c r="H93" s="205"/>
      <c r="I93" s="205"/>
      <c r="J93" s="205"/>
      <c r="K93" s="205"/>
      <c r="L93" s="205"/>
      <c r="M93" s="205"/>
      <c r="N93" s="205"/>
      <c r="O93" s="206"/>
      <c r="P93" s="207" t="s">
        <v>284</v>
      </c>
      <c r="Q93" s="205" t="s">
        <v>284</v>
      </c>
      <c r="R93" s="205" t="s">
        <v>284</v>
      </c>
      <c r="S93" s="207" t="s">
        <v>284</v>
      </c>
      <c r="T93" s="205"/>
      <c r="U93" s="205" t="s">
        <v>284</v>
      </c>
      <c r="V93" s="205" t="s">
        <v>284</v>
      </c>
      <c r="W93" s="205" t="s">
        <v>284</v>
      </c>
      <c r="X93" s="205" t="s">
        <v>284</v>
      </c>
      <c r="Y93" s="205"/>
      <c r="Z93" s="205" t="s">
        <v>284</v>
      </c>
      <c r="AA93" s="205" t="s">
        <v>284</v>
      </c>
      <c r="AB93" s="205" t="s">
        <v>284</v>
      </c>
      <c r="AC93" s="207" t="s">
        <v>284</v>
      </c>
      <c r="AD93" s="205"/>
      <c r="AE93" s="205" t="s">
        <v>284</v>
      </c>
      <c r="AF93" s="205" t="s">
        <v>284</v>
      </c>
      <c r="AG93" s="205" t="s">
        <v>284</v>
      </c>
      <c r="AH93" s="207" t="s">
        <v>284</v>
      </c>
      <c r="AI93" s="205"/>
      <c r="AJ93" s="205" t="s">
        <v>284</v>
      </c>
      <c r="AK93" s="205" t="s">
        <v>284</v>
      </c>
      <c r="AL93" s="205" t="s">
        <v>284</v>
      </c>
      <c r="AM93" s="205" t="s">
        <v>284</v>
      </c>
      <c r="AN93" s="205"/>
      <c r="AO93" s="205" t="s">
        <v>284</v>
      </c>
      <c r="AP93" s="205" t="s">
        <v>284</v>
      </c>
      <c r="AQ93" s="205" t="s">
        <v>284</v>
      </c>
      <c r="AR93" s="207" t="s">
        <v>284</v>
      </c>
      <c r="AS93" s="205"/>
      <c r="AT93" s="205" t="s">
        <v>284</v>
      </c>
      <c r="AU93" s="208"/>
      <c r="AV93" s="205" t="s">
        <v>284</v>
      </c>
      <c r="AW93" s="205"/>
      <c r="AX93" s="207" t="s">
        <v>284</v>
      </c>
      <c r="AY93" s="205"/>
      <c r="AZ93" s="205"/>
      <c r="BA93" s="205"/>
      <c r="BB93" s="205"/>
      <c r="BC93" s="205"/>
      <c r="BD93" s="205"/>
      <c r="BE93" s="205"/>
      <c r="BF93" s="205" t="s">
        <v>284</v>
      </c>
      <c r="BG93" s="205" t="s">
        <v>284</v>
      </c>
      <c r="BH93" s="205"/>
      <c r="BI93" s="205" t="s">
        <v>284</v>
      </c>
      <c r="BJ93" s="205" t="s">
        <v>284</v>
      </c>
      <c r="BK93" s="205"/>
      <c r="BL93" s="207" t="s">
        <v>284</v>
      </c>
      <c r="BM93" s="205"/>
      <c r="BN93" s="205" t="s">
        <v>284</v>
      </c>
      <c r="BO93" s="205"/>
      <c r="BP93" s="205" t="s">
        <v>284</v>
      </c>
      <c r="BQ93" s="205"/>
      <c r="BR93" s="205" t="s">
        <v>284</v>
      </c>
      <c r="BS93" s="205"/>
      <c r="BT93" s="205" t="s">
        <v>284</v>
      </c>
      <c r="BU93" s="205"/>
      <c r="BV93" s="205" t="s">
        <v>284</v>
      </c>
      <c r="BW93" s="208"/>
      <c r="BX93" s="204"/>
      <c r="BY93" s="205"/>
      <c r="BZ93" s="205"/>
      <c r="CA93" s="205"/>
      <c r="CB93" s="206"/>
      <c r="CC93" s="207"/>
      <c r="CD93" s="205" t="s">
        <v>284</v>
      </c>
      <c r="CE93" s="205" t="s">
        <v>284</v>
      </c>
      <c r="CF93" s="206"/>
      <c r="CG93" s="160"/>
    </row>
    <row r="94" spans="1:85">
      <c r="A94" s="160"/>
      <c r="B94" s="218"/>
      <c r="C94" s="219" t="s">
        <v>358</v>
      </c>
      <c r="D94" s="204"/>
      <c r="E94" s="205"/>
      <c r="F94" s="205"/>
      <c r="G94" s="205"/>
      <c r="H94" s="205"/>
      <c r="I94" s="205"/>
      <c r="J94" s="205"/>
      <c r="K94" s="205"/>
      <c r="L94" s="205"/>
      <c r="M94" s="205"/>
      <c r="N94" s="205"/>
      <c r="O94" s="206"/>
      <c r="P94" s="207" t="s">
        <v>284</v>
      </c>
      <c r="Q94" s="205" t="s">
        <v>284</v>
      </c>
      <c r="R94" s="205" t="s">
        <v>284</v>
      </c>
      <c r="S94" s="207" t="s">
        <v>284</v>
      </c>
      <c r="T94" s="205" t="s">
        <v>284</v>
      </c>
      <c r="U94" s="205" t="s">
        <v>284</v>
      </c>
      <c r="V94" s="205" t="s">
        <v>284</v>
      </c>
      <c r="W94" s="205" t="s">
        <v>284</v>
      </c>
      <c r="X94" s="205" t="s">
        <v>284</v>
      </c>
      <c r="Y94" s="205" t="s">
        <v>284</v>
      </c>
      <c r="Z94" s="205" t="s">
        <v>284</v>
      </c>
      <c r="AA94" s="205" t="s">
        <v>284</v>
      </c>
      <c r="AB94" s="205" t="s">
        <v>284</v>
      </c>
      <c r="AC94" s="207" t="s">
        <v>284</v>
      </c>
      <c r="AD94" s="205" t="s">
        <v>284</v>
      </c>
      <c r="AE94" s="205" t="s">
        <v>284</v>
      </c>
      <c r="AF94" s="205" t="s">
        <v>284</v>
      </c>
      <c r="AG94" s="205" t="s">
        <v>284</v>
      </c>
      <c r="AH94" s="207" t="s">
        <v>284</v>
      </c>
      <c r="AI94" s="205" t="s">
        <v>284</v>
      </c>
      <c r="AJ94" s="205" t="s">
        <v>284</v>
      </c>
      <c r="AK94" s="205" t="s">
        <v>284</v>
      </c>
      <c r="AL94" s="205" t="s">
        <v>284</v>
      </c>
      <c r="AM94" s="205" t="s">
        <v>284</v>
      </c>
      <c r="AN94" s="205" t="s">
        <v>284</v>
      </c>
      <c r="AO94" s="205" t="s">
        <v>284</v>
      </c>
      <c r="AP94" s="205" t="s">
        <v>284</v>
      </c>
      <c r="AQ94" s="205" t="s">
        <v>284</v>
      </c>
      <c r="AR94" s="207" t="s">
        <v>284</v>
      </c>
      <c r="AS94" s="205" t="s">
        <v>284</v>
      </c>
      <c r="AT94" s="205"/>
      <c r="AU94" s="208"/>
      <c r="AV94" s="205"/>
      <c r="AW94" s="205"/>
      <c r="AX94" s="207"/>
      <c r="AY94" s="205"/>
      <c r="AZ94" s="205"/>
      <c r="BA94" s="205"/>
      <c r="BB94" s="205"/>
      <c r="BC94" s="205"/>
      <c r="BD94" s="205"/>
      <c r="BE94" s="205"/>
      <c r="BF94" s="205" t="s">
        <v>284</v>
      </c>
      <c r="BG94" s="205" t="s">
        <v>284</v>
      </c>
      <c r="BH94" s="205" t="s">
        <v>284</v>
      </c>
      <c r="BI94" s="205" t="s">
        <v>284</v>
      </c>
      <c r="BJ94" s="205" t="s">
        <v>284</v>
      </c>
      <c r="BK94" s="205" t="s">
        <v>284</v>
      </c>
      <c r="BL94" s="207" t="s">
        <v>284</v>
      </c>
      <c r="BM94" s="205" t="s">
        <v>284</v>
      </c>
      <c r="BN94" s="205" t="s">
        <v>284</v>
      </c>
      <c r="BO94" s="205" t="s">
        <v>284</v>
      </c>
      <c r="BP94" s="205" t="s">
        <v>284</v>
      </c>
      <c r="BQ94" s="205" t="s">
        <v>284</v>
      </c>
      <c r="BR94" s="205" t="s">
        <v>284</v>
      </c>
      <c r="BS94" s="205" t="s">
        <v>284</v>
      </c>
      <c r="BT94" s="205" t="s">
        <v>284</v>
      </c>
      <c r="BU94" s="205" t="s">
        <v>284</v>
      </c>
      <c r="BV94" s="205" t="s">
        <v>284</v>
      </c>
      <c r="BW94" s="208" t="s">
        <v>284</v>
      </c>
      <c r="BX94" s="204"/>
      <c r="BY94" s="205"/>
      <c r="BZ94" s="205"/>
      <c r="CA94" s="205"/>
      <c r="CB94" s="206"/>
      <c r="CC94" s="207"/>
      <c r="CD94" s="205" t="s">
        <v>284</v>
      </c>
      <c r="CE94" s="205"/>
      <c r="CF94" s="206"/>
      <c r="CG94" s="160"/>
    </row>
    <row r="95" spans="1:85">
      <c r="A95" s="160"/>
      <c r="B95" s="218"/>
      <c r="C95" s="219" t="s">
        <v>359</v>
      </c>
      <c r="D95" s="204"/>
      <c r="E95" s="205"/>
      <c r="F95" s="205"/>
      <c r="G95" s="205"/>
      <c r="H95" s="205"/>
      <c r="I95" s="205"/>
      <c r="J95" s="205"/>
      <c r="K95" s="205"/>
      <c r="L95" s="205"/>
      <c r="M95" s="205"/>
      <c r="N95" s="205"/>
      <c r="O95" s="206"/>
      <c r="P95" s="207" t="s">
        <v>284</v>
      </c>
      <c r="Q95" s="205" t="s">
        <v>284</v>
      </c>
      <c r="R95" s="205" t="s">
        <v>284</v>
      </c>
      <c r="S95" s="207" t="s">
        <v>284</v>
      </c>
      <c r="T95" s="205" t="s">
        <v>284</v>
      </c>
      <c r="U95" s="205" t="s">
        <v>284</v>
      </c>
      <c r="V95" s="205" t="s">
        <v>284</v>
      </c>
      <c r="W95" s="205" t="s">
        <v>284</v>
      </c>
      <c r="X95" s="205" t="s">
        <v>284</v>
      </c>
      <c r="Y95" s="205" t="s">
        <v>284</v>
      </c>
      <c r="Z95" s="205" t="s">
        <v>284</v>
      </c>
      <c r="AA95" s="205" t="s">
        <v>284</v>
      </c>
      <c r="AB95" s="205" t="s">
        <v>284</v>
      </c>
      <c r="AC95" s="207" t="s">
        <v>284</v>
      </c>
      <c r="AD95" s="205" t="s">
        <v>284</v>
      </c>
      <c r="AE95" s="205" t="s">
        <v>284</v>
      </c>
      <c r="AF95" s="205" t="s">
        <v>284</v>
      </c>
      <c r="AG95" s="205" t="s">
        <v>284</v>
      </c>
      <c r="AH95" s="207" t="s">
        <v>284</v>
      </c>
      <c r="AI95" s="205" t="s">
        <v>284</v>
      </c>
      <c r="AJ95" s="205" t="s">
        <v>284</v>
      </c>
      <c r="AK95" s="205" t="s">
        <v>284</v>
      </c>
      <c r="AL95" s="205" t="s">
        <v>284</v>
      </c>
      <c r="AM95" s="205" t="s">
        <v>284</v>
      </c>
      <c r="AN95" s="205" t="s">
        <v>284</v>
      </c>
      <c r="AO95" s="205" t="s">
        <v>284</v>
      </c>
      <c r="AP95" s="205" t="s">
        <v>284</v>
      </c>
      <c r="AQ95" s="205" t="s">
        <v>284</v>
      </c>
      <c r="AR95" s="207" t="s">
        <v>284</v>
      </c>
      <c r="AS95" s="205" t="s">
        <v>284</v>
      </c>
      <c r="AT95" s="205" t="s">
        <v>284</v>
      </c>
      <c r="AU95" s="208" t="s">
        <v>284</v>
      </c>
      <c r="AV95" s="205" t="s">
        <v>284</v>
      </c>
      <c r="AW95" s="205" t="s">
        <v>284</v>
      </c>
      <c r="AX95" s="207" t="s">
        <v>284</v>
      </c>
      <c r="AY95" s="205" t="s">
        <v>284</v>
      </c>
      <c r="AZ95" s="205" t="s">
        <v>284</v>
      </c>
      <c r="BA95" s="205" t="s">
        <v>284</v>
      </c>
      <c r="BB95" s="205" t="s">
        <v>284</v>
      </c>
      <c r="BC95" s="205" t="s">
        <v>284</v>
      </c>
      <c r="BD95" s="205" t="s">
        <v>284</v>
      </c>
      <c r="BE95" s="205" t="s">
        <v>284</v>
      </c>
      <c r="BF95" s="205" t="s">
        <v>284</v>
      </c>
      <c r="BG95" s="205" t="s">
        <v>284</v>
      </c>
      <c r="BH95" s="205" t="s">
        <v>284</v>
      </c>
      <c r="BI95" s="205" t="s">
        <v>284</v>
      </c>
      <c r="BJ95" s="205" t="s">
        <v>284</v>
      </c>
      <c r="BK95" s="205" t="s">
        <v>284</v>
      </c>
      <c r="BL95" s="207" t="s">
        <v>284</v>
      </c>
      <c r="BM95" s="205" t="s">
        <v>284</v>
      </c>
      <c r="BN95" s="205" t="s">
        <v>284</v>
      </c>
      <c r="BO95" s="205" t="s">
        <v>284</v>
      </c>
      <c r="BP95" s="205" t="s">
        <v>284</v>
      </c>
      <c r="BQ95" s="205" t="s">
        <v>284</v>
      </c>
      <c r="BR95" s="205" t="s">
        <v>284</v>
      </c>
      <c r="BS95" s="205" t="s">
        <v>284</v>
      </c>
      <c r="BT95" s="205" t="s">
        <v>284</v>
      </c>
      <c r="BU95" s="205" t="s">
        <v>284</v>
      </c>
      <c r="BV95" s="205" t="s">
        <v>284</v>
      </c>
      <c r="BW95" s="208" t="s">
        <v>284</v>
      </c>
      <c r="BX95" s="204"/>
      <c r="BY95" s="205"/>
      <c r="BZ95" s="205"/>
      <c r="CA95" s="205"/>
      <c r="CB95" s="206"/>
      <c r="CC95" s="207"/>
      <c r="CD95" s="205" t="s">
        <v>284</v>
      </c>
      <c r="CE95" s="205"/>
      <c r="CF95" s="206"/>
      <c r="CG95" s="160"/>
    </row>
    <row r="96" spans="1:85">
      <c r="A96" s="160"/>
      <c r="B96" s="218"/>
      <c r="C96" s="219" t="s">
        <v>360</v>
      </c>
      <c r="D96" s="204"/>
      <c r="E96" s="205"/>
      <c r="F96" s="205"/>
      <c r="G96" s="205"/>
      <c r="H96" s="205"/>
      <c r="I96" s="205"/>
      <c r="J96" s="205"/>
      <c r="K96" s="205"/>
      <c r="L96" s="205"/>
      <c r="M96" s="205"/>
      <c r="N96" s="205"/>
      <c r="O96" s="206"/>
      <c r="P96" s="207" t="s">
        <v>284</v>
      </c>
      <c r="Q96" s="205" t="s">
        <v>284</v>
      </c>
      <c r="R96" s="205" t="s">
        <v>284</v>
      </c>
      <c r="S96" s="207" t="s">
        <v>284</v>
      </c>
      <c r="T96" s="205" t="s">
        <v>284</v>
      </c>
      <c r="U96" s="205" t="s">
        <v>284</v>
      </c>
      <c r="V96" s="205" t="s">
        <v>284</v>
      </c>
      <c r="W96" s="205" t="s">
        <v>284</v>
      </c>
      <c r="X96" s="205" t="s">
        <v>284</v>
      </c>
      <c r="Y96" s="205" t="s">
        <v>284</v>
      </c>
      <c r="Z96" s="205" t="s">
        <v>284</v>
      </c>
      <c r="AA96" s="205" t="s">
        <v>284</v>
      </c>
      <c r="AB96" s="205" t="s">
        <v>284</v>
      </c>
      <c r="AC96" s="207" t="s">
        <v>284</v>
      </c>
      <c r="AD96" s="205" t="s">
        <v>284</v>
      </c>
      <c r="AE96" s="205" t="s">
        <v>284</v>
      </c>
      <c r="AF96" s="205" t="s">
        <v>284</v>
      </c>
      <c r="AG96" s="205" t="s">
        <v>284</v>
      </c>
      <c r="AH96" s="207" t="s">
        <v>284</v>
      </c>
      <c r="AI96" s="205" t="s">
        <v>284</v>
      </c>
      <c r="AJ96" s="205" t="s">
        <v>284</v>
      </c>
      <c r="AK96" s="205" t="s">
        <v>284</v>
      </c>
      <c r="AL96" s="205" t="s">
        <v>284</v>
      </c>
      <c r="AM96" s="205" t="s">
        <v>284</v>
      </c>
      <c r="AN96" s="205" t="s">
        <v>284</v>
      </c>
      <c r="AO96" s="205" t="s">
        <v>284</v>
      </c>
      <c r="AP96" s="205" t="s">
        <v>284</v>
      </c>
      <c r="AQ96" s="205" t="s">
        <v>284</v>
      </c>
      <c r="AR96" s="207" t="s">
        <v>284</v>
      </c>
      <c r="AS96" s="205" t="s">
        <v>284</v>
      </c>
      <c r="AT96" s="205"/>
      <c r="AU96" s="208"/>
      <c r="AV96" s="205"/>
      <c r="AW96" s="205"/>
      <c r="AX96" s="207"/>
      <c r="AY96" s="205"/>
      <c r="AZ96" s="205"/>
      <c r="BA96" s="205"/>
      <c r="BB96" s="205"/>
      <c r="BC96" s="205"/>
      <c r="BD96" s="205"/>
      <c r="BE96" s="205"/>
      <c r="BF96" s="205" t="s">
        <v>284</v>
      </c>
      <c r="BG96" s="205" t="s">
        <v>284</v>
      </c>
      <c r="BH96" s="205" t="s">
        <v>284</v>
      </c>
      <c r="BI96" s="205" t="s">
        <v>284</v>
      </c>
      <c r="BJ96" s="205" t="s">
        <v>284</v>
      </c>
      <c r="BK96" s="205" t="s">
        <v>284</v>
      </c>
      <c r="BL96" s="207" t="s">
        <v>284</v>
      </c>
      <c r="BM96" s="205" t="s">
        <v>284</v>
      </c>
      <c r="BN96" s="205" t="s">
        <v>284</v>
      </c>
      <c r="BO96" s="205" t="s">
        <v>284</v>
      </c>
      <c r="BP96" s="205" t="s">
        <v>284</v>
      </c>
      <c r="BQ96" s="205" t="s">
        <v>284</v>
      </c>
      <c r="BR96" s="205" t="s">
        <v>284</v>
      </c>
      <c r="BS96" s="205" t="s">
        <v>284</v>
      </c>
      <c r="BT96" s="205" t="s">
        <v>284</v>
      </c>
      <c r="BU96" s="205" t="s">
        <v>284</v>
      </c>
      <c r="BV96" s="205" t="s">
        <v>284</v>
      </c>
      <c r="BW96" s="208" t="s">
        <v>284</v>
      </c>
      <c r="BX96" s="204"/>
      <c r="BY96" s="205"/>
      <c r="BZ96" s="205"/>
      <c r="CA96" s="205"/>
      <c r="CB96" s="206"/>
      <c r="CC96" s="207"/>
      <c r="CD96" s="205" t="s">
        <v>284</v>
      </c>
      <c r="CE96" s="205" t="s">
        <v>284</v>
      </c>
      <c r="CF96" s="206"/>
      <c r="CG96" s="160"/>
    </row>
    <row r="97" spans="1:85" ht="13.8" thickBot="1">
      <c r="A97" s="160"/>
      <c r="B97" s="220"/>
      <c r="C97" s="221" t="s">
        <v>361</v>
      </c>
      <c r="D97" s="210"/>
      <c r="E97" s="211"/>
      <c r="F97" s="211"/>
      <c r="G97" s="211"/>
      <c r="H97" s="211"/>
      <c r="I97" s="211"/>
      <c r="J97" s="211"/>
      <c r="K97" s="211"/>
      <c r="L97" s="211"/>
      <c r="M97" s="211"/>
      <c r="N97" s="211"/>
      <c r="O97" s="212"/>
      <c r="P97" s="213" t="s">
        <v>284</v>
      </c>
      <c r="Q97" s="211" t="s">
        <v>284</v>
      </c>
      <c r="R97" s="211" t="s">
        <v>284</v>
      </c>
      <c r="S97" s="213" t="s">
        <v>284</v>
      </c>
      <c r="T97" s="211" t="s">
        <v>284</v>
      </c>
      <c r="U97" s="211" t="s">
        <v>284</v>
      </c>
      <c r="V97" s="211" t="s">
        <v>284</v>
      </c>
      <c r="W97" s="211" t="s">
        <v>284</v>
      </c>
      <c r="X97" s="211" t="s">
        <v>284</v>
      </c>
      <c r="Y97" s="211" t="s">
        <v>284</v>
      </c>
      <c r="Z97" s="211" t="s">
        <v>284</v>
      </c>
      <c r="AA97" s="211" t="s">
        <v>284</v>
      </c>
      <c r="AB97" s="211" t="s">
        <v>284</v>
      </c>
      <c r="AC97" s="213" t="s">
        <v>284</v>
      </c>
      <c r="AD97" s="211" t="s">
        <v>284</v>
      </c>
      <c r="AE97" s="211" t="s">
        <v>284</v>
      </c>
      <c r="AF97" s="211" t="s">
        <v>284</v>
      </c>
      <c r="AG97" s="211" t="s">
        <v>284</v>
      </c>
      <c r="AH97" s="213" t="s">
        <v>284</v>
      </c>
      <c r="AI97" s="211" t="s">
        <v>284</v>
      </c>
      <c r="AJ97" s="211" t="s">
        <v>284</v>
      </c>
      <c r="AK97" s="211" t="s">
        <v>284</v>
      </c>
      <c r="AL97" s="211" t="s">
        <v>284</v>
      </c>
      <c r="AM97" s="211" t="s">
        <v>284</v>
      </c>
      <c r="AN97" s="211" t="s">
        <v>284</v>
      </c>
      <c r="AO97" s="211" t="s">
        <v>284</v>
      </c>
      <c r="AP97" s="211" t="s">
        <v>284</v>
      </c>
      <c r="AQ97" s="211" t="s">
        <v>284</v>
      </c>
      <c r="AR97" s="213" t="s">
        <v>284</v>
      </c>
      <c r="AS97" s="211" t="s">
        <v>284</v>
      </c>
      <c r="AT97" s="211" t="s">
        <v>284</v>
      </c>
      <c r="AU97" s="214" t="s">
        <v>284</v>
      </c>
      <c r="AV97" s="211" t="s">
        <v>284</v>
      </c>
      <c r="AW97" s="211" t="s">
        <v>284</v>
      </c>
      <c r="AX97" s="213" t="s">
        <v>284</v>
      </c>
      <c r="AY97" s="211" t="s">
        <v>284</v>
      </c>
      <c r="AZ97" s="211"/>
      <c r="BA97" s="211"/>
      <c r="BB97" s="211"/>
      <c r="BC97" s="211"/>
      <c r="BD97" s="211"/>
      <c r="BE97" s="211"/>
      <c r="BF97" s="211" t="s">
        <v>284</v>
      </c>
      <c r="BG97" s="211" t="s">
        <v>284</v>
      </c>
      <c r="BH97" s="211" t="s">
        <v>284</v>
      </c>
      <c r="BI97" s="211" t="s">
        <v>284</v>
      </c>
      <c r="BJ97" s="211" t="s">
        <v>284</v>
      </c>
      <c r="BK97" s="211" t="s">
        <v>284</v>
      </c>
      <c r="BL97" s="213" t="s">
        <v>284</v>
      </c>
      <c r="BM97" s="211" t="s">
        <v>284</v>
      </c>
      <c r="BN97" s="211" t="s">
        <v>284</v>
      </c>
      <c r="BO97" s="211" t="s">
        <v>284</v>
      </c>
      <c r="BP97" s="211" t="s">
        <v>284</v>
      </c>
      <c r="BQ97" s="211" t="s">
        <v>284</v>
      </c>
      <c r="BR97" s="211" t="s">
        <v>284</v>
      </c>
      <c r="BS97" s="211" t="s">
        <v>284</v>
      </c>
      <c r="BT97" s="211" t="s">
        <v>284</v>
      </c>
      <c r="BU97" s="211" t="s">
        <v>284</v>
      </c>
      <c r="BV97" s="211" t="s">
        <v>284</v>
      </c>
      <c r="BW97" s="214" t="s">
        <v>284</v>
      </c>
      <c r="BX97" s="210"/>
      <c r="BY97" s="211"/>
      <c r="BZ97" s="211"/>
      <c r="CA97" s="211"/>
      <c r="CB97" s="212"/>
      <c r="CC97" s="213"/>
      <c r="CD97" s="211" t="s">
        <v>284</v>
      </c>
      <c r="CE97" s="211" t="s">
        <v>284</v>
      </c>
      <c r="CF97" s="212"/>
      <c r="CG97" s="160"/>
    </row>
    <row r="98" spans="1:85" ht="13.8" thickBot="1">
      <c r="A98" s="160"/>
      <c r="B98" s="222" t="s">
        <v>687</v>
      </c>
      <c r="C98" s="223" t="s">
        <v>265</v>
      </c>
      <c r="D98" s="224"/>
      <c r="E98" s="225"/>
      <c r="F98" s="225"/>
      <c r="G98" s="225"/>
      <c r="H98" s="225"/>
      <c r="I98" s="225"/>
      <c r="J98" s="225"/>
      <c r="K98" s="225"/>
      <c r="L98" s="225"/>
      <c r="M98" s="225"/>
      <c r="N98" s="225"/>
      <c r="O98" s="226"/>
      <c r="P98" s="227"/>
      <c r="Q98" s="225"/>
      <c r="R98" s="225"/>
      <c r="S98" s="227"/>
      <c r="T98" s="225"/>
      <c r="U98" s="225"/>
      <c r="V98" s="225"/>
      <c r="W98" s="225"/>
      <c r="X98" s="225"/>
      <c r="Y98" s="225"/>
      <c r="Z98" s="225"/>
      <c r="AA98" s="225"/>
      <c r="AB98" s="225"/>
      <c r="AC98" s="227"/>
      <c r="AD98" s="225"/>
      <c r="AE98" s="225"/>
      <c r="AF98" s="225"/>
      <c r="AG98" s="225"/>
      <c r="AH98" s="227"/>
      <c r="AI98" s="225"/>
      <c r="AJ98" s="225"/>
      <c r="AK98" s="225"/>
      <c r="AL98" s="225"/>
      <c r="AM98" s="225"/>
      <c r="AN98" s="225"/>
      <c r="AO98" s="225"/>
      <c r="AP98" s="225"/>
      <c r="AQ98" s="225"/>
      <c r="AR98" s="227"/>
      <c r="AS98" s="225"/>
      <c r="AT98" s="225"/>
      <c r="AU98" s="223"/>
      <c r="AV98" s="225"/>
      <c r="AW98" s="225"/>
      <c r="AX98" s="227"/>
      <c r="AY98" s="225"/>
      <c r="AZ98" s="225"/>
      <c r="BA98" s="225"/>
      <c r="BB98" s="225"/>
      <c r="BC98" s="225"/>
      <c r="BD98" s="225"/>
      <c r="BE98" s="225"/>
      <c r="BF98" s="225"/>
      <c r="BG98" s="225"/>
      <c r="BH98" s="225"/>
      <c r="BI98" s="225"/>
      <c r="BJ98" s="225"/>
      <c r="BK98" s="225"/>
      <c r="BL98" s="227"/>
      <c r="BM98" s="225"/>
      <c r="BN98" s="225"/>
      <c r="BO98" s="225"/>
      <c r="BP98" s="225"/>
      <c r="BQ98" s="225"/>
      <c r="BR98" s="225"/>
      <c r="BS98" s="225"/>
      <c r="BT98" s="225"/>
      <c r="BU98" s="225"/>
      <c r="BV98" s="225"/>
      <c r="BW98" s="223"/>
      <c r="BX98" s="224"/>
      <c r="BY98" s="225"/>
      <c r="BZ98" s="225"/>
      <c r="CA98" s="225"/>
      <c r="CB98" s="226"/>
      <c r="CC98" s="227"/>
      <c r="CD98" s="225"/>
      <c r="CE98" s="225" t="s">
        <v>284</v>
      </c>
      <c r="CF98" s="226"/>
      <c r="CG98" s="160"/>
    </row>
    <row r="99" spans="1:85">
      <c r="A99" s="160"/>
      <c r="B99" s="228" t="s">
        <v>688</v>
      </c>
      <c r="C99" s="229" t="s">
        <v>405</v>
      </c>
      <c r="D99" s="197"/>
      <c r="E99" s="198"/>
      <c r="F99" s="198"/>
      <c r="G99" s="198"/>
      <c r="H99" s="198"/>
      <c r="I99" s="198"/>
      <c r="J99" s="198"/>
      <c r="K99" s="198"/>
      <c r="L99" s="198"/>
      <c r="M99" s="198"/>
      <c r="N99" s="198"/>
      <c r="O99" s="199"/>
      <c r="P99" s="200"/>
      <c r="Q99" s="198"/>
      <c r="R99" s="198"/>
      <c r="S99" s="200"/>
      <c r="T99" s="198"/>
      <c r="U99" s="198"/>
      <c r="V99" s="198"/>
      <c r="W99" s="198"/>
      <c r="X99" s="198"/>
      <c r="Y99" s="198"/>
      <c r="Z99" s="198"/>
      <c r="AA99" s="198"/>
      <c r="AB99" s="198"/>
      <c r="AC99" s="200"/>
      <c r="AD99" s="198"/>
      <c r="AE99" s="198"/>
      <c r="AF99" s="198"/>
      <c r="AG99" s="198"/>
      <c r="AH99" s="200"/>
      <c r="AI99" s="198"/>
      <c r="AJ99" s="198"/>
      <c r="AK99" s="198"/>
      <c r="AL99" s="198"/>
      <c r="AM99" s="198"/>
      <c r="AN99" s="198"/>
      <c r="AO99" s="198"/>
      <c r="AP99" s="198"/>
      <c r="AQ99" s="198"/>
      <c r="AR99" s="200"/>
      <c r="AS99" s="198"/>
      <c r="AT99" s="198"/>
      <c r="AU99" s="201"/>
      <c r="AV99" s="198"/>
      <c r="AW99" s="198"/>
      <c r="AX99" s="200"/>
      <c r="AY99" s="198"/>
      <c r="AZ99" s="198"/>
      <c r="BA99" s="198"/>
      <c r="BB99" s="198"/>
      <c r="BC99" s="198"/>
      <c r="BD99" s="198"/>
      <c r="BE99" s="198"/>
      <c r="BF99" s="198"/>
      <c r="BG99" s="198"/>
      <c r="BH99" s="198"/>
      <c r="BI99" s="198"/>
      <c r="BJ99" s="198"/>
      <c r="BK99" s="198"/>
      <c r="BL99" s="200"/>
      <c r="BM99" s="198"/>
      <c r="BN99" s="198"/>
      <c r="BO99" s="198"/>
      <c r="BP99" s="198"/>
      <c r="BQ99" s="198"/>
      <c r="BR99" s="198"/>
      <c r="BS99" s="198"/>
      <c r="BT99" s="198"/>
      <c r="BU99" s="198"/>
      <c r="BV99" s="198"/>
      <c r="BW99" s="201"/>
      <c r="BX99" s="197"/>
      <c r="BY99" s="198"/>
      <c r="BZ99" s="198"/>
      <c r="CA99" s="198"/>
      <c r="CB99" s="199"/>
      <c r="CC99" s="200"/>
      <c r="CD99" s="198"/>
      <c r="CE99" s="198" t="s">
        <v>284</v>
      </c>
      <c r="CF99" s="199" t="s">
        <v>284</v>
      </c>
      <c r="CG99" s="160"/>
    </row>
    <row r="100" spans="1:85">
      <c r="A100" s="160"/>
      <c r="B100" s="230" t="s">
        <v>689</v>
      </c>
      <c r="C100" s="231" t="s">
        <v>406</v>
      </c>
      <c r="D100" s="204"/>
      <c r="E100" s="205"/>
      <c r="F100" s="205"/>
      <c r="G100" s="205"/>
      <c r="H100" s="205"/>
      <c r="I100" s="205"/>
      <c r="J100" s="205"/>
      <c r="K100" s="205"/>
      <c r="L100" s="205"/>
      <c r="M100" s="205"/>
      <c r="N100" s="205"/>
      <c r="O100" s="206"/>
      <c r="P100" s="207"/>
      <c r="Q100" s="205"/>
      <c r="R100" s="205"/>
      <c r="S100" s="207"/>
      <c r="T100" s="205"/>
      <c r="U100" s="205"/>
      <c r="V100" s="205"/>
      <c r="W100" s="205"/>
      <c r="X100" s="205"/>
      <c r="Y100" s="205"/>
      <c r="Z100" s="205"/>
      <c r="AA100" s="205"/>
      <c r="AB100" s="205"/>
      <c r="AC100" s="207"/>
      <c r="AD100" s="205"/>
      <c r="AE100" s="205"/>
      <c r="AF100" s="205"/>
      <c r="AG100" s="205"/>
      <c r="AH100" s="207"/>
      <c r="AI100" s="205"/>
      <c r="AJ100" s="205"/>
      <c r="AK100" s="205"/>
      <c r="AL100" s="205"/>
      <c r="AM100" s="205"/>
      <c r="AN100" s="205"/>
      <c r="AO100" s="205"/>
      <c r="AP100" s="205"/>
      <c r="AQ100" s="205"/>
      <c r="AR100" s="207"/>
      <c r="AS100" s="205"/>
      <c r="AT100" s="205"/>
      <c r="AU100" s="208"/>
      <c r="AV100" s="205"/>
      <c r="AW100" s="205"/>
      <c r="AX100" s="207"/>
      <c r="AY100" s="205"/>
      <c r="AZ100" s="205"/>
      <c r="BA100" s="205"/>
      <c r="BB100" s="205"/>
      <c r="BC100" s="205"/>
      <c r="BD100" s="205"/>
      <c r="BE100" s="205"/>
      <c r="BF100" s="205"/>
      <c r="BG100" s="205"/>
      <c r="BH100" s="205"/>
      <c r="BI100" s="205"/>
      <c r="BJ100" s="205"/>
      <c r="BK100" s="205"/>
      <c r="BL100" s="207"/>
      <c r="BM100" s="205"/>
      <c r="BN100" s="205"/>
      <c r="BO100" s="205"/>
      <c r="BP100" s="205"/>
      <c r="BQ100" s="205"/>
      <c r="BR100" s="205"/>
      <c r="BS100" s="205"/>
      <c r="BT100" s="205"/>
      <c r="BU100" s="205"/>
      <c r="BV100" s="205"/>
      <c r="BW100" s="208"/>
      <c r="BX100" s="204" t="s">
        <v>284</v>
      </c>
      <c r="BY100" s="205" t="s">
        <v>284</v>
      </c>
      <c r="BZ100" s="205" t="s">
        <v>284</v>
      </c>
      <c r="CA100" s="205" t="s">
        <v>284</v>
      </c>
      <c r="CB100" s="206" t="s">
        <v>284</v>
      </c>
      <c r="CC100" s="207"/>
      <c r="CD100" s="205"/>
      <c r="CE100" s="205" t="s">
        <v>284</v>
      </c>
      <c r="CF100" s="206" t="s">
        <v>284</v>
      </c>
      <c r="CG100" s="160"/>
    </row>
    <row r="101" spans="1:85" ht="13.8" thickBot="1">
      <c r="A101" s="160"/>
      <c r="B101" s="232"/>
      <c r="C101" s="233" t="s">
        <v>490</v>
      </c>
      <c r="D101" s="210"/>
      <c r="E101" s="211"/>
      <c r="F101" s="211"/>
      <c r="G101" s="211"/>
      <c r="H101" s="211"/>
      <c r="I101" s="211"/>
      <c r="J101" s="211"/>
      <c r="K101" s="211"/>
      <c r="L101" s="211"/>
      <c r="M101" s="211"/>
      <c r="N101" s="211"/>
      <c r="O101" s="212"/>
      <c r="P101" s="213"/>
      <c r="Q101" s="211"/>
      <c r="R101" s="211"/>
      <c r="S101" s="213"/>
      <c r="T101" s="211"/>
      <c r="U101" s="211"/>
      <c r="V101" s="211"/>
      <c r="W101" s="211"/>
      <c r="X101" s="211"/>
      <c r="Y101" s="211"/>
      <c r="Z101" s="211"/>
      <c r="AA101" s="211"/>
      <c r="AB101" s="211"/>
      <c r="AC101" s="213"/>
      <c r="AD101" s="211"/>
      <c r="AE101" s="211"/>
      <c r="AF101" s="211"/>
      <c r="AG101" s="211"/>
      <c r="AH101" s="213"/>
      <c r="AI101" s="211"/>
      <c r="AJ101" s="211"/>
      <c r="AK101" s="211"/>
      <c r="AL101" s="211"/>
      <c r="AM101" s="211"/>
      <c r="AN101" s="211"/>
      <c r="AO101" s="211"/>
      <c r="AP101" s="211"/>
      <c r="AQ101" s="211"/>
      <c r="AR101" s="213"/>
      <c r="AS101" s="211"/>
      <c r="AT101" s="211"/>
      <c r="AU101" s="214"/>
      <c r="AV101" s="211"/>
      <c r="AW101" s="211"/>
      <c r="AX101" s="213"/>
      <c r="AY101" s="211"/>
      <c r="AZ101" s="211"/>
      <c r="BA101" s="211"/>
      <c r="BB101" s="211"/>
      <c r="BC101" s="211"/>
      <c r="BD101" s="211"/>
      <c r="BE101" s="211"/>
      <c r="BF101" s="211"/>
      <c r="BG101" s="211"/>
      <c r="BH101" s="211"/>
      <c r="BI101" s="211"/>
      <c r="BJ101" s="211"/>
      <c r="BK101" s="211"/>
      <c r="BL101" s="213"/>
      <c r="BM101" s="211"/>
      <c r="BN101" s="211"/>
      <c r="BO101" s="211"/>
      <c r="BP101" s="211"/>
      <c r="BQ101" s="211"/>
      <c r="BR101" s="211"/>
      <c r="BS101" s="211"/>
      <c r="BT101" s="211"/>
      <c r="BU101" s="211"/>
      <c r="BV101" s="211"/>
      <c r="BW101" s="214"/>
      <c r="BX101" s="210" t="s">
        <v>284</v>
      </c>
      <c r="BY101" s="211" t="s">
        <v>284</v>
      </c>
      <c r="BZ101" s="211" t="s">
        <v>284</v>
      </c>
      <c r="CA101" s="211" t="s">
        <v>284</v>
      </c>
      <c r="CB101" s="212" t="s">
        <v>284</v>
      </c>
      <c r="CC101" s="213"/>
      <c r="CD101" s="211"/>
      <c r="CE101" s="211" t="s">
        <v>284</v>
      </c>
      <c r="CF101" s="212" t="s">
        <v>284</v>
      </c>
      <c r="CG101" s="160"/>
    </row>
    <row r="102" spans="1:85" ht="40.200000000000003" thickBot="1">
      <c r="A102" s="160"/>
      <c r="B102" s="234" t="s">
        <v>690</v>
      </c>
      <c r="C102" s="235" t="s">
        <v>415</v>
      </c>
      <c r="D102" s="236" t="s">
        <v>284</v>
      </c>
      <c r="E102" s="237" t="s">
        <v>284</v>
      </c>
      <c r="F102" s="237" t="s">
        <v>284</v>
      </c>
      <c r="G102" s="237" t="s">
        <v>284</v>
      </c>
      <c r="H102" s="237" t="s">
        <v>284</v>
      </c>
      <c r="I102" s="237" t="s">
        <v>284</v>
      </c>
      <c r="J102" s="237" t="s">
        <v>284</v>
      </c>
      <c r="K102" s="237" t="s">
        <v>284</v>
      </c>
      <c r="L102" s="237" t="s">
        <v>284</v>
      </c>
      <c r="M102" s="237" t="s">
        <v>284</v>
      </c>
      <c r="N102" s="237" t="s">
        <v>284</v>
      </c>
      <c r="O102" s="238" t="s">
        <v>284</v>
      </c>
      <c r="P102" s="239" t="s">
        <v>284</v>
      </c>
      <c r="Q102" s="237" t="s">
        <v>284</v>
      </c>
      <c r="R102" s="237" t="s">
        <v>284</v>
      </c>
      <c r="S102" s="239" t="s">
        <v>284</v>
      </c>
      <c r="T102" s="237" t="s">
        <v>284</v>
      </c>
      <c r="U102" s="237" t="s">
        <v>284</v>
      </c>
      <c r="V102" s="237" t="s">
        <v>284</v>
      </c>
      <c r="W102" s="237" t="s">
        <v>284</v>
      </c>
      <c r="X102" s="237" t="s">
        <v>284</v>
      </c>
      <c r="Y102" s="237" t="s">
        <v>284</v>
      </c>
      <c r="Z102" s="237" t="s">
        <v>284</v>
      </c>
      <c r="AA102" s="237" t="s">
        <v>284</v>
      </c>
      <c r="AB102" s="237" t="s">
        <v>284</v>
      </c>
      <c r="AC102" s="239" t="s">
        <v>284</v>
      </c>
      <c r="AD102" s="237" t="s">
        <v>284</v>
      </c>
      <c r="AE102" s="237" t="s">
        <v>284</v>
      </c>
      <c r="AF102" s="237" t="s">
        <v>284</v>
      </c>
      <c r="AG102" s="237" t="s">
        <v>284</v>
      </c>
      <c r="AH102" s="239" t="s">
        <v>284</v>
      </c>
      <c r="AI102" s="237" t="s">
        <v>284</v>
      </c>
      <c r="AJ102" s="237" t="s">
        <v>284</v>
      </c>
      <c r="AK102" s="237" t="s">
        <v>284</v>
      </c>
      <c r="AL102" s="237" t="s">
        <v>284</v>
      </c>
      <c r="AM102" s="237" t="s">
        <v>284</v>
      </c>
      <c r="AN102" s="237" t="s">
        <v>284</v>
      </c>
      <c r="AO102" s="237" t="s">
        <v>284</v>
      </c>
      <c r="AP102" s="237" t="s">
        <v>284</v>
      </c>
      <c r="AQ102" s="237" t="s">
        <v>284</v>
      </c>
      <c r="AR102" s="239" t="s">
        <v>284</v>
      </c>
      <c r="AS102" s="237" t="s">
        <v>284</v>
      </c>
      <c r="AT102" s="237" t="s">
        <v>284</v>
      </c>
      <c r="AU102" s="235" t="s">
        <v>284</v>
      </c>
      <c r="AV102" s="237" t="s">
        <v>284</v>
      </c>
      <c r="AW102" s="237" t="s">
        <v>284</v>
      </c>
      <c r="AX102" s="239" t="s">
        <v>284</v>
      </c>
      <c r="AY102" s="237" t="s">
        <v>284</v>
      </c>
      <c r="AZ102" s="237" t="s">
        <v>284</v>
      </c>
      <c r="BA102" s="237" t="s">
        <v>284</v>
      </c>
      <c r="BB102" s="237" t="s">
        <v>284</v>
      </c>
      <c r="BC102" s="237" t="s">
        <v>284</v>
      </c>
      <c r="BD102" s="237" t="s">
        <v>284</v>
      </c>
      <c r="BE102" s="237" t="s">
        <v>284</v>
      </c>
      <c r="BF102" s="237" t="s">
        <v>284</v>
      </c>
      <c r="BG102" s="237" t="s">
        <v>284</v>
      </c>
      <c r="BH102" s="237" t="s">
        <v>284</v>
      </c>
      <c r="BI102" s="237" t="s">
        <v>284</v>
      </c>
      <c r="BJ102" s="237" t="s">
        <v>284</v>
      </c>
      <c r="BK102" s="237" t="s">
        <v>284</v>
      </c>
      <c r="BL102" s="239" t="s">
        <v>284</v>
      </c>
      <c r="BM102" s="237" t="s">
        <v>284</v>
      </c>
      <c r="BN102" s="237" t="s">
        <v>284</v>
      </c>
      <c r="BO102" s="237" t="s">
        <v>284</v>
      </c>
      <c r="BP102" s="237" t="s">
        <v>284</v>
      </c>
      <c r="BQ102" s="237" t="s">
        <v>284</v>
      </c>
      <c r="BR102" s="237" t="s">
        <v>284</v>
      </c>
      <c r="BS102" s="237" t="s">
        <v>284</v>
      </c>
      <c r="BT102" s="237" t="s">
        <v>284</v>
      </c>
      <c r="BU102" s="237" t="s">
        <v>284</v>
      </c>
      <c r="BV102" s="237" t="s">
        <v>284</v>
      </c>
      <c r="BW102" s="235" t="s">
        <v>284</v>
      </c>
      <c r="BX102" s="236" t="s">
        <v>284</v>
      </c>
      <c r="BY102" s="237" t="s">
        <v>284</v>
      </c>
      <c r="BZ102" s="237" t="s">
        <v>284</v>
      </c>
      <c r="CA102" s="237" t="s">
        <v>284</v>
      </c>
      <c r="CB102" s="238" t="s">
        <v>284</v>
      </c>
      <c r="CC102" s="239" t="s">
        <v>284</v>
      </c>
      <c r="CD102" s="237" t="s">
        <v>284</v>
      </c>
      <c r="CE102" s="237" t="s">
        <v>284</v>
      </c>
      <c r="CF102" s="238" t="s">
        <v>284</v>
      </c>
      <c r="CG102" s="160"/>
    </row>
    <row r="103" spans="1:85">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row>
  </sheetData>
  <sheetProtection algorithmName="SHA-512" hashValue="vdgJGf/R5lKJGYGCQ2nLeSdAaDU14yzS3/KYtLHhypGOxBr2sKY5XCfx0cX2Zlflo3cAGyjf14fB2ddi+hH+kw==" saltValue="jfxh+5EHoukS140YJLnhtw==" spinCount="100000" sheet="1" objects="1" scenarios="1"/>
  <mergeCells count="28">
    <mergeCell ref="CC4:CF4"/>
    <mergeCell ref="B5:C5"/>
    <mergeCell ref="B6:C6"/>
    <mergeCell ref="B7:C7"/>
    <mergeCell ref="BN4:BO4"/>
    <mergeCell ref="BP4:BQ4"/>
    <mergeCell ref="BR4:BS4"/>
    <mergeCell ref="BT4:BU4"/>
    <mergeCell ref="BV4:BW4"/>
    <mergeCell ref="BX4:CB4"/>
    <mergeCell ref="AZ4:BA4"/>
    <mergeCell ref="BB4:BC4"/>
    <mergeCell ref="BD4:BE4"/>
    <mergeCell ref="BF4:BH4"/>
    <mergeCell ref="BI4:BK4"/>
    <mergeCell ref="BL4:BM4"/>
    <mergeCell ref="AX4:AY4"/>
    <mergeCell ref="B4:C4"/>
    <mergeCell ref="D4:H4"/>
    <mergeCell ref="I4:M4"/>
    <mergeCell ref="P4:T4"/>
    <mergeCell ref="U4:Y4"/>
    <mergeCell ref="Z4:AD4"/>
    <mergeCell ref="AE4:AI4"/>
    <mergeCell ref="AJ4:AN4"/>
    <mergeCell ref="AO4:AS4"/>
    <mergeCell ref="AT4:AU4"/>
    <mergeCell ref="AV4:AW4"/>
  </mergeCells>
  <phoneticPr fontId="6"/>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AQ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 customWidth="1"/>
    <col min="2" max="2" width="26.21875" customWidth="1"/>
    <col min="3" max="3" width="5.44140625" customWidth="1"/>
    <col min="4" max="13" width="6.44140625" customWidth="1"/>
    <col min="14" max="15" width="8.21875" customWidth="1"/>
    <col min="16" max="25" width="6.44140625" customWidth="1"/>
    <col min="26" max="33" width="10" customWidth="1"/>
    <col min="34" max="38" width="6.44140625" customWidth="1"/>
    <col min="39" max="42" width="9.44140625" customWidth="1"/>
  </cols>
  <sheetData>
    <row r="1" spans="1:43" ht="14.4">
      <c r="A1" s="167" t="s">
        <v>691</v>
      </c>
    </row>
    <row r="3" spans="1:43"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row>
    <row r="4" spans="1:43" ht="40.5" customHeight="1">
      <c r="A4" s="160"/>
      <c r="B4" s="297" t="s">
        <v>553</v>
      </c>
      <c r="C4" s="298"/>
      <c r="D4" s="299" t="s">
        <v>554</v>
      </c>
      <c r="E4" s="315"/>
      <c r="F4" s="315"/>
      <c r="G4" s="315"/>
      <c r="H4" s="316"/>
      <c r="I4" s="302" t="s">
        <v>555</v>
      </c>
      <c r="J4" s="300"/>
      <c r="K4" s="300"/>
      <c r="L4" s="300"/>
      <c r="M4" s="301"/>
      <c r="N4" s="169" t="s">
        <v>556</v>
      </c>
      <c r="O4" s="170" t="s">
        <v>557</v>
      </c>
      <c r="P4" s="317" t="s">
        <v>692</v>
      </c>
      <c r="Q4" s="304"/>
      <c r="R4" s="304"/>
      <c r="S4" s="304"/>
      <c r="T4" s="296"/>
      <c r="U4" s="295" t="s">
        <v>693</v>
      </c>
      <c r="V4" s="304"/>
      <c r="W4" s="304"/>
      <c r="X4" s="304"/>
      <c r="Y4" s="296"/>
      <c r="Z4" s="295" t="s">
        <v>694</v>
      </c>
      <c r="AA4" s="296"/>
      <c r="AB4" s="295" t="s">
        <v>695</v>
      </c>
      <c r="AC4" s="296"/>
      <c r="AD4" s="295" t="s">
        <v>696</v>
      </c>
      <c r="AE4" s="296"/>
      <c r="AF4" s="295" t="s">
        <v>697</v>
      </c>
      <c r="AG4" s="318"/>
      <c r="AH4" s="312" t="s">
        <v>407</v>
      </c>
      <c r="AI4" s="313"/>
      <c r="AJ4" s="313"/>
      <c r="AK4" s="313"/>
      <c r="AL4" s="314"/>
      <c r="AM4" s="305" t="s">
        <v>362</v>
      </c>
      <c r="AN4" s="306"/>
      <c r="AO4" s="306"/>
      <c r="AP4" s="307"/>
      <c r="AQ4" s="160"/>
    </row>
    <row r="5" spans="1:43">
      <c r="A5" s="160"/>
      <c r="B5" s="308" t="s">
        <v>578</v>
      </c>
      <c r="C5" s="309"/>
      <c r="D5" s="171" t="s">
        <v>266</v>
      </c>
      <c r="E5" s="172" t="s">
        <v>267</v>
      </c>
      <c r="F5" s="172" t="s">
        <v>268</v>
      </c>
      <c r="G5" s="172" t="s">
        <v>269</v>
      </c>
      <c r="H5" s="172" t="s">
        <v>270</v>
      </c>
      <c r="I5" s="172" t="s">
        <v>271</v>
      </c>
      <c r="J5" s="172" t="s">
        <v>272</v>
      </c>
      <c r="K5" s="172" t="s">
        <v>273</v>
      </c>
      <c r="L5" s="172" t="s">
        <v>274</v>
      </c>
      <c r="M5" s="172" t="s">
        <v>275</v>
      </c>
      <c r="N5" s="172" t="s">
        <v>276</v>
      </c>
      <c r="O5" s="173" t="s">
        <v>277</v>
      </c>
      <c r="P5" s="240" t="s">
        <v>328</v>
      </c>
      <c r="Q5" s="175" t="s">
        <v>329</v>
      </c>
      <c r="R5" s="175" t="s">
        <v>330</v>
      </c>
      <c r="S5" s="175" t="s">
        <v>331</v>
      </c>
      <c r="T5" s="175" t="s">
        <v>332</v>
      </c>
      <c r="U5" s="175" t="s">
        <v>333</v>
      </c>
      <c r="V5" s="175" t="s">
        <v>334</v>
      </c>
      <c r="W5" s="175" t="s">
        <v>335</v>
      </c>
      <c r="X5" s="175" t="s">
        <v>336</v>
      </c>
      <c r="Y5" s="175" t="s">
        <v>337</v>
      </c>
      <c r="Z5" s="175" t="s">
        <v>338</v>
      </c>
      <c r="AA5" s="175" t="s">
        <v>339</v>
      </c>
      <c r="AB5" s="175" t="s">
        <v>340</v>
      </c>
      <c r="AC5" s="175" t="s">
        <v>341</v>
      </c>
      <c r="AD5" s="175" t="s">
        <v>698</v>
      </c>
      <c r="AE5" s="175" t="s">
        <v>699</v>
      </c>
      <c r="AF5" s="175" t="s">
        <v>700</v>
      </c>
      <c r="AG5" s="241" t="s">
        <v>701</v>
      </c>
      <c r="AH5" s="177" t="s">
        <v>408</v>
      </c>
      <c r="AI5" s="178" t="s">
        <v>409</v>
      </c>
      <c r="AJ5" s="178" t="s">
        <v>410</v>
      </c>
      <c r="AK5" s="178" t="s">
        <v>411</v>
      </c>
      <c r="AL5" s="179" t="s">
        <v>412</v>
      </c>
      <c r="AM5" s="180" t="s">
        <v>278</v>
      </c>
      <c r="AN5" s="181" t="s">
        <v>342</v>
      </c>
      <c r="AO5" s="181" t="s">
        <v>279</v>
      </c>
      <c r="AP5" s="182" t="s">
        <v>413</v>
      </c>
      <c r="AQ5" s="160"/>
    </row>
    <row r="6" spans="1:43">
      <c r="A6" s="160"/>
      <c r="B6" s="308" t="s">
        <v>745</v>
      </c>
      <c r="C6" s="309"/>
      <c r="D6" s="171" t="s">
        <v>597</v>
      </c>
      <c r="E6" s="172" t="s">
        <v>598</v>
      </c>
      <c r="F6" s="172" t="s">
        <v>599</v>
      </c>
      <c r="G6" s="172" t="s">
        <v>600</v>
      </c>
      <c r="H6" s="172" t="s">
        <v>601</v>
      </c>
      <c r="I6" s="172" t="s">
        <v>602</v>
      </c>
      <c r="J6" s="172" t="s">
        <v>603</v>
      </c>
      <c r="K6" s="172" t="s">
        <v>604</v>
      </c>
      <c r="L6" s="172" t="s">
        <v>605</v>
      </c>
      <c r="M6" s="172" t="s">
        <v>606</v>
      </c>
      <c r="N6" s="172" t="s">
        <v>607</v>
      </c>
      <c r="O6" s="173" t="s">
        <v>608</v>
      </c>
      <c r="P6" s="240" t="s">
        <v>702</v>
      </c>
      <c r="Q6" s="175" t="s">
        <v>703</v>
      </c>
      <c r="R6" s="175" t="s">
        <v>704</v>
      </c>
      <c r="S6" s="175" t="s">
        <v>705</v>
      </c>
      <c r="T6" s="175" t="s">
        <v>706</v>
      </c>
      <c r="U6" s="175" t="s">
        <v>707</v>
      </c>
      <c r="V6" s="175" t="s">
        <v>708</v>
      </c>
      <c r="W6" s="175" t="s">
        <v>709</v>
      </c>
      <c r="X6" s="175" t="s">
        <v>710</v>
      </c>
      <c r="Y6" s="175" t="s">
        <v>711</v>
      </c>
      <c r="Z6" s="175" t="s">
        <v>712</v>
      </c>
      <c r="AA6" s="175" t="s">
        <v>713</v>
      </c>
      <c r="AB6" s="175" t="s">
        <v>714</v>
      </c>
      <c r="AC6" s="175" t="s">
        <v>715</v>
      </c>
      <c r="AD6" s="175" t="s">
        <v>716</v>
      </c>
      <c r="AE6" s="175" t="s">
        <v>717</v>
      </c>
      <c r="AF6" s="175" t="s">
        <v>718</v>
      </c>
      <c r="AG6" s="241" t="s">
        <v>719</v>
      </c>
      <c r="AH6" s="177" t="s">
        <v>669</v>
      </c>
      <c r="AI6" s="178" t="s">
        <v>670</v>
      </c>
      <c r="AJ6" s="178" t="s">
        <v>671</v>
      </c>
      <c r="AK6" s="178" t="s">
        <v>672</v>
      </c>
      <c r="AL6" s="179" t="s">
        <v>673</v>
      </c>
      <c r="AM6" s="180" t="s">
        <v>674</v>
      </c>
      <c r="AN6" s="181" t="s">
        <v>343</v>
      </c>
      <c r="AO6" s="181" t="s">
        <v>675</v>
      </c>
      <c r="AP6" s="182" t="s">
        <v>414</v>
      </c>
      <c r="AQ6" s="160"/>
    </row>
    <row r="7" spans="1:43" ht="13.8" thickBot="1">
      <c r="A7" s="160"/>
      <c r="B7" s="310" t="s">
        <v>676</v>
      </c>
      <c r="C7" s="311"/>
      <c r="D7" s="242" t="s">
        <v>720</v>
      </c>
      <c r="E7" s="243" t="s">
        <v>721</v>
      </c>
      <c r="F7" s="243" t="s">
        <v>722</v>
      </c>
      <c r="G7" s="243" t="s">
        <v>723</v>
      </c>
      <c r="H7" s="243" t="s">
        <v>724</v>
      </c>
      <c r="I7" s="243" t="s">
        <v>720</v>
      </c>
      <c r="J7" s="243" t="s">
        <v>721</v>
      </c>
      <c r="K7" s="243" t="s">
        <v>722</v>
      </c>
      <c r="L7" s="243" t="s">
        <v>723</v>
      </c>
      <c r="M7" s="243" t="s">
        <v>724</v>
      </c>
      <c r="N7" s="184" t="s">
        <v>681</v>
      </c>
      <c r="O7" s="185" t="s">
        <v>281</v>
      </c>
      <c r="P7" s="244" t="s">
        <v>720</v>
      </c>
      <c r="Q7" s="245" t="s">
        <v>721</v>
      </c>
      <c r="R7" s="245" t="s">
        <v>722</v>
      </c>
      <c r="S7" s="245" t="s">
        <v>723</v>
      </c>
      <c r="T7" s="245" t="s">
        <v>724</v>
      </c>
      <c r="U7" s="245" t="s">
        <v>720</v>
      </c>
      <c r="V7" s="245" t="s">
        <v>721</v>
      </c>
      <c r="W7" s="245" t="s">
        <v>722</v>
      </c>
      <c r="X7" s="245" t="s">
        <v>723</v>
      </c>
      <c r="Y7" s="245" t="s">
        <v>724</v>
      </c>
      <c r="Z7" s="245" t="s">
        <v>723</v>
      </c>
      <c r="AA7" s="245" t="s">
        <v>724</v>
      </c>
      <c r="AB7" s="245" t="s">
        <v>723</v>
      </c>
      <c r="AC7" s="245" t="s">
        <v>724</v>
      </c>
      <c r="AD7" s="245" t="s">
        <v>723</v>
      </c>
      <c r="AE7" s="245" t="s">
        <v>724</v>
      </c>
      <c r="AF7" s="245" t="s">
        <v>723</v>
      </c>
      <c r="AG7" s="246" t="s">
        <v>724</v>
      </c>
      <c r="AH7" s="189" t="s">
        <v>677</v>
      </c>
      <c r="AI7" s="190" t="s">
        <v>678</v>
      </c>
      <c r="AJ7" s="190" t="s">
        <v>679</v>
      </c>
      <c r="AK7" s="190" t="s">
        <v>680</v>
      </c>
      <c r="AL7" s="191" t="s">
        <v>280</v>
      </c>
      <c r="AM7" s="192" t="s">
        <v>682</v>
      </c>
      <c r="AN7" s="193" t="s">
        <v>683</v>
      </c>
      <c r="AO7" s="193" t="s">
        <v>282</v>
      </c>
      <c r="AP7" s="194" t="s">
        <v>684</v>
      </c>
      <c r="AQ7" s="160"/>
    </row>
    <row r="8" spans="1:43">
      <c r="A8" s="160"/>
      <c r="B8" s="195" t="s">
        <v>685</v>
      </c>
      <c r="C8" s="196" t="s">
        <v>283</v>
      </c>
      <c r="D8" s="197"/>
      <c r="E8" s="198"/>
      <c r="F8" s="198"/>
      <c r="G8" s="198"/>
      <c r="H8" s="198"/>
      <c r="I8" s="198"/>
      <c r="J8" s="198"/>
      <c r="K8" s="198"/>
      <c r="L8" s="198"/>
      <c r="M8" s="198"/>
      <c r="N8" s="198"/>
      <c r="O8" s="199" t="s">
        <v>284</v>
      </c>
      <c r="P8" s="197"/>
      <c r="Q8" s="198"/>
      <c r="R8" s="198"/>
      <c r="S8" s="198"/>
      <c r="T8" s="198"/>
      <c r="U8" s="198"/>
      <c r="V8" s="198"/>
      <c r="W8" s="198"/>
      <c r="X8" s="198"/>
      <c r="Y8" s="198"/>
      <c r="Z8" s="198"/>
      <c r="AA8" s="198"/>
      <c r="AB8" s="198"/>
      <c r="AC8" s="198"/>
      <c r="AD8" s="198"/>
      <c r="AE8" s="198"/>
      <c r="AF8" s="198"/>
      <c r="AG8" s="199"/>
      <c r="AH8" s="197"/>
      <c r="AI8" s="198"/>
      <c r="AJ8" s="198"/>
      <c r="AK8" s="198"/>
      <c r="AL8" s="199"/>
      <c r="AM8" s="200"/>
      <c r="AN8" s="198"/>
      <c r="AO8" s="198"/>
      <c r="AP8" s="199"/>
      <c r="AQ8" s="160"/>
    </row>
    <row r="9" spans="1:43">
      <c r="A9" s="160"/>
      <c r="B9" s="202"/>
      <c r="C9" s="203" t="s">
        <v>239</v>
      </c>
      <c r="D9" s="204"/>
      <c r="E9" s="205"/>
      <c r="F9" s="205"/>
      <c r="G9" s="205"/>
      <c r="H9" s="205"/>
      <c r="I9" s="205"/>
      <c r="J9" s="205"/>
      <c r="K9" s="205"/>
      <c r="L9" s="205"/>
      <c r="M9" s="205"/>
      <c r="N9" s="205"/>
      <c r="O9" s="206"/>
      <c r="P9" s="204"/>
      <c r="Q9" s="205"/>
      <c r="R9" s="205"/>
      <c r="S9" s="205"/>
      <c r="T9" s="205"/>
      <c r="U9" s="205"/>
      <c r="V9" s="205"/>
      <c r="W9" s="205"/>
      <c r="X9" s="205"/>
      <c r="Y9" s="205"/>
      <c r="Z9" s="205"/>
      <c r="AA9" s="205"/>
      <c r="AB9" s="205"/>
      <c r="AC9" s="205"/>
      <c r="AD9" s="205"/>
      <c r="AE9" s="205"/>
      <c r="AF9" s="205"/>
      <c r="AG9" s="206"/>
      <c r="AH9" s="204"/>
      <c r="AI9" s="205"/>
      <c r="AJ9" s="205"/>
      <c r="AK9" s="205"/>
      <c r="AL9" s="206"/>
      <c r="AM9" s="207" t="s">
        <v>284</v>
      </c>
      <c r="AN9" s="205"/>
      <c r="AO9" s="205" t="s">
        <v>284</v>
      </c>
      <c r="AP9" s="206"/>
      <c r="AQ9" s="160"/>
    </row>
    <row r="10" spans="1:43">
      <c r="A10" s="160"/>
      <c r="B10" s="202"/>
      <c r="C10" s="203" t="s">
        <v>285</v>
      </c>
      <c r="D10" s="204"/>
      <c r="E10" s="205"/>
      <c r="F10" s="205"/>
      <c r="G10" s="205"/>
      <c r="H10" s="205"/>
      <c r="I10" s="205"/>
      <c r="J10" s="205"/>
      <c r="K10" s="205"/>
      <c r="L10" s="205"/>
      <c r="M10" s="205"/>
      <c r="N10" s="205"/>
      <c r="O10" s="206" t="s">
        <v>284</v>
      </c>
      <c r="P10" s="204"/>
      <c r="Q10" s="205"/>
      <c r="R10" s="205"/>
      <c r="S10" s="205"/>
      <c r="T10" s="205"/>
      <c r="U10" s="205"/>
      <c r="V10" s="205"/>
      <c r="W10" s="205"/>
      <c r="X10" s="205"/>
      <c r="Y10" s="205"/>
      <c r="Z10" s="205"/>
      <c r="AA10" s="205"/>
      <c r="AB10" s="205"/>
      <c r="AC10" s="205"/>
      <c r="AD10" s="205"/>
      <c r="AE10" s="205"/>
      <c r="AF10" s="205"/>
      <c r="AG10" s="206"/>
      <c r="AH10" s="204"/>
      <c r="AI10" s="205"/>
      <c r="AJ10" s="205"/>
      <c r="AK10" s="205"/>
      <c r="AL10" s="206"/>
      <c r="AM10" s="207" t="s">
        <v>284</v>
      </c>
      <c r="AN10" s="205"/>
      <c r="AO10" s="205" t="s">
        <v>284</v>
      </c>
      <c r="AP10" s="206"/>
      <c r="AQ10" s="160"/>
    </row>
    <row r="11" spans="1:43">
      <c r="A11" s="160"/>
      <c r="B11" s="202"/>
      <c r="C11" s="203" t="s">
        <v>286</v>
      </c>
      <c r="D11" s="204"/>
      <c r="E11" s="205"/>
      <c r="F11" s="205"/>
      <c r="G11" s="205"/>
      <c r="H11" s="205"/>
      <c r="I11" s="205"/>
      <c r="J11" s="205"/>
      <c r="K11" s="205"/>
      <c r="L11" s="205"/>
      <c r="M11" s="205"/>
      <c r="N11" s="205" t="s">
        <v>284</v>
      </c>
      <c r="O11" s="206"/>
      <c r="P11" s="204"/>
      <c r="Q11" s="205"/>
      <c r="R11" s="205"/>
      <c r="S11" s="205"/>
      <c r="T11" s="205"/>
      <c r="U11" s="205"/>
      <c r="V11" s="205"/>
      <c r="W11" s="205"/>
      <c r="X11" s="205"/>
      <c r="Y11" s="205"/>
      <c r="Z11" s="205"/>
      <c r="AA11" s="205"/>
      <c r="AB11" s="205"/>
      <c r="AC11" s="205"/>
      <c r="AD11" s="205"/>
      <c r="AE11" s="205"/>
      <c r="AF11" s="205"/>
      <c r="AG11" s="206"/>
      <c r="AH11" s="204"/>
      <c r="AI11" s="205"/>
      <c r="AJ11" s="205"/>
      <c r="AK11" s="205"/>
      <c r="AL11" s="206"/>
      <c r="AM11" s="207"/>
      <c r="AN11" s="205"/>
      <c r="AO11" s="205"/>
      <c r="AP11" s="206"/>
      <c r="AQ11" s="160"/>
    </row>
    <row r="12" spans="1:43">
      <c r="A12" s="160"/>
      <c r="B12" s="202"/>
      <c r="C12" s="203" t="s">
        <v>287</v>
      </c>
      <c r="D12" s="204"/>
      <c r="E12" s="205"/>
      <c r="F12" s="205"/>
      <c r="G12" s="205"/>
      <c r="H12" s="205"/>
      <c r="I12" s="205"/>
      <c r="J12" s="205"/>
      <c r="K12" s="205"/>
      <c r="L12" s="205"/>
      <c r="M12" s="205"/>
      <c r="N12" s="205" t="s">
        <v>284</v>
      </c>
      <c r="O12" s="206"/>
      <c r="P12" s="204"/>
      <c r="Q12" s="205"/>
      <c r="R12" s="205"/>
      <c r="S12" s="205"/>
      <c r="T12" s="205"/>
      <c r="U12" s="205"/>
      <c r="V12" s="205"/>
      <c r="W12" s="205"/>
      <c r="X12" s="205"/>
      <c r="Y12" s="205"/>
      <c r="Z12" s="205"/>
      <c r="AA12" s="205"/>
      <c r="AB12" s="205"/>
      <c r="AC12" s="205"/>
      <c r="AD12" s="205"/>
      <c r="AE12" s="205"/>
      <c r="AF12" s="205"/>
      <c r="AG12" s="206"/>
      <c r="AH12" s="204"/>
      <c r="AI12" s="205"/>
      <c r="AJ12" s="205"/>
      <c r="AK12" s="205"/>
      <c r="AL12" s="206"/>
      <c r="AM12" s="207"/>
      <c r="AN12" s="205"/>
      <c r="AO12" s="205"/>
      <c r="AP12" s="206"/>
      <c r="AQ12" s="160"/>
    </row>
    <row r="13" spans="1:43">
      <c r="A13" s="160"/>
      <c r="B13" s="202"/>
      <c r="C13" s="203" t="s">
        <v>288</v>
      </c>
      <c r="D13" s="204"/>
      <c r="E13" s="205"/>
      <c r="F13" s="205"/>
      <c r="G13" s="205"/>
      <c r="H13" s="205"/>
      <c r="I13" s="205"/>
      <c r="J13" s="205"/>
      <c r="K13" s="205"/>
      <c r="L13" s="205"/>
      <c r="M13" s="205"/>
      <c r="N13" s="205" t="s">
        <v>284</v>
      </c>
      <c r="O13" s="206" t="s">
        <v>284</v>
      </c>
      <c r="P13" s="204"/>
      <c r="Q13" s="205"/>
      <c r="R13" s="205"/>
      <c r="S13" s="205"/>
      <c r="T13" s="205"/>
      <c r="U13" s="205"/>
      <c r="V13" s="205"/>
      <c r="W13" s="205"/>
      <c r="X13" s="205"/>
      <c r="Y13" s="205"/>
      <c r="Z13" s="205"/>
      <c r="AA13" s="205"/>
      <c r="AB13" s="205"/>
      <c r="AC13" s="205"/>
      <c r="AD13" s="205"/>
      <c r="AE13" s="205"/>
      <c r="AF13" s="205"/>
      <c r="AG13" s="206"/>
      <c r="AH13" s="204"/>
      <c r="AI13" s="205"/>
      <c r="AJ13" s="205"/>
      <c r="AK13" s="205"/>
      <c r="AL13" s="206"/>
      <c r="AM13" s="207"/>
      <c r="AN13" s="205"/>
      <c r="AO13" s="205"/>
      <c r="AP13" s="206"/>
      <c r="AQ13" s="160"/>
    </row>
    <row r="14" spans="1:43">
      <c r="A14" s="160"/>
      <c r="B14" s="202"/>
      <c r="C14" s="203" t="s">
        <v>289</v>
      </c>
      <c r="D14" s="204"/>
      <c r="E14" s="205"/>
      <c r="F14" s="205"/>
      <c r="G14" s="205"/>
      <c r="H14" s="205"/>
      <c r="I14" s="205"/>
      <c r="J14" s="205"/>
      <c r="K14" s="205"/>
      <c r="L14" s="205"/>
      <c r="M14" s="205"/>
      <c r="N14" s="205" t="s">
        <v>284</v>
      </c>
      <c r="O14" s="206" t="s">
        <v>284</v>
      </c>
      <c r="P14" s="204"/>
      <c r="Q14" s="205"/>
      <c r="R14" s="205"/>
      <c r="S14" s="205"/>
      <c r="T14" s="205"/>
      <c r="U14" s="205"/>
      <c r="V14" s="205"/>
      <c r="W14" s="205"/>
      <c r="X14" s="205"/>
      <c r="Y14" s="205"/>
      <c r="Z14" s="205"/>
      <c r="AA14" s="205"/>
      <c r="AB14" s="205"/>
      <c r="AC14" s="205"/>
      <c r="AD14" s="205"/>
      <c r="AE14" s="205"/>
      <c r="AF14" s="205"/>
      <c r="AG14" s="206"/>
      <c r="AH14" s="204"/>
      <c r="AI14" s="205"/>
      <c r="AJ14" s="205"/>
      <c r="AK14" s="205"/>
      <c r="AL14" s="206"/>
      <c r="AM14" s="207"/>
      <c r="AN14" s="205"/>
      <c r="AO14" s="205"/>
      <c r="AP14" s="206"/>
      <c r="AQ14" s="160"/>
    </row>
    <row r="15" spans="1:43">
      <c r="A15" s="160"/>
      <c r="B15" s="202"/>
      <c r="C15" s="203" t="s">
        <v>290</v>
      </c>
      <c r="D15" s="204"/>
      <c r="E15" s="205"/>
      <c r="F15" s="205"/>
      <c r="G15" s="205"/>
      <c r="H15" s="205"/>
      <c r="I15" s="205"/>
      <c r="J15" s="205"/>
      <c r="K15" s="205"/>
      <c r="L15" s="205"/>
      <c r="M15" s="205"/>
      <c r="N15" s="205" t="s">
        <v>284</v>
      </c>
      <c r="O15" s="206"/>
      <c r="P15" s="204"/>
      <c r="Q15" s="205"/>
      <c r="R15" s="205"/>
      <c r="S15" s="205"/>
      <c r="T15" s="205"/>
      <c r="U15" s="205"/>
      <c r="V15" s="205"/>
      <c r="W15" s="205"/>
      <c r="X15" s="205"/>
      <c r="Y15" s="205"/>
      <c r="Z15" s="205"/>
      <c r="AA15" s="205"/>
      <c r="AB15" s="205"/>
      <c r="AC15" s="205"/>
      <c r="AD15" s="205"/>
      <c r="AE15" s="205"/>
      <c r="AF15" s="205"/>
      <c r="AG15" s="206"/>
      <c r="AH15" s="204"/>
      <c r="AI15" s="205"/>
      <c r="AJ15" s="205"/>
      <c r="AK15" s="205"/>
      <c r="AL15" s="206"/>
      <c r="AM15" s="207" t="s">
        <v>284</v>
      </c>
      <c r="AN15" s="205"/>
      <c r="AO15" s="205" t="s">
        <v>284</v>
      </c>
      <c r="AP15" s="206"/>
      <c r="AQ15" s="160"/>
    </row>
    <row r="16" spans="1:43">
      <c r="A16" s="160"/>
      <c r="B16" s="202"/>
      <c r="C16" s="203" t="s">
        <v>291</v>
      </c>
      <c r="D16" s="204"/>
      <c r="E16" s="205"/>
      <c r="F16" s="205"/>
      <c r="G16" s="205"/>
      <c r="H16" s="205"/>
      <c r="I16" s="205"/>
      <c r="J16" s="205"/>
      <c r="K16" s="205"/>
      <c r="L16" s="205"/>
      <c r="M16" s="205"/>
      <c r="N16" s="205" t="s">
        <v>284</v>
      </c>
      <c r="O16" s="206"/>
      <c r="P16" s="204"/>
      <c r="Q16" s="205"/>
      <c r="R16" s="205"/>
      <c r="S16" s="205"/>
      <c r="T16" s="205"/>
      <c r="U16" s="205"/>
      <c r="V16" s="205"/>
      <c r="W16" s="205"/>
      <c r="X16" s="205"/>
      <c r="Y16" s="205"/>
      <c r="Z16" s="205"/>
      <c r="AA16" s="205"/>
      <c r="AB16" s="205"/>
      <c r="AC16" s="205"/>
      <c r="AD16" s="205"/>
      <c r="AE16" s="205"/>
      <c r="AF16" s="205"/>
      <c r="AG16" s="206"/>
      <c r="AH16" s="204"/>
      <c r="AI16" s="205"/>
      <c r="AJ16" s="205"/>
      <c r="AK16" s="205"/>
      <c r="AL16" s="206"/>
      <c r="AM16" s="207" t="s">
        <v>284</v>
      </c>
      <c r="AN16" s="205"/>
      <c r="AO16" s="205" t="s">
        <v>284</v>
      </c>
      <c r="AP16" s="206"/>
      <c r="AQ16" s="160"/>
    </row>
    <row r="17" spans="1:43">
      <c r="A17" s="160"/>
      <c r="B17" s="202"/>
      <c r="C17" s="203" t="s">
        <v>292</v>
      </c>
      <c r="D17" s="204"/>
      <c r="E17" s="205"/>
      <c r="F17" s="205"/>
      <c r="G17" s="205"/>
      <c r="H17" s="205"/>
      <c r="I17" s="205"/>
      <c r="J17" s="205"/>
      <c r="K17" s="205"/>
      <c r="L17" s="205"/>
      <c r="M17" s="205"/>
      <c r="N17" s="205" t="s">
        <v>284</v>
      </c>
      <c r="O17" s="206" t="s">
        <v>284</v>
      </c>
      <c r="P17" s="204"/>
      <c r="Q17" s="205"/>
      <c r="R17" s="205"/>
      <c r="S17" s="205"/>
      <c r="T17" s="205"/>
      <c r="U17" s="205"/>
      <c r="V17" s="205"/>
      <c r="W17" s="205"/>
      <c r="X17" s="205"/>
      <c r="Y17" s="205"/>
      <c r="Z17" s="205"/>
      <c r="AA17" s="205"/>
      <c r="AB17" s="205"/>
      <c r="AC17" s="205"/>
      <c r="AD17" s="205"/>
      <c r="AE17" s="205"/>
      <c r="AF17" s="205"/>
      <c r="AG17" s="206"/>
      <c r="AH17" s="204"/>
      <c r="AI17" s="205"/>
      <c r="AJ17" s="205"/>
      <c r="AK17" s="205"/>
      <c r="AL17" s="206"/>
      <c r="AM17" s="207" t="s">
        <v>284</v>
      </c>
      <c r="AN17" s="205"/>
      <c r="AO17" s="205" t="s">
        <v>284</v>
      </c>
      <c r="AP17" s="206"/>
      <c r="AQ17" s="160"/>
    </row>
    <row r="18" spans="1:43">
      <c r="A18" s="160"/>
      <c r="B18" s="202"/>
      <c r="C18" s="203" t="s">
        <v>293</v>
      </c>
      <c r="D18" s="204"/>
      <c r="E18" s="205"/>
      <c r="F18" s="205"/>
      <c r="G18" s="205"/>
      <c r="H18" s="205"/>
      <c r="I18" s="205"/>
      <c r="J18" s="205"/>
      <c r="K18" s="205"/>
      <c r="L18" s="205"/>
      <c r="M18" s="205"/>
      <c r="N18" s="205" t="s">
        <v>284</v>
      </c>
      <c r="O18" s="206" t="s">
        <v>284</v>
      </c>
      <c r="P18" s="204"/>
      <c r="Q18" s="205"/>
      <c r="R18" s="205"/>
      <c r="S18" s="205"/>
      <c r="T18" s="205"/>
      <c r="U18" s="205"/>
      <c r="V18" s="205"/>
      <c r="W18" s="205"/>
      <c r="X18" s="205"/>
      <c r="Y18" s="205"/>
      <c r="Z18" s="205"/>
      <c r="AA18" s="205"/>
      <c r="AB18" s="205"/>
      <c r="AC18" s="205"/>
      <c r="AD18" s="205"/>
      <c r="AE18" s="205"/>
      <c r="AF18" s="205"/>
      <c r="AG18" s="206"/>
      <c r="AH18" s="204"/>
      <c r="AI18" s="205"/>
      <c r="AJ18" s="205"/>
      <c r="AK18" s="205"/>
      <c r="AL18" s="206"/>
      <c r="AM18" s="207" t="s">
        <v>284</v>
      </c>
      <c r="AN18" s="205"/>
      <c r="AO18" s="205" t="s">
        <v>284</v>
      </c>
      <c r="AP18" s="206"/>
      <c r="AQ18" s="160"/>
    </row>
    <row r="19" spans="1:43">
      <c r="A19" s="160"/>
      <c r="B19" s="202"/>
      <c r="C19" s="203" t="s">
        <v>243</v>
      </c>
      <c r="D19" s="204"/>
      <c r="E19" s="205"/>
      <c r="F19" s="205"/>
      <c r="G19" s="205"/>
      <c r="H19" s="205"/>
      <c r="I19" s="205"/>
      <c r="J19" s="205" t="s">
        <v>284</v>
      </c>
      <c r="K19" s="205" t="s">
        <v>284</v>
      </c>
      <c r="L19" s="205" t="s">
        <v>284</v>
      </c>
      <c r="M19" s="205" t="s">
        <v>284</v>
      </c>
      <c r="N19" s="205"/>
      <c r="O19" s="206"/>
      <c r="P19" s="204"/>
      <c r="Q19" s="205"/>
      <c r="R19" s="205"/>
      <c r="S19" s="205"/>
      <c r="T19" s="205"/>
      <c r="U19" s="205"/>
      <c r="V19" s="205"/>
      <c r="W19" s="205"/>
      <c r="X19" s="205"/>
      <c r="Y19" s="205"/>
      <c r="Z19" s="205"/>
      <c r="AA19" s="205"/>
      <c r="AB19" s="205"/>
      <c r="AC19" s="205"/>
      <c r="AD19" s="205"/>
      <c r="AE19" s="205"/>
      <c r="AF19" s="205"/>
      <c r="AG19" s="206"/>
      <c r="AH19" s="204"/>
      <c r="AI19" s="205"/>
      <c r="AJ19" s="205"/>
      <c r="AK19" s="205"/>
      <c r="AL19" s="206"/>
      <c r="AM19" s="207"/>
      <c r="AN19" s="205"/>
      <c r="AO19" s="205"/>
      <c r="AP19" s="206"/>
      <c r="AQ19" s="160"/>
    </row>
    <row r="20" spans="1:43">
      <c r="A20" s="160"/>
      <c r="B20" s="202"/>
      <c r="C20" s="203" t="s">
        <v>249</v>
      </c>
      <c r="D20" s="204"/>
      <c r="E20" s="205"/>
      <c r="F20" s="205"/>
      <c r="G20" s="205"/>
      <c r="H20" s="205"/>
      <c r="I20" s="205"/>
      <c r="J20" s="205" t="s">
        <v>284</v>
      </c>
      <c r="K20" s="205" t="s">
        <v>284</v>
      </c>
      <c r="L20" s="205" t="s">
        <v>284</v>
      </c>
      <c r="M20" s="205" t="s">
        <v>284</v>
      </c>
      <c r="N20" s="205"/>
      <c r="O20" s="206"/>
      <c r="P20" s="204"/>
      <c r="Q20" s="205"/>
      <c r="R20" s="205"/>
      <c r="S20" s="205"/>
      <c r="T20" s="205"/>
      <c r="U20" s="205"/>
      <c r="V20" s="205"/>
      <c r="W20" s="205"/>
      <c r="X20" s="205"/>
      <c r="Y20" s="205"/>
      <c r="Z20" s="205"/>
      <c r="AA20" s="205"/>
      <c r="AB20" s="205"/>
      <c r="AC20" s="205"/>
      <c r="AD20" s="205"/>
      <c r="AE20" s="205"/>
      <c r="AF20" s="205"/>
      <c r="AG20" s="206"/>
      <c r="AH20" s="204"/>
      <c r="AI20" s="205"/>
      <c r="AJ20" s="205"/>
      <c r="AK20" s="205"/>
      <c r="AL20" s="206"/>
      <c r="AM20" s="207" t="s">
        <v>284</v>
      </c>
      <c r="AN20" s="205"/>
      <c r="AO20" s="205"/>
      <c r="AP20" s="206"/>
      <c r="AQ20" s="160"/>
    </row>
    <row r="21" spans="1:43">
      <c r="A21" s="160"/>
      <c r="B21" s="202"/>
      <c r="C21" s="203" t="s">
        <v>294</v>
      </c>
      <c r="D21" s="204"/>
      <c r="E21" s="205"/>
      <c r="F21" s="205"/>
      <c r="G21" s="205"/>
      <c r="H21" s="205"/>
      <c r="I21" s="205"/>
      <c r="J21" s="205" t="s">
        <v>284</v>
      </c>
      <c r="K21" s="205" t="s">
        <v>284</v>
      </c>
      <c r="L21" s="205" t="s">
        <v>284</v>
      </c>
      <c r="M21" s="205" t="s">
        <v>284</v>
      </c>
      <c r="N21" s="205"/>
      <c r="O21" s="206" t="s">
        <v>284</v>
      </c>
      <c r="P21" s="204"/>
      <c r="Q21" s="205"/>
      <c r="R21" s="205"/>
      <c r="S21" s="205"/>
      <c r="T21" s="205"/>
      <c r="U21" s="205"/>
      <c r="V21" s="205"/>
      <c r="W21" s="205"/>
      <c r="X21" s="205"/>
      <c r="Y21" s="205"/>
      <c r="Z21" s="205"/>
      <c r="AA21" s="205"/>
      <c r="AB21" s="205"/>
      <c r="AC21" s="205"/>
      <c r="AD21" s="205"/>
      <c r="AE21" s="205"/>
      <c r="AF21" s="205"/>
      <c r="AG21" s="206"/>
      <c r="AH21" s="204"/>
      <c r="AI21" s="205"/>
      <c r="AJ21" s="205"/>
      <c r="AK21" s="205"/>
      <c r="AL21" s="206"/>
      <c r="AM21" s="207"/>
      <c r="AN21" s="205"/>
      <c r="AO21" s="205"/>
      <c r="AP21" s="206"/>
      <c r="AQ21" s="160"/>
    </row>
    <row r="22" spans="1:43">
      <c r="A22" s="160"/>
      <c r="B22" s="202"/>
      <c r="C22" s="203" t="s">
        <v>241</v>
      </c>
      <c r="D22" s="204"/>
      <c r="E22" s="205"/>
      <c r="F22" s="205"/>
      <c r="G22" s="205"/>
      <c r="H22" s="205"/>
      <c r="I22" s="205"/>
      <c r="J22" s="205" t="s">
        <v>284</v>
      </c>
      <c r="K22" s="205" t="s">
        <v>284</v>
      </c>
      <c r="L22" s="205" t="s">
        <v>284</v>
      </c>
      <c r="M22" s="205" t="s">
        <v>284</v>
      </c>
      <c r="N22" s="205"/>
      <c r="O22" s="206" t="s">
        <v>284</v>
      </c>
      <c r="P22" s="204"/>
      <c r="Q22" s="205"/>
      <c r="R22" s="205"/>
      <c r="S22" s="205"/>
      <c r="T22" s="205"/>
      <c r="U22" s="205"/>
      <c r="V22" s="205"/>
      <c r="W22" s="205"/>
      <c r="X22" s="205"/>
      <c r="Y22" s="205"/>
      <c r="Z22" s="205"/>
      <c r="AA22" s="205"/>
      <c r="AB22" s="205"/>
      <c r="AC22" s="205"/>
      <c r="AD22" s="205"/>
      <c r="AE22" s="205"/>
      <c r="AF22" s="205"/>
      <c r="AG22" s="206"/>
      <c r="AH22" s="204"/>
      <c r="AI22" s="205"/>
      <c r="AJ22" s="205"/>
      <c r="AK22" s="205"/>
      <c r="AL22" s="206"/>
      <c r="AM22" s="207" t="s">
        <v>284</v>
      </c>
      <c r="AN22" s="205"/>
      <c r="AO22" s="205"/>
      <c r="AP22" s="206"/>
      <c r="AQ22" s="160"/>
    </row>
    <row r="23" spans="1:43">
      <c r="A23" s="160"/>
      <c r="B23" s="202"/>
      <c r="C23" s="203" t="s">
        <v>295</v>
      </c>
      <c r="D23" s="204"/>
      <c r="E23" s="205"/>
      <c r="F23" s="205"/>
      <c r="G23" s="205"/>
      <c r="H23" s="205"/>
      <c r="I23" s="205"/>
      <c r="J23" s="205" t="s">
        <v>284</v>
      </c>
      <c r="K23" s="205" t="s">
        <v>284</v>
      </c>
      <c r="L23" s="205" t="s">
        <v>284</v>
      </c>
      <c r="M23" s="205" t="s">
        <v>284</v>
      </c>
      <c r="N23" s="205"/>
      <c r="O23" s="206"/>
      <c r="P23" s="204"/>
      <c r="Q23" s="205"/>
      <c r="R23" s="205"/>
      <c r="S23" s="205"/>
      <c r="T23" s="205"/>
      <c r="U23" s="205"/>
      <c r="V23" s="205"/>
      <c r="W23" s="205"/>
      <c r="X23" s="205"/>
      <c r="Y23" s="205"/>
      <c r="Z23" s="205"/>
      <c r="AA23" s="205"/>
      <c r="AB23" s="205"/>
      <c r="AC23" s="205"/>
      <c r="AD23" s="205"/>
      <c r="AE23" s="205"/>
      <c r="AF23" s="205"/>
      <c r="AG23" s="206"/>
      <c r="AH23" s="204"/>
      <c r="AI23" s="205"/>
      <c r="AJ23" s="205"/>
      <c r="AK23" s="205"/>
      <c r="AL23" s="206"/>
      <c r="AM23" s="207" t="s">
        <v>284</v>
      </c>
      <c r="AN23" s="205"/>
      <c r="AO23" s="205" t="s">
        <v>284</v>
      </c>
      <c r="AP23" s="206"/>
      <c r="AQ23" s="160"/>
    </row>
    <row r="24" spans="1:43">
      <c r="A24" s="160"/>
      <c r="B24" s="202"/>
      <c r="C24" s="203" t="s">
        <v>254</v>
      </c>
      <c r="D24" s="204"/>
      <c r="E24" s="205"/>
      <c r="F24" s="205"/>
      <c r="G24" s="205"/>
      <c r="H24" s="205"/>
      <c r="I24" s="205"/>
      <c r="J24" s="205" t="s">
        <v>284</v>
      </c>
      <c r="K24" s="205" t="s">
        <v>284</v>
      </c>
      <c r="L24" s="205" t="s">
        <v>284</v>
      </c>
      <c r="M24" s="205" t="s">
        <v>284</v>
      </c>
      <c r="N24" s="205"/>
      <c r="O24" s="206"/>
      <c r="P24" s="204"/>
      <c r="Q24" s="205"/>
      <c r="R24" s="205"/>
      <c r="S24" s="205"/>
      <c r="T24" s="205"/>
      <c r="U24" s="205"/>
      <c r="V24" s="205"/>
      <c r="W24" s="205"/>
      <c r="X24" s="205"/>
      <c r="Y24" s="205"/>
      <c r="Z24" s="205"/>
      <c r="AA24" s="205"/>
      <c r="AB24" s="205"/>
      <c r="AC24" s="205"/>
      <c r="AD24" s="205"/>
      <c r="AE24" s="205"/>
      <c r="AF24" s="205"/>
      <c r="AG24" s="206"/>
      <c r="AH24" s="204"/>
      <c r="AI24" s="205"/>
      <c r="AJ24" s="205"/>
      <c r="AK24" s="205"/>
      <c r="AL24" s="206"/>
      <c r="AM24" s="207" t="s">
        <v>284</v>
      </c>
      <c r="AN24" s="205"/>
      <c r="AO24" s="205" t="s">
        <v>284</v>
      </c>
      <c r="AP24" s="206"/>
      <c r="AQ24" s="160"/>
    </row>
    <row r="25" spans="1:43">
      <c r="A25" s="160"/>
      <c r="B25" s="202"/>
      <c r="C25" s="203" t="s">
        <v>257</v>
      </c>
      <c r="D25" s="204"/>
      <c r="E25" s="205"/>
      <c r="F25" s="205"/>
      <c r="G25" s="205"/>
      <c r="H25" s="205"/>
      <c r="I25" s="205"/>
      <c r="J25" s="205" t="s">
        <v>284</v>
      </c>
      <c r="K25" s="205" t="s">
        <v>284</v>
      </c>
      <c r="L25" s="205" t="s">
        <v>284</v>
      </c>
      <c r="M25" s="205" t="s">
        <v>284</v>
      </c>
      <c r="N25" s="205"/>
      <c r="O25" s="206" t="s">
        <v>284</v>
      </c>
      <c r="P25" s="204"/>
      <c r="Q25" s="205"/>
      <c r="R25" s="205"/>
      <c r="S25" s="205"/>
      <c r="T25" s="205"/>
      <c r="U25" s="205"/>
      <c r="V25" s="205"/>
      <c r="W25" s="205"/>
      <c r="X25" s="205"/>
      <c r="Y25" s="205"/>
      <c r="Z25" s="205"/>
      <c r="AA25" s="205"/>
      <c r="AB25" s="205"/>
      <c r="AC25" s="205"/>
      <c r="AD25" s="205"/>
      <c r="AE25" s="205"/>
      <c r="AF25" s="205"/>
      <c r="AG25" s="206"/>
      <c r="AH25" s="204"/>
      <c r="AI25" s="205"/>
      <c r="AJ25" s="205"/>
      <c r="AK25" s="205"/>
      <c r="AL25" s="206"/>
      <c r="AM25" s="207" t="s">
        <v>284</v>
      </c>
      <c r="AN25" s="205"/>
      <c r="AO25" s="205" t="s">
        <v>284</v>
      </c>
      <c r="AP25" s="206"/>
      <c r="AQ25" s="160"/>
    </row>
    <row r="26" spans="1:43">
      <c r="A26" s="160"/>
      <c r="B26" s="202"/>
      <c r="C26" s="203" t="s">
        <v>250</v>
      </c>
      <c r="D26" s="204"/>
      <c r="E26" s="205"/>
      <c r="F26" s="205"/>
      <c r="G26" s="205"/>
      <c r="H26" s="205"/>
      <c r="I26" s="205"/>
      <c r="J26" s="205" t="s">
        <v>284</v>
      </c>
      <c r="K26" s="205" t="s">
        <v>284</v>
      </c>
      <c r="L26" s="205" t="s">
        <v>284</v>
      </c>
      <c r="M26" s="205" t="s">
        <v>284</v>
      </c>
      <c r="N26" s="205"/>
      <c r="O26" s="206" t="s">
        <v>284</v>
      </c>
      <c r="P26" s="204"/>
      <c r="Q26" s="205"/>
      <c r="R26" s="205"/>
      <c r="S26" s="205"/>
      <c r="T26" s="205"/>
      <c r="U26" s="205"/>
      <c r="V26" s="205"/>
      <c r="W26" s="205"/>
      <c r="X26" s="205"/>
      <c r="Y26" s="205"/>
      <c r="Z26" s="205"/>
      <c r="AA26" s="205"/>
      <c r="AB26" s="205"/>
      <c r="AC26" s="205"/>
      <c r="AD26" s="205"/>
      <c r="AE26" s="205"/>
      <c r="AF26" s="205"/>
      <c r="AG26" s="206"/>
      <c r="AH26" s="204"/>
      <c r="AI26" s="205"/>
      <c r="AJ26" s="205"/>
      <c r="AK26" s="205"/>
      <c r="AL26" s="206"/>
      <c r="AM26" s="207" t="s">
        <v>284</v>
      </c>
      <c r="AN26" s="205"/>
      <c r="AO26" s="205" t="s">
        <v>284</v>
      </c>
      <c r="AP26" s="206"/>
      <c r="AQ26" s="160"/>
    </row>
    <row r="27" spans="1:43">
      <c r="A27" s="160"/>
      <c r="B27" s="202"/>
      <c r="C27" s="203" t="s">
        <v>296</v>
      </c>
      <c r="D27" s="204"/>
      <c r="E27" s="205"/>
      <c r="F27" s="205"/>
      <c r="G27" s="205"/>
      <c r="H27" s="205"/>
      <c r="I27" s="205"/>
      <c r="J27" s="205" t="s">
        <v>284</v>
      </c>
      <c r="K27" s="205" t="s">
        <v>284</v>
      </c>
      <c r="L27" s="205" t="s">
        <v>284</v>
      </c>
      <c r="M27" s="205" t="s">
        <v>284</v>
      </c>
      <c r="N27" s="205"/>
      <c r="O27" s="206" t="s">
        <v>284</v>
      </c>
      <c r="P27" s="204"/>
      <c r="Q27" s="205"/>
      <c r="R27" s="205"/>
      <c r="S27" s="205"/>
      <c r="T27" s="205"/>
      <c r="U27" s="205"/>
      <c r="V27" s="205"/>
      <c r="W27" s="205"/>
      <c r="X27" s="205"/>
      <c r="Y27" s="205"/>
      <c r="Z27" s="205"/>
      <c r="AA27" s="205"/>
      <c r="AB27" s="205"/>
      <c r="AC27" s="205"/>
      <c r="AD27" s="205"/>
      <c r="AE27" s="205"/>
      <c r="AF27" s="205"/>
      <c r="AG27" s="206"/>
      <c r="AH27" s="204"/>
      <c r="AI27" s="205"/>
      <c r="AJ27" s="205"/>
      <c r="AK27" s="205"/>
      <c r="AL27" s="206"/>
      <c r="AM27" s="207" t="s">
        <v>284</v>
      </c>
      <c r="AN27" s="205"/>
      <c r="AO27" s="205" t="s">
        <v>284</v>
      </c>
      <c r="AP27" s="206"/>
      <c r="AQ27" s="160"/>
    </row>
    <row r="28" spans="1:43">
      <c r="A28" s="160"/>
      <c r="B28" s="202"/>
      <c r="C28" s="203" t="s">
        <v>297</v>
      </c>
      <c r="D28" s="204"/>
      <c r="E28" s="205"/>
      <c r="F28" s="205"/>
      <c r="G28" s="205"/>
      <c r="H28" s="205"/>
      <c r="I28" s="205"/>
      <c r="J28" s="205" t="s">
        <v>284</v>
      </c>
      <c r="K28" s="205" t="s">
        <v>284</v>
      </c>
      <c r="L28" s="205" t="s">
        <v>284</v>
      </c>
      <c r="M28" s="205" t="s">
        <v>284</v>
      </c>
      <c r="N28" s="205" t="s">
        <v>284</v>
      </c>
      <c r="O28" s="206"/>
      <c r="P28" s="204"/>
      <c r="Q28" s="205"/>
      <c r="R28" s="205"/>
      <c r="S28" s="205"/>
      <c r="T28" s="205"/>
      <c r="U28" s="205"/>
      <c r="V28" s="205"/>
      <c r="W28" s="205"/>
      <c r="X28" s="205"/>
      <c r="Y28" s="205"/>
      <c r="Z28" s="205"/>
      <c r="AA28" s="205"/>
      <c r="AB28" s="205"/>
      <c r="AC28" s="205"/>
      <c r="AD28" s="205"/>
      <c r="AE28" s="205"/>
      <c r="AF28" s="205"/>
      <c r="AG28" s="206"/>
      <c r="AH28" s="204"/>
      <c r="AI28" s="205"/>
      <c r="AJ28" s="205"/>
      <c r="AK28" s="205"/>
      <c r="AL28" s="206"/>
      <c r="AM28" s="207"/>
      <c r="AN28" s="205"/>
      <c r="AO28" s="205"/>
      <c r="AP28" s="206"/>
      <c r="AQ28" s="160"/>
    </row>
    <row r="29" spans="1:43">
      <c r="A29" s="160"/>
      <c r="B29" s="202"/>
      <c r="C29" s="203" t="s">
        <v>258</v>
      </c>
      <c r="D29" s="204"/>
      <c r="E29" s="205"/>
      <c r="F29" s="205"/>
      <c r="G29" s="205"/>
      <c r="H29" s="205"/>
      <c r="I29" s="205"/>
      <c r="J29" s="205" t="s">
        <v>284</v>
      </c>
      <c r="K29" s="205" t="s">
        <v>284</v>
      </c>
      <c r="L29" s="205" t="s">
        <v>284</v>
      </c>
      <c r="M29" s="205" t="s">
        <v>284</v>
      </c>
      <c r="N29" s="205" t="s">
        <v>284</v>
      </c>
      <c r="O29" s="206"/>
      <c r="P29" s="204"/>
      <c r="Q29" s="205"/>
      <c r="R29" s="205"/>
      <c r="S29" s="205"/>
      <c r="T29" s="205"/>
      <c r="U29" s="205"/>
      <c r="V29" s="205"/>
      <c r="W29" s="205"/>
      <c r="X29" s="205"/>
      <c r="Y29" s="205"/>
      <c r="Z29" s="205"/>
      <c r="AA29" s="205"/>
      <c r="AB29" s="205"/>
      <c r="AC29" s="205"/>
      <c r="AD29" s="205"/>
      <c r="AE29" s="205"/>
      <c r="AF29" s="205"/>
      <c r="AG29" s="206"/>
      <c r="AH29" s="204"/>
      <c r="AI29" s="205"/>
      <c r="AJ29" s="205"/>
      <c r="AK29" s="205"/>
      <c r="AL29" s="206"/>
      <c r="AM29" s="207"/>
      <c r="AN29" s="205"/>
      <c r="AO29" s="205"/>
      <c r="AP29" s="206"/>
      <c r="AQ29" s="160"/>
    </row>
    <row r="30" spans="1:43">
      <c r="A30" s="160"/>
      <c r="B30" s="202"/>
      <c r="C30" s="203" t="s">
        <v>298</v>
      </c>
      <c r="D30" s="204"/>
      <c r="E30" s="205"/>
      <c r="F30" s="205"/>
      <c r="G30" s="205"/>
      <c r="H30" s="205"/>
      <c r="I30" s="205"/>
      <c r="J30" s="205" t="s">
        <v>284</v>
      </c>
      <c r="K30" s="205" t="s">
        <v>284</v>
      </c>
      <c r="L30" s="205" t="s">
        <v>284</v>
      </c>
      <c r="M30" s="205" t="s">
        <v>284</v>
      </c>
      <c r="N30" s="205" t="s">
        <v>284</v>
      </c>
      <c r="O30" s="206" t="s">
        <v>284</v>
      </c>
      <c r="P30" s="204"/>
      <c r="Q30" s="205"/>
      <c r="R30" s="205"/>
      <c r="S30" s="205"/>
      <c r="T30" s="205"/>
      <c r="U30" s="205"/>
      <c r="V30" s="205"/>
      <c r="W30" s="205"/>
      <c r="X30" s="205"/>
      <c r="Y30" s="205"/>
      <c r="Z30" s="205"/>
      <c r="AA30" s="205"/>
      <c r="AB30" s="205"/>
      <c r="AC30" s="205"/>
      <c r="AD30" s="205"/>
      <c r="AE30" s="205"/>
      <c r="AF30" s="205"/>
      <c r="AG30" s="206"/>
      <c r="AH30" s="204"/>
      <c r="AI30" s="205"/>
      <c r="AJ30" s="205"/>
      <c r="AK30" s="205"/>
      <c r="AL30" s="206"/>
      <c r="AM30" s="207"/>
      <c r="AN30" s="205"/>
      <c r="AO30" s="205"/>
      <c r="AP30" s="206"/>
      <c r="AQ30" s="160"/>
    </row>
    <row r="31" spans="1:43">
      <c r="A31" s="160"/>
      <c r="B31" s="202"/>
      <c r="C31" s="203" t="s">
        <v>240</v>
      </c>
      <c r="D31" s="204"/>
      <c r="E31" s="205"/>
      <c r="F31" s="205"/>
      <c r="G31" s="205"/>
      <c r="H31" s="205"/>
      <c r="I31" s="205"/>
      <c r="J31" s="205" t="s">
        <v>284</v>
      </c>
      <c r="K31" s="205" t="s">
        <v>284</v>
      </c>
      <c r="L31" s="205" t="s">
        <v>284</v>
      </c>
      <c r="M31" s="205" t="s">
        <v>284</v>
      </c>
      <c r="N31" s="205" t="s">
        <v>284</v>
      </c>
      <c r="O31" s="206" t="s">
        <v>284</v>
      </c>
      <c r="P31" s="204"/>
      <c r="Q31" s="205"/>
      <c r="R31" s="205"/>
      <c r="S31" s="205"/>
      <c r="T31" s="205"/>
      <c r="U31" s="205"/>
      <c r="V31" s="205"/>
      <c r="W31" s="205"/>
      <c r="X31" s="205"/>
      <c r="Y31" s="205"/>
      <c r="Z31" s="205"/>
      <c r="AA31" s="205"/>
      <c r="AB31" s="205"/>
      <c r="AC31" s="205"/>
      <c r="AD31" s="205"/>
      <c r="AE31" s="205"/>
      <c r="AF31" s="205"/>
      <c r="AG31" s="206"/>
      <c r="AH31" s="204"/>
      <c r="AI31" s="205"/>
      <c r="AJ31" s="205"/>
      <c r="AK31" s="205"/>
      <c r="AL31" s="206"/>
      <c r="AM31" s="207" t="s">
        <v>284</v>
      </c>
      <c r="AN31" s="205"/>
      <c r="AO31" s="205"/>
      <c r="AP31" s="206"/>
      <c r="AQ31" s="160"/>
    </row>
    <row r="32" spans="1:43">
      <c r="A32" s="160"/>
      <c r="B32" s="202"/>
      <c r="C32" s="203" t="s">
        <v>299</v>
      </c>
      <c r="D32" s="204"/>
      <c r="E32" s="205"/>
      <c r="F32" s="205"/>
      <c r="G32" s="205"/>
      <c r="H32" s="205"/>
      <c r="I32" s="205"/>
      <c r="J32" s="205" t="s">
        <v>284</v>
      </c>
      <c r="K32" s="205" t="s">
        <v>284</v>
      </c>
      <c r="L32" s="205" t="s">
        <v>284</v>
      </c>
      <c r="M32" s="205" t="s">
        <v>284</v>
      </c>
      <c r="N32" s="205" t="s">
        <v>284</v>
      </c>
      <c r="O32" s="206"/>
      <c r="P32" s="204"/>
      <c r="Q32" s="205"/>
      <c r="R32" s="205"/>
      <c r="S32" s="205"/>
      <c r="T32" s="205"/>
      <c r="U32" s="205"/>
      <c r="V32" s="205"/>
      <c r="W32" s="205"/>
      <c r="X32" s="205"/>
      <c r="Y32" s="205"/>
      <c r="Z32" s="205"/>
      <c r="AA32" s="205"/>
      <c r="AB32" s="205"/>
      <c r="AC32" s="205"/>
      <c r="AD32" s="205"/>
      <c r="AE32" s="205"/>
      <c r="AF32" s="205"/>
      <c r="AG32" s="206"/>
      <c r="AH32" s="204"/>
      <c r="AI32" s="205"/>
      <c r="AJ32" s="205"/>
      <c r="AK32" s="205"/>
      <c r="AL32" s="206"/>
      <c r="AM32" s="207" t="s">
        <v>284</v>
      </c>
      <c r="AN32" s="205"/>
      <c r="AO32" s="205" t="s">
        <v>284</v>
      </c>
      <c r="AP32" s="206"/>
      <c r="AQ32" s="160"/>
    </row>
    <row r="33" spans="1:43">
      <c r="A33" s="160"/>
      <c r="B33" s="202"/>
      <c r="C33" s="203" t="s">
        <v>256</v>
      </c>
      <c r="D33" s="204"/>
      <c r="E33" s="205"/>
      <c r="F33" s="205"/>
      <c r="G33" s="205"/>
      <c r="H33" s="205"/>
      <c r="I33" s="205"/>
      <c r="J33" s="205" t="s">
        <v>284</v>
      </c>
      <c r="K33" s="205" t="s">
        <v>284</v>
      </c>
      <c r="L33" s="205" t="s">
        <v>284</v>
      </c>
      <c r="M33" s="205" t="s">
        <v>284</v>
      </c>
      <c r="N33" s="205" t="s">
        <v>284</v>
      </c>
      <c r="O33" s="206"/>
      <c r="P33" s="204"/>
      <c r="Q33" s="205"/>
      <c r="R33" s="205"/>
      <c r="S33" s="205"/>
      <c r="T33" s="205"/>
      <c r="U33" s="205"/>
      <c r="V33" s="205"/>
      <c r="W33" s="205"/>
      <c r="X33" s="205"/>
      <c r="Y33" s="205"/>
      <c r="Z33" s="205"/>
      <c r="AA33" s="205"/>
      <c r="AB33" s="205"/>
      <c r="AC33" s="205"/>
      <c r="AD33" s="205"/>
      <c r="AE33" s="205"/>
      <c r="AF33" s="205"/>
      <c r="AG33" s="206"/>
      <c r="AH33" s="204"/>
      <c r="AI33" s="205"/>
      <c r="AJ33" s="205"/>
      <c r="AK33" s="205"/>
      <c r="AL33" s="206"/>
      <c r="AM33" s="207" t="s">
        <v>284</v>
      </c>
      <c r="AN33" s="205"/>
      <c r="AO33" s="205"/>
      <c r="AP33" s="206"/>
      <c r="AQ33" s="160"/>
    </row>
    <row r="34" spans="1:43">
      <c r="A34" s="160"/>
      <c r="B34" s="202"/>
      <c r="C34" s="203" t="s">
        <v>300</v>
      </c>
      <c r="D34" s="204"/>
      <c r="E34" s="205"/>
      <c r="F34" s="205"/>
      <c r="G34" s="205"/>
      <c r="H34" s="205"/>
      <c r="I34" s="205"/>
      <c r="J34" s="205" t="s">
        <v>284</v>
      </c>
      <c r="K34" s="205" t="s">
        <v>284</v>
      </c>
      <c r="L34" s="205" t="s">
        <v>284</v>
      </c>
      <c r="M34" s="205" t="s">
        <v>284</v>
      </c>
      <c r="N34" s="205" t="s">
        <v>284</v>
      </c>
      <c r="O34" s="206" t="s">
        <v>284</v>
      </c>
      <c r="P34" s="204"/>
      <c r="Q34" s="205"/>
      <c r="R34" s="205"/>
      <c r="S34" s="205"/>
      <c r="T34" s="205"/>
      <c r="U34" s="205"/>
      <c r="V34" s="205"/>
      <c r="W34" s="205"/>
      <c r="X34" s="205"/>
      <c r="Y34" s="205"/>
      <c r="Z34" s="205"/>
      <c r="AA34" s="205"/>
      <c r="AB34" s="205"/>
      <c r="AC34" s="205"/>
      <c r="AD34" s="205"/>
      <c r="AE34" s="205"/>
      <c r="AF34" s="205"/>
      <c r="AG34" s="206"/>
      <c r="AH34" s="204"/>
      <c r="AI34" s="205"/>
      <c r="AJ34" s="205"/>
      <c r="AK34" s="205"/>
      <c r="AL34" s="206"/>
      <c r="AM34" s="207" t="s">
        <v>284</v>
      </c>
      <c r="AN34" s="205"/>
      <c r="AO34" s="205" t="s">
        <v>284</v>
      </c>
      <c r="AP34" s="206"/>
      <c r="AQ34" s="160"/>
    </row>
    <row r="35" spans="1:43">
      <c r="A35" s="160"/>
      <c r="B35" s="202"/>
      <c r="C35" s="203" t="s">
        <v>255</v>
      </c>
      <c r="D35" s="204"/>
      <c r="E35" s="205"/>
      <c r="F35" s="205"/>
      <c r="G35" s="205"/>
      <c r="H35" s="205"/>
      <c r="I35" s="205"/>
      <c r="J35" s="205" t="s">
        <v>284</v>
      </c>
      <c r="K35" s="205" t="s">
        <v>284</v>
      </c>
      <c r="L35" s="205" t="s">
        <v>284</v>
      </c>
      <c r="M35" s="205" t="s">
        <v>284</v>
      </c>
      <c r="N35" s="205" t="s">
        <v>284</v>
      </c>
      <c r="O35" s="206" t="s">
        <v>284</v>
      </c>
      <c r="P35" s="204"/>
      <c r="Q35" s="205"/>
      <c r="R35" s="205"/>
      <c r="S35" s="205"/>
      <c r="T35" s="205"/>
      <c r="U35" s="205"/>
      <c r="V35" s="205"/>
      <c r="W35" s="205"/>
      <c r="X35" s="205"/>
      <c r="Y35" s="205"/>
      <c r="Z35" s="205"/>
      <c r="AA35" s="205"/>
      <c r="AB35" s="205"/>
      <c r="AC35" s="205"/>
      <c r="AD35" s="205"/>
      <c r="AE35" s="205"/>
      <c r="AF35" s="205"/>
      <c r="AG35" s="206"/>
      <c r="AH35" s="204"/>
      <c r="AI35" s="205"/>
      <c r="AJ35" s="205"/>
      <c r="AK35" s="205"/>
      <c r="AL35" s="206"/>
      <c r="AM35" s="207" t="s">
        <v>284</v>
      </c>
      <c r="AN35" s="205"/>
      <c r="AO35" s="205" t="s">
        <v>284</v>
      </c>
      <c r="AP35" s="206"/>
      <c r="AQ35" s="160"/>
    </row>
    <row r="36" spans="1:43">
      <c r="A36" s="160"/>
      <c r="B36" s="202"/>
      <c r="C36" s="203" t="s">
        <v>242</v>
      </c>
      <c r="D36" s="204"/>
      <c r="E36" s="205" t="s">
        <v>284</v>
      </c>
      <c r="F36" s="205" t="s">
        <v>284</v>
      </c>
      <c r="G36" s="205" t="s">
        <v>284</v>
      </c>
      <c r="H36" s="205" t="s">
        <v>284</v>
      </c>
      <c r="I36" s="205"/>
      <c r="J36" s="205"/>
      <c r="K36" s="205"/>
      <c r="L36" s="205"/>
      <c r="M36" s="205"/>
      <c r="N36" s="205"/>
      <c r="O36" s="206"/>
      <c r="P36" s="204"/>
      <c r="Q36" s="205"/>
      <c r="R36" s="205"/>
      <c r="S36" s="205"/>
      <c r="T36" s="205"/>
      <c r="U36" s="205"/>
      <c r="V36" s="205"/>
      <c r="W36" s="205"/>
      <c r="X36" s="205"/>
      <c r="Y36" s="205"/>
      <c r="Z36" s="205"/>
      <c r="AA36" s="205"/>
      <c r="AB36" s="205"/>
      <c r="AC36" s="205"/>
      <c r="AD36" s="205"/>
      <c r="AE36" s="205"/>
      <c r="AF36" s="205"/>
      <c r="AG36" s="206"/>
      <c r="AH36" s="204"/>
      <c r="AI36" s="205"/>
      <c r="AJ36" s="205"/>
      <c r="AK36" s="205"/>
      <c r="AL36" s="206"/>
      <c r="AM36" s="207"/>
      <c r="AN36" s="205"/>
      <c r="AO36" s="205"/>
      <c r="AP36" s="206"/>
      <c r="AQ36" s="160"/>
    </row>
    <row r="37" spans="1:43">
      <c r="A37" s="160"/>
      <c r="B37" s="202"/>
      <c r="C37" s="203" t="s">
        <v>301</v>
      </c>
      <c r="D37" s="204"/>
      <c r="E37" s="205" t="s">
        <v>284</v>
      </c>
      <c r="F37" s="205" t="s">
        <v>284</v>
      </c>
      <c r="G37" s="205" t="s">
        <v>284</v>
      </c>
      <c r="H37" s="205" t="s">
        <v>284</v>
      </c>
      <c r="I37" s="205"/>
      <c r="J37" s="205"/>
      <c r="K37" s="205"/>
      <c r="L37" s="205"/>
      <c r="M37" s="205"/>
      <c r="N37" s="205"/>
      <c r="O37" s="206"/>
      <c r="P37" s="204"/>
      <c r="Q37" s="205"/>
      <c r="R37" s="205"/>
      <c r="S37" s="205"/>
      <c r="T37" s="205"/>
      <c r="U37" s="205"/>
      <c r="V37" s="205"/>
      <c r="W37" s="205"/>
      <c r="X37" s="205"/>
      <c r="Y37" s="205"/>
      <c r="Z37" s="205"/>
      <c r="AA37" s="205"/>
      <c r="AB37" s="205"/>
      <c r="AC37" s="205"/>
      <c r="AD37" s="205"/>
      <c r="AE37" s="205"/>
      <c r="AF37" s="205"/>
      <c r="AG37" s="206"/>
      <c r="AH37" s="204"/>
      <c r="AI37" s="205"/>
      <c r="AJ37" s="205"/>
      <c r="AK37" s="205"/>
      <c r="AL37" s="206"/>
      <c r="AM37" s="207"/>
      <c r="AN37" s="205"/>
      <c r="AO37" s="205"/>
      <c r="AP37" s="206"/>
      <c r="AQ37" s="160"/>
    </row>
    <row r="38" spans="1:43">
      <c r="A38" s="160"/>
      <c r="B38" s="202"/>
      <c r="C38" s="203" t="s">
        <v>302</v>
      </c>
      <c r="D38" s="204"/>
      <c r="E38" s="205" t="s">
        <v>284</v>
      </c>
      <c r="F38" s="205" t="s">
        <v>284</v>
      </c>
      <c r="G38" s="205" t="s">
        <v>284</v>
      </c>
      <c r="H38" s="205" t="s">
        <v>284</v>
      </c>
      <c r="I38" s="205"/>
      <c r="J38" s="205"/>
      <c r="K38" s="205"/>
      <c r="L38" s="205"/>
      <c r="M38" s="205"/>
      <c r="N38" s="205"/>
      <c r="O38" s="206" t="s">
        <v>284</v>
      </c>
      <c r="P38" s="204"/>
      <c r="Q38" s="205"/>
      <c r="R38" s="205"/>
      <c r="S38" s="205"/>
      <c r="T38" s="205"/>
      <c r="U38" s="205"/>
      <c r="V38" s="205"/>
      <c r="W38" s="205"/>
      <c r="X38" s="205"/>
      <c r="Y38" s="205"/>
      <c r="Z38" s="205"/>
      <c r="AA38" s="205"/>
      <c r="AB38" s="205"/>
      <c r="AC38" s="205"/>
      <c r="AD38" s="205"/>
      <c r="AE38" s="205"/>
      <c r="AF38" s="205"/>
      <c r="AG38" s="206"/>
      <c r="AH38" s="204"/>
      <c r="AI38" s="205"/>
      <c r="AJ38" s="205"/>
      <c r="AK38" s="205"/>
      <c r="AL38" s="206"/>
      <c r="AM38" s="207"/>
      <c r="AN38" s="205"/>
      <c r="AO38" s="205"/>
      <c r="AP38" s="206"/>
      <c r="AQ38" s="160"/>
    </row>
    <row r="39" spans="1:43">
      <c r="A39" s="160"/>
      <c r="B39" s="202"/>
      <c r="C39" s="203" t="s">
        <v>303</v>
      </c>
      <c r="D39" s="204"/>
      <c r="E39" s="205" t="s">
        <v>284</v>
      </c>
      <c r="F39" s="205" t="s">
        <v>284</v>
      </c>
      <c r="G39" s="205" t="s">
        <v>284</v>
      </c>
      <c r="H39" s="205" t="s">
        <v>284</v>
      </c>
      <c r="I39" s="205"/>
      <c r="J39" s="205"/>
      <c r="K39" s="205"/>
      <c r="L39" s="205"/>
      <c r="M39" s="205"/>
      <c r="N39" s="205"/>
      <c r="O39" s="206" t="s">
        <v>284</v>
      </c>
      <c r="P39" s="204"/>
      <c r="Q39" s="205"/>
      <c r="R39" s="205"/>
      <c r="S39" s="205"/>
      <c r="T39" s="205"/>
      <c r="U39" s="205"/>
      <c r="V39" s="205"/>
      <c r="W39" s="205"/>
      <c r="X39" s="205"/>
      <c r="Y39" s="205"/>
      <c r="Z39" s="205"/>
      <c r="AA39" s="205"/>
      <c r="AB39" s="205"/>
      <c r="AC39" s="205"/>
      <c r="AD39" s="205"/>
      <c r="AE39" s="205"/>
      <c r="AF39" s="205"/>
      <c r="AG39" s="206"/>
      <c r="AH39" s="204"/>
      <c r="AI39" s="205"/>
      <c r="AJ39" s="205"/>
      <c r="AK39" s="205"/>
      <c r="AL39" s="206"/>
      <c r="AM39" s="207"/>
      <c r="AN39" s="205"/>
      <c r="AO39" s="205"/>
      <c r="AP39" s="206"/>
      <c r="AQ39" s="160"/>
    </row>
    <row r="40" spans="1:43">
      <c r="A40" s="160"/>
      <c r="B40" s="202"/>
      <c r="C40" s="203" t="s">
        <v>244</v>
      </c>
      <c r="D40" s="204"/>
      <c r="E40" s="205" t="s">
        <v>284</v>
      </c>
      <c r="F40" s="205" t="s">
        <v>284</v>
      </c>
      <c r="G40" s="205" t="s">
        <v>284</v>
      </c>
      <c r="H40" s="205" t="s">
        <v>284</v>
      </c>
      <c r="I40" s="205"/>
      <c r="J40" s="205"/>
      <c r="K40" s="205"/>
      <c r="L40" s="205"/>
      <c r="M40" s="205"/>
      <c r="N40" s="205"/>
      <c r="O40" s="206"/>
      <c r="P40" s="204"/>
      <c r="Q40" s="205"/>
      <c r="R40" s="205"/>
      <c r="S40" s="205"/>
      <c r="T40" s="205"/>
      <c r="U40" s="205"/>
      <c r="V40" s="205"/>
      <c r="W40" s="205"/>
      <c r="X40" s="205"/>
      <c r="Y40" s="205"/>
      <c r="Z40" s="205"/>
      <c r="AA40" s="205"/>
      <c r="AB40" s="205"/>
      <c r="AC40" s="205"/>
      <c r="AD40" s="205"/>
      <c r="AE40" s="205"/>
      <c r="AF40" s="205"/>
      <c r="AG40" s="206"/>
      <c r="AH40" s="204"/>
      <c r="AI40" s="205"/>
      <c r="AJ40" s="205"/>
      <c r="AK40" s="205"/>
      <c r="AL40" s="206"/>
      <c r="AM40" s="207" t="s">
        <v>284</v>
      </c>
      <c r="AN40" s="205"/>
      <c r="AO40" s="205" t="s">
        <v>284</v>
      </c>
      <c r="AP40" s="206"/>
      <c r="AQ40" s="160"/>
    </row>
    <row r="41" spans="1:43">
      <c r="A41" s="160"/>
      <c r="B41" s="202"/>
      <c r="C41" s="203" t="s">
        <v>304</v>
      </c>
      <c r="D41" s="204"/>
      <c r="E41" s="205" t="s">
        <v>284</v>
      </c>
      <c r="F41" s="205" t="s">
        <v>284</v>
      </c>
      <c r="G41" s="205" t="s">
        <v>284</v>
      </c>
      <c r="H41" s="205" t="s">
        <v>284</v>
      </c>
      <c r="I41" s="205"/>
      <c r="J41" s="205"/>
      <c r="K41" s="205"/>
      <c r="L41" s="205"/>
      <c r="M41" s="205"/>
      <c r="N41" s="205"/>
      <c r="O41" s="206"/>
      <c r="P41" s="204"/>
      <c r="Q41" s="205"/>
      <c r="R41" s="205"/>
      <c r="S41" s="205"/>
      <c r="T41" s="205"/>
      <c r="U41" s="205"/>
      <c r="V41" s="205"/>
      <c r="W41" s="205"/>
      <c r="X41" s="205"/>
      <c r="Y41" s="205"/>
      <c r="Z41" s="205"/>
      <c r="AA41" s="205"/>
      <c r="AB41" s="205"/>
      <c r="AC41" s="205"/>
      <c r="AD41" s="205"/>
      <c r="AE41" s="205"/>
      <c r="AF41" s="205"/>
      <c r="AG41" s="206"/>
      <c r="AH41" s="204"/>
      <c r="AI41" s="205"/>
      <c r="AJ41" s="205"/>
      <c r="AK41" s="205"/>
      <c r="AL41" s="206"/>
      <c r="AM41" s="207" t="s">
        <v>284</v>
      </c>
      <c r="AN41" s="205"/>
      <c r="AO41" s="205" t="s">
        <v>284</v>
      </c>
      <c r="AP41" s="206"/>
      <c r="AQ41" s="160"/>
    </row>
    <row r="42" spans="1:43">
      <c r="A42" s="160"/>
      <c r="B42" s="202"/>
      <c r="C42" s="203" t="s">
        <v>305</v>
      </c>
      <c r="D42" s="204"/>
      <c r="E42" s="205" t="s">
        <v>284</v>
      </c>
      <c r="F42" s="205" t="s">
        <v>284</v>
      </c>
      <c r="G42" s="205" t="s">
        <v>284</v>
      </c>
      <c r="H42" s="205" t="s">
        <v>284</v>
      </c>
      <c r="I42" s="205"/>
      <c r="J42" s="205"/>
      <c r="K42" s="205"/>
      <c r="L42" s="205"/>
      <c r="M42" s="205"/>
      <c r="N42" s="205"/>
      <c r="O42" s="206" t="s">
        <v>284</v>
      </c>
      <c r="P42" s="204"/>
      <c r="Q42" s="205"/>
      <c r="R42" s="205"/>
      <c r="S42" s="205"/>
      <c r="T42" s="205"/>
      <c r="U42" s="205"/>
      <c r="V42" s="205"/>
      <c r="W42" s="205"/>
      <c r="X42" s="205"/>
      <c r="Y42" s="205"/>
      <c r="Z42" s="205"/>
      <c r="AA42" s="205"/>
      <c r="AB42" s="205"/>
      <c r="AC42" s="205"/>
      <c r="AD42" s="205"/>
      <c r="AE42" s="205"/>
      <c r="AF42" s="205"/>
      <c r="AG42" s="206"/>
      <c r="AH42" s="204"/>
      <c r="AI42" s="205"/>
      <c r="AJ42" s="205"/>
      <c r="AK42" s="205"/>
      <c r="AL42" s="206"/>
      <c r="AM42" s="207" t="s">
        <v>284</v>
      </c>
      <c r="AN42" s="205"/>
      <c r="AO42" s="205" t="s">
        <v>284</v>
      </c>
      <c r="AP42" s="206"/>
      <c r="AQ42" s="160"/>
    </row>
    <row r="43" spans="1:43">
      <c r="A43" s="160"/>
      <c r="B43" s="202"/>
      <c r="C43" s="203" t="s">
        <v>306</v>
      </c>
      <c r="D43" s="204"/>
      <c r="E43" s="205" t="s">
        <v>284</v>
      </c>
      <c r="F43" s="205" t="s">
        <v>284</v>
      </c>
      <c r="G43" s="205" t="s">
        <v>284</v>
      </c>
      <c r="H43" s="205" t="s">
        <v>284</v>
      </c>
      <c r="I43" s="205"/>
      <c r="J43" s="205"/>
      <c r="K43" s="205"/>
      <c r="L43" s="205"/>
      <c r="M43" s="205"/>
      <c r="N43" s="205"/>
      <c r="O43" s="206" t="s">
        <v>284</v>
      </c>
      <c r="P43" s="204"/>
      <c r="Q43" s="205"/>
      <c r="R43" s="205"/>
      <c r="S43" s="205"/>
      <c r="T43" s="205"/>
      <c r="U43" s="205"/>
      <c r="V43" s="205"/>
      <c r="W43" s="205"/>
      <c r="X43" s="205"/>
      <c r="Y43" s="205"/>
      <c r="Z43" s="205"/>
      <c r="AA43" s="205"/>
      <c r="AB43" s="205"/>
      <c r="AC43" s="205"/>
      <c r="AD43" s="205"/>
      <c r="AE43" s="205"/>
      <c r="AF43" s="205"/>
      <c r="AG43" s="206"/>
      <c r="AH43" s="204"/>
      <c r="AI43" s="205"/>
      <c r="AJ43" s="205"/>
      <c r="AK43" s="205"/>
      <c r="AL43" s="206"/>
      <c r="AM43" s="207" t="s">
        <v>284</v>
      </c>
      <c r="AN43" s="205"/>
      <c r="AO43" s="205" t="s">
        <v>284</v>
      </c>
      <c r="AP43" s="206"/>
      <c r="AQ43" s="160"/>
    </row>
    <row r="44" spans="1:43">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4"/>
      <c r="Q44" s="205"/>
      <c r="R44" s="205"/>
      <c r="S44" s="205"/>
      <c r="T44" s="205"/>
      <c r="U44" s="205"/>
      <c r="V44" s="205"/>
      <c r="W44" s="205"/>
      <c r="X44" s="205"/>
      <c r="Y44" s="205"/>
      <c r="Z44" s="205"/>
      <c r="AA44" s="205"/>
      <c r="AB44" s="205"/>
      <c r="AC44" s="205"/>
      <c r="AD44" s="205"/>
      <c r="AE44" s="205"/>
      <c r="AF44" s="205"/>
      <c r="AG44" s="206"/>
      <c r="AH44" s="204"/>
      <c r="AI44" s="205"/>
      <c r="AJ44" s="205"/>
      <c r="AK44" s="205"/>
      <c r="AL44" s="206"/>
      <c r="AM44" s="207"/>
      <c r="AN44" s="205"/>
      <c r="AO44" s="205"/>
      <c r="AP44" s="206"/>
      <c r="AQ44" s="160"/>
    </row>
    <row r="45" spans="1:43">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4"/>
      <c r="Q45" s="205"/>
      <c r="R45" s="205"/>
      <c r="S45" s="205"/>
      <c r="T45" s="205"/>
      <c r="U45" s="205"/>
      <c r="V45" s="205"/>
      <c r="W45" s="205"/>
      <c r="X45" s="205"/>
      <c r="Y45" s="205"/>
      <c r="Z45" s="205"/>
      <c r="AA45" s="205"/>
      <c r="AB45" s="205"/>
      <c r="AC45" s="205"/>
      <c r="AD45" s="205"/>
      <c r="AE45" s="205"/>
      <c r="AF45" s="205"/>
      <c r="AG45" s="206"/>
      <c r="AH45" s="204" t="s">
        <v>284</v>
      </c>
      <c r="AI45" s="205" t="s">
        <v>284</v>
      </c>
      <c r="AJ45" s="205" t="s">
        <v>284</v>
      </c>
      <c r="AK45" s="205" t="s">
        <v>284</v>
      </c>
      <c r="AL45" s="206" t="s">
        <v>284</v>
      </c>
      <c r="AM45" s="207"/>
      <c r="AN45" s="205"/>
      <c r="AO45" s="205"/>
      <c r="AP45" s="206"/>
      <c r="AQ45" s="160"/>
    </row>
    <row r="46" spans="1:43">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4"/>
      <c r="Q46" s="205"/>
      <c r="R46" s="205"/>
      <c r="S46" s="205"/>
      <c r="T46" s="205"/>
      <c r="U46" s="205"/>
      <c r="V46" s="205"/>
      <c r="W46" s="205"/>
      <c r="X46" s="205"/>
      <c r="Y46" s="205"/>
      <c r="Z46" s="205"/>
      <c r="AA46" s="205"/>
      <c r="AB46" s="205"/>
      <c r="AC46" s="205"/>
      <c r="AD46" s="205"/>
      <c r="AE46" s="205"/>
      <c r="AF46" s="205"/>
      <c r="AG46" s="206"/>
      <c r="AH46" s="204"/>
      <c r="AI46" s="205"/>
      <c r="AJ46" s="205"/>
      <c r="AK46" s="205"/>
      <c r="AL46" s="206"/>
      <c r="AM46" s="207"/>
      <c r="AN46" s="205"/>
      <c r="AO46" s="205"/>
      <c r="AP46" s="206"/>
      <c r="AQ46" s="160"/>
    </row>
    <row r="47" spans="1:43">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4"/>
      <c r="Q47" s="205"/>
      <c r="R47" s="205"/>
      <c r="S47" s="205"/>
      <c r="T47" s="205"/>
      <c r="U47" s="205"/>
      <c r="V47" s="205"/>
      <c r="W47" s="205"/>
      <c r="X47" s="205"/>
      <c r="Y47" s="205"/>
      <c r="Z47" s="205"/>
      <c r="AA47" s="205"/>
      <c r="AB47" s="205"/>
      <c r="AC47" s="205"/>
      <c r="AD47" s="205"/>
      <c r="AE47" s="205"/>
      <c r="AF47" s="205"/>
      <c r="AG47" s="206"/>
      <c r="AH47" s="204"/>
      <c r="AI47" s="205"/>
      <c r="AJ47" s="205"/>
      <c r="AK47" s="205"/>
      <c r="AL47" s="206"/>
      <c r="AM47" s="207"/>
      <c r="AN47" s="205"/>
      <c r="AO47" s="205"/>
      <c r="AP47" s="206"/>
      <c r="AQ47" s="160"/>
    </row>
    <row r="48" spans="1:43">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4"/>
      <c r="Q48" s="205"/>
      <c r="R48" s="205"/>
      <c r="S48" s="205"/>
      <c r="T48" s="205"/>
      <c r="U48" s="205"/>
      <c r="V48" s="205"/>
      <c r="W48" s="205"/>
      <c r="X48" s="205"/>
      <c r="Y48" s="205"/>
      <c r="Z48" s="205"/>
      <c r="AA48" s="205"/>
      <c r="AB48" s="205"/>
      <c r="AC48" s="205"/>
      <c r="AD48" s="205"/>
      <c r="AE48" s="205"/>
      <c r="AF48" s="205"/>
      <c r="AG48" s="206"/>
      <c r="AH48" s="204"/>
      <c r="AI48" s="205"/>
      <c r="AJ48" s="205"/>
      <c r="AK48" s="205"/>
      <c r="AL48" s="206"/>
      <c r="AM48" s="207" t="s">
        <v>284</v>
      </c>
      <c r="AN48" s="205"/>
      <c r="AO48" s="205" t="s">
        <v>284</v>
      </c>
      <c r="AP48" s="206"/>
      <c r="AQ48" s="160"/>
    </row>
    <row r="49" spans="1:43">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4"/>
      <c r="Q49" s="205"/>
      <c r="R49" s="205"/>
      <c r="S49" s="205"/>
      <c r="T49" s="205"/>
      <c r="U49" s="205"/>
      <c r="V49" s="205"/>
      <c r="W49" s="205"/>
      <c r="X49" s="205"/>
      <c r="Y49" s="205"/>
      <c r="Z49" s="205"/>
      <c r="AA49" s="205"/>
      <c r="AB49" s="205"/>
      <c r="AC49" s="205"/>
      <c r="AD49" s="205"/>
      <c r="AE49" s="205"/>
      <c r="AF49" s="205"/>
      <c r="AG49" s="206"/>
      <c r="AH49" s="204"/>
      <c r="AI49" s="205"/>
      <c r="AJ49" s="205"/>
      <c r="AK49" s="205"/>
      <c r="AL49" s="206"/>
      <c r="AM49" s="207" t="s">
        <v>284</v>
      </c>
      <c r="AN49" s="205"/>
      <c r="AO49" s="205" t="s">
        <v>284</v>
      </c>
      <c r="AP49" s="206"/>
      <c r="AQ49" s="160"/>
    </row>
    <row r="50" spans="1:43">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4"/>
      <c r="Q50" s="205"/>
      <c r="R50" s="205"/>
      <c r="S50" s="205"/>
      <c r="T50" s="205"/>
      <c r="U50" s="205"/>
      <c r="V50" s="205"/>
      <c r="W50" s="205"/>
      <c r="X50" s="205"/>
      <c r="Y50" s="205"/>
      <c r="Z50" s="205"/>
      <c r="AA50" s="205"/>
      <c r="AB50" s="205"/>
      <c r="AC50" s="205"/>
      <c r="AD50" s="205"/>
      <c r="AE50" s="205"/>
      <c r="AF50" s="205"/>
      <c r="AG50" s="206"/>
      <c r="AH50" s="204"/>
      <c r="AI50" s="205"/>
      <c r="AJ50" s="205"/>
      <c r="AK50" s="205"/>
      <c r="AL50" s="206"/>
      <c r="AM50" s="207" t="s">
        <v>284</v>
      </c>
      <c r="AN50" s="205"/>
      <c r="AO50" s="205" t="s">
        <v>284</v>
      </c>
      <c r="AP50" s="206"/>
      <c r="AQ50" s="160"/>
    </row>
    <row r="51" spans="1:43">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4"/>
      <c r="Q51" s="205"/>
      <c r="R51" s="205"/>
      <c r="S51" s="205"/>
      <c r="T51" s="205"/>
      <c r="U51" s="205"/>
      <c r="V51" s="205"/>
      <c r="W51" s="205"/>
      <c r="X51" s="205"/>
      <c r="Y51" s="205"/>
      <c r="Z51" s="205"/>
      <c r="AA51" s="205"/>
      <c r="AB51" s="205"/>
      <c r="AC51" s="205"/>
      <c r="AD51" s="205"/>
      <c r="AE51" s="205"/>
      <c r="AF51" s="205"/>
      <c r="AG51" s="206"/>
      <c r="AH51" s="204"/>
      <c r="AI51" s="205"/>
      <c r="AJ51" s="205"/>
      <c r="AK51" s="205"/>
      <c r="AL51" s="206"/>
      <c r="AM51" s="207" t="s">
        <v>284</v>
      </c>
      <c r="AN51" s="205"/>
      <c r="AO51" s="205" t="s">
        <v>284</v>
      </c>
      <c r="AP51" s="206"/>
      <c r="AQ51" s="160"/>
    </row>
    <row r="52" spans="1:43">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4"/>
      <c r="Q52" s="205"/>
      <c r="R52" s="205"/>
      <c r="S52" s="205"/>
      <c r="T52" s="205"/>
      <c r="U52" s="205"/>
      <c r="V52" s="205"/>
      <c r="W52" s="205"/>
      <c r="X52" s="205"/>
      <c r="Y52" s="205"/>
      <c r="Z52" s="205"/>
      <c r="AA52" s="205"/>
      <c r="AB52" s="205"/>
      <c r="AC52" s="205"/>
      <c r="AD52" s="205"/>
      <c r="AE52" s="205"/>
      <c r="AF52" s="205"/>
      <c r="AG52" s="206"/>
      <c r="AH52" s="204"/>
      <c r="AI52" s="205"/>
      <c r="AJ52" s="205"/>
      <c r="AK52" s="205"/>
      <c r="AL52" s="206"/>
      <c r="AM52" s="207"/>
      <c r="AN52" s="205"/>
      <c r="AO52" s="205"/>
      <c r="AP52" s="206"/>
      <c r="AQ52" s="160"/>
    </row>
    <row r="53" spans="1:43">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4"/>
      <c r="Q53" s="205"/>
      <c r="R53" s="205"/>
      <c r="S53" s="205"/>
      <c r="T53" s="205"/>
      <c r="U53" s="205"/>
      <c r="V53" s="205"/>
      <c r="W53" s="205"/>
      <c r="X53" s="205"/>
      <c r="Y53" s="205"/>
      <c r="Z53" s="205"/>
      <c r="AA53" s="205"/>
      <c r="AB53" s="205"/>
      <c r="AC53" s="205"/>
      <c r="AD53" s="205"/>
      <c r="AE53" s="205"/>
      <c r="AF53" s="205"/>
      <c r="AG53" s="206"/>
      <c r="AH53" s="204"/>
      <c r="AI53" s="205"/>
      <c r="AJ53" s="205"/>
      <c r="AK53" s="205"/>
      <c r="AL53" s="206"/>
      <c r="AM53" s="207"/>
      <c r="AN53" s="205"/>
      <c r="AO53" s="205"/>
      <c r="AP53" s="206"/>
      <c r="AQ53" s="160"/>
    </row>
    <row r="54" spans="1:43">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4"/>
      <c r="Q54" s="205"/>
      <c r="R54" s="205"/>
      <c r="S54" s="205"/>
      <c r="T54" s="205"/>
      <c r="U54" s="205"/>
      <c r="V54" s="205"/>
      <c r="W54" s="205"/>
      <c r="X54" s="205"/>
      <c r="Y54" s="205"/>
      <c r="Z54" s="205"/>
      <c r="AA54" s="205"/>
      <c r="AB54" s="205"/>
      <c r="AC54" s="205"/>
      <c r="AD54" s="205"/>
      <c r="AE54" s="205"/>
      <c r="AF54" s="205"/>
      <c r="AG54" s="206"/>
      <c r="AH54" s="204"/>
      <c r="AI54" s="205"/>
      <c r="AJ54" s="205"/>
      <c r="AK54" s="205"/>
      <c r="AL54" s="206"/>
      <c r="AM54" s="207"/>
      <c r="AN54" s="205"/>
      <c r="AO54" s="205"/>
      <c r="AP54" s="206"/>
      <c r="AQ54" s="160"/>
    </row>
    <row r="55" spans="1:43">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4"/>
      <c r="Q55" s="205"/>
      <c r="R55" s="205"/>
      <c r="S55" s="205"/>
      <c r="T55" s="205"/>
      <c r="U55" s="205"/>
      <c r="V55" s="205"/>
      <c r="W55" s="205"/>
      <c r="X55" s="205"/>
      <c r="Y55" s="205"/>
      <c r="Z55" s="205"/>
      <c r="AA55" s="205"/>
      <c r="AB55" s="205"/>
      <c r="AC55" s="205"/>
      <c r="AD55" s="205"/>
      <c r="AE55" s="205"/>
      <c r="AF55" s="205"/>
      <c r="AG55" s="206"/>
      <c r="AH55" s="204"/>
      <c r="AI55" s="205"/>
      <c r="AJ55" s="205"/>
      <c r="AK55" s="205"/>
      <c r="AL55" s="206"/>
      <c r="AM55" s="207"/>
      <c r="AN55" s="205"/>
      <c r="AO55" s="205"/>
      <c r="AP55" s="206"/>
      <c r="AQ55" s="160"/>
    </row>
    <row r="56" spans="1:43">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4"/>
      <c r="Q56" s="205"/>
      <c r="R56" s="205"/>
      <c r="S56" s="205"/>
      <c r="T56" s="205"/>
      <c r="U56" s="205"/>
      <c r="V56" s="205"/>
      <c r="W56" s="205"/>
      <c r="X56" s="205"/>
      <c r="Y56" s="205"/>
      <c r="Z56" s="205"/>
      <c r="AA56" s="205"/>
      <c r="AB56" s="205"/>
      <c r="AC56" s="205"/>
      <c r="AD56" s="205"/>
      <c r="AE56" s="205"/>
      <c r="AF56" s="205"/>
      <c r="AG56" s="206"/>
      <c r="AH56" s="204"/>
      <c r="AI56" s="205"/>
      <c r="AJ56" s="205"/>
      <c r="AK56" s="205"/>
      <c r="AL56" s="206"/>
      <c r="AM56" s="207" t="s">
        <v>284</v>
      </c>
      <c r="AN56" s="205"/>
      <c r="AO56" s="205" t="s">
        <v>284</v>
      </c>
      <c r="AP56" s="206"/>
      <c r="AQ56" s="160"/>
    </row>
    <row r="57" spans="1:43">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4"/>
      <c r="Q57" s="205"/>
      <c r="R57" s="205"/>
      <c r="S57" s="205"/>
      <c r="T57" s="205"/>
      <c r="U57" s="205"/>
      <c r="V57" s="205"/>
      <c r="W57" s="205"/>
      <c r="X57" s="205"/>
      <c r="Y57" s="205"/>
      <c r="Z57" s="205"/>
      <c r="AA57" s="205"/>
      <c r="AB57" s="205"/>
      <c r="AC57" s="205"/>
      <c r="AD57" s="205"/>
      <c r="AE57" s="205"/>
      <c r="AF57" s="205"/>
      <c r="AG57" s="206"/>
      <c r="AH57" s="204"/>
      <c r="AI57" s="205"/>
      <c r="AJ57" s="205"/>
      <c r="AK57" s="205"/>
      <c r="AL57" s="206"/>
      <c r="AM57" s="207" t="s">
        <v>284</v>
      </c>
      <c r="AN57" s="205"/>
      <c r="AO57" s="205" t="s">
        <v>284</v>
      </c>
      <c r="AP57" s="206"/>
      <c r="AQ57" s="160"/>
    </row>
    <row r="58" spans="1:43">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4"/>
      <c r="Q58" s="205"/>
      <c r="R58" s="205"/>
      <c r="S58" s="205"/>
      <c r="T58" s="205"/>
      <c r="U58" s="205"/>
      <c r="V58" s="205"/>
      <c r="W58" s="205"/>
      <c r="X58" s="205"/>
      <c r="Y58" s="205"/>
      <c r="Z58" s="205"/>
      <c r="AA58" s="205"/>
      <c r="AB58" s="205"/>
      <c r="AC58" s="205"/>
      <c r="AD58" s="205"/>
      <c r="AE58" s="205"/>
      <c r="AF58" s="205"/>
      <c r="AG58" s="206"/>
      <c r="AH58" s="204"/>
      <c r="AI58" s="205"/>
      <c r="AJ58" s="205"/>
      <c r="AK58" s="205"/>
      <c r="AL58" s="206"/>
      <c r="AM58" s="207" t="s">
        <v>284</v>
      </c>
      <c r="AN58" s="205"/>
      <c r="AO58" s="205" t="s">
        <v>284</v>
      </c>
      <c r="AP58" s="206"/>
      <c r="AQ58" s="160"/>
    </row>
    <row r="59" spans="1:43">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4"/>
      <c r="Q59" s="205"/>
      <c r="R59" s="205"/>
      <c r="S59" s="205"/>
      <c r="T59" s="205"/>
      <c r="U59" s="205"/>
      <c r="V59" s="205"/>
      <c r="W59" s="205"/>
      <c r="X59" s="205"/>
      <c r="Y59" s="205"/>
      <c r="Z59" s="205"/>
      <c r="AA59" s="205"/>
      <c r="AB59" s="205"/>
      <c r="AC59" s="205"/>
      <c r="AD59" s="205"/>
      <c r="AE59" s="205"/>
      <c r="AF59" s="205"/>
      <c r="AG59" s="206"/>
      <c r="AH59" s="204"/>
      <c r="AI59" s="205"/>
      <c r="AJ59" s="205"/>
      <c r="AK59" s="205"/>
      <c r="AL59" s="206"/>
      <c r="AM59" s="207" t="s">
        <v>284</v>
      </c>
      <c r="AN59" s="205"/>
      <c r="AO59" s="205" t="s">
        <v>284</v>
      </c>
      <c r="AP59" s="206"/>
      <c r="AQ59" s="160"/>
    </row>
    <row r="60" spans="1:43">
      <c r="A60" s="160"/>
      <c r="B60" s="202"/>
      <c r="C60" s="203" t="s">
        <v>319</v>
      </c>
      <c r="D60" s="204"/>
      <c r="E60" s="205"/>
      <c r="F60" s="205"/>
      <c r="G60" s="205"/>
      <c r="H60" s="205"/>
      <c r="I60" s="205"/>
      <c r="J60" s="205"/>
      <c r="K60" s="205"/>
      <c r="L60" s="205"/>
      <c r="M60" s="205"/>
      <c r="N60" s="205"/>
      <c r="O60" s="206" t="s">
        <v>284</v>
      </c>
      <c r="P60" s="204"/>
      <c r="Q60" s="205"/>
      <c r="R60" s="205"/>
      <c r="S60" s="205"/>
      <c r="T60" s="205"/>
      <c r="U60" s="205"/>
      <c r="V60" s="205"/>
      <c r="W60" s="205"/>
      <c r="X60" s="205"/>
      <c r="Y60" s="205"/>
      <c r="Z60" s="205"/>
      <c r="AA60" s="205"/>
      <c r="AB60" s="205"/>
      <c r="AC60" s="205"/>
      <c r="AD60" s="205"/>
      <c r="AE60" s="205"/>
      <c r="AF60" s="205"/>
      <c r="AG60" s="206"/>
      <c r="AH60" s="204"/>
      <c r="AI60" s="205"/>
      <c r="AJ60" s="205"/>
      <c r="AK60" s="205"/>
      <c r="AL60" s="206"/>
      <c r="AM60" s="207"/>
      <c r="AN60" s="205"/>
      <c r="AO60" s="205"/>
      <c r="AP60" s="206"/>
      <c r="AQ60" s="160"/>
    </row>
    <row r="61" spans="1:43">
      <c r="A61" s="160"/>
      <c r="B61" s="202"/>
      <c r="C61" s="203" t="s">
        <v>320</v>
      </c>
      <c r="D61" s="204"/>
      <c r="E61" s="205"/>
      <c r="F61" s="205"/>
      <c r="G61" s="205"/>
      <c r="H61" s="205"/>
      <c r="I61" s="205"/>
      <c r="J61" s="205"/>
      <c r="K61" s="205"/>
      <c r="L61" s="205"/>
      <c r="M61" s="205"/>
      <c r="N61" s="205"/>
      <c r="O61" s="206" t="s">
        <v>284</v>
      </c>
      <c r="P61" s="204"/>
      <c r="Q61" s="205"/>
      <c r="R61" s="205"/>
      <c r="S61" s="205"/>
      <c r="T61" s="205"/>
      <c r="U61" s="205"/>
      <c r="V61" s="205"/>
      <c r="W61" s="205"/>
      <c r="X61" s="205"/>
      <c r="Y61" s="205"/>
      <c r="Z61" s="205"/>
      <c r="AA61" s="205"/>
      <c r="AB61" s="205"/>
      <c r="AC61" s="205"/>
      <c r="AD61" s="205"/>
      <c r="AE61" s="205"/>
      <c r="AF61" s="205"/>
      <c r="AG61" s="206"/>
      <c r="AH61" s="204"/>
      <c r="AI61" s="205"/>
      <c r="AJ61" s="205"/>
      <c r="AK61" s="205"/>
      <c r="AL61" s="206"/>
      <c r="AM61" s="207" t="s">
        <v>284</v>
      </c>
      <c r="AN61" s="205"/>
      <c r="AO61" s="205" t="s">
        <v>284</v>
      </c>
      <c r="AP61" s="206"/>
      <c r="AQ61" s="160"/>
    </row>
    <row r="62" spans="1:43">
      <c r="A62" s="160"/>
      <c r="B62" s="202"/>
      <c r="C62" s="203" t="s">
        <v>261</v>
      </c>
      <c r="D62" s="204"/>
      <c r="E62" s="205"/>
      <c r="F62" s="205"/>
      <c r="G62" s="205"/>
      <c r="H62" s="205"/>
      <c r="I62" s="205"/>
      <c r="J62" s="205"/>
      <c r="K62" s="205"/>
      <c r="L62" s="205"/>
      <c r="M62" s="205"/>
      <c r="N62" s="205" t="s">
        <v>284</v>
      </c>
      <c r="O62" s="206"/>
      <c r="P62" s="204"/>
      <c r="Q62" s="205"/>
      <c r="R62" s="205"/>
      <c r="S62" s="205"/>
      <c r="T62" s="205"/>
      <c r="U62" s="205"/>
      <c r="V62" s="205"/>
      <c r="W62" s="205"/>
      <c r="X62" s="205"/>
      <c r="Y62" s="205"/>
      <c r="Z62" s="205"/>
      <c r="AA62" s="205"/>
      <c r="AB62" s="205"/>
      <c r="AC62" s="205"/>
      <c r="AD62" s="205"/>
      <c r="AE62" s="205"/>
      <c r="AF62" s="205"/>
      <c r="AG62" s="206"/>
      <c r="AH62" s="204"/>
      <c r="AI62" s="205"/>
      <c r="AJ62" s="205"/>
      <c r="AK62" s="205"/>
      <c r="AL62" s="206"/>
      <c r="AM62" s="207"/>
      <c r="AN62" s="205"/>
      <c r="AO62" s="205"/>
      <c r="AP62" s="206"/>
      <c r="AQ62" s="160"/>
    </row>
    <row r="63" spans="1:43">
      <c r="A63" s="160"/>
      <c r="B63" s="202"/>
      <c r="C63" s="203" t="s">
        <v>321</v>
      </c>
      <c r="D63" s="204"/>
      <c r="E63" s="205"/>
      <c r="F63" s="205"/>
      <c r="G63" s="205"/>
      <c r="H63" s="205"/>
      <c r="I63" s="205"/>
      <c r="J63" s="205"/>
      <c r="K63" s="205"/>
      <c r="L63" s="205"/>
      <c r="M63" s="205"/>
      <c r="N63" s="205" t="s">
        <v>284</v>
      </c>
      <c r="O63" s="206"/>
      <c r="P63" s="204"/>
      <c r="Q63" s="205"/>
      <c r="R63" s="205"/>
      <c r="S63" s="205"/>
      <c r="T63" s="205"/>
      <c r="U63" s="205"/>
      <c r="V63" s="205"/>
      <c r="W63" s="205"/>
      <c r="X63" s="205"/>
      <c r="Y63" s="205"/>
      <c r="Z63" s="205"/>
      <c r="AA63" s="205"/>
      <c r="AB63" s="205"/>
      <c r="AC63" s="205"/>
      <c r="AD63" s="205"/>
      <c r="AE63" s="205"/>
      <c r="AF63" s="205"/>
      <c r="AG63" s="206"/>
      <c r="AH63" s="204"/>
      <c r="AI63" s="205"/>
      <c r="AJ63" s="205"/>
      <c r="AK63" s="205"/>
      <c r="AL63" s="206"/>
      <c r="AM63" s="207" t="s">
        <v>284</v>
      </c>
      <c r="AN63" s="205"/>
      <c r="AO63" s="205" t="s">
        <v>284</v>
      </c>
      <c r="AP63" s="206"/>
      <c r="AQ63" s="160"/>
    </row>
    <row r="64" spans="1:43">
      <c r="A64" s="160"/>
      <c r="B64" s="202"/>
      <c r="C64" s="203" t="s">
        <v>246</v>
      </c>
      <c r="D64" s="204"/>
      <c r="E64" s="205"/>
      <c r="F64" s="205"/>
      <c r="G64" s="205"/>
      <c r="H64" s="205"/>
      <c r="I64" s="205" t="s">
        <v>284</v>
      </c>
      <c r="J64" s="205" t="s">
        <v>284</v>
      </c>
      <c r="K64" s="205" t="s">
        <v>284</v>
      </c>
      <c r="L64" s="205" t="s">
        <v>284</v>
      </c>
      <c r="M64" s="205" t="s">
        <v>284</v>
      </c>
      <c r="N64" s="205"/>
      <c r="O64" s="206"/>
      <c r="P64" s="204"/>
      <c r="Q64" s="205"/>
      <c r="R64" s="205"/>
      <c r="S64" s="205"/>
      <c r="T64" s="205"/>
      <c r="U64" s="205"/>
      <c r="V64" s="205"/>
      <c r="W64" s="205"/>
      <c r="X64" s="205"/>
      <c r="Y64" s="205"/>
      <c r="Z64" s="205"/>
      <c r="AA64" s="205"/>
      <c r="AB64" s="205"/>
      <c r="AC64" s="205"/>
      <c r="AD64" s="205"/>
      <c r="AE64" s="205"/>
      <c r="AF64" s="205"/>
      <c r="AG64" s="206"/>
      <c r="AH64" s="204"/>
      <c r="AI64" s="205"/>
      <c r="AJ64" s="205"/>
      <c r="AK64" s="205"/>
      <c r="AL64" s="206"/>
      <c r="AM64" s="207"/>
      <c r="AN64" s="205"/>
      <c r="AO64" s="205"/>
      <c r="AP64" s="206"/>
      <c r="AQ64" s="160"/>
    </row>
    <row r="65" spans="1:43">
      <c r="A65" s="160"/>
      <c r="B65" s="202"/>
      <c r="C65" s="203" t="s">
        <v>245</v>
      </c>
      <c r="D65" s="204"/>
      <c r="E65" s="205"/>
      <c r="F65" s="205"/>
      <c r="G65" s="205"/>
      <c r="H65" s="205"/>
      <c r="I65" s="205" t="s">
        <v>284</v>
      </c>
      <c r="J65" s="205" t="s">
        <v>284</v>
      </c>
      <c r="K65" s="205" t="s">
        <v>284</v>
      </c>
      <c r="L65" s="205" t="s">
        <v>284</v>
      </c>
      <c r="M65" s="205" t="s">
        <v>284</v>
      </c>
      <c r="N65" s="205"/>
      <c r="O65" s="206"/>
      <c r="P65" s="204"/>
      <c r="Q65" s="205"/>
      <c r="R65" s="205"/>
      <c r="S65" s="205"/>
      <c r="T65" s="205"/>
      <c r="U65" s="205"/>
      <c r="V65" s="205"/>
      <c r="W65" s="205"/>
      <c r="X65" s="205"/>
      <c r="Y65" s="205"/>
      <c r="Z65" s="205"/>
      <c r="AA65" s="205"/>
      <c r="AB65" s="205"/>
      <c r="AC65" s="205"/>
      <c r="AD65" s="205"/>
      <c r="AE65" s="205"/>
      <c r="AF65" s="205"/>
      <c r="AG65" s="206"/>
      <c r="AH65" s="204"/>
      <c r="AI65" s="205"/>
      <c r="AJ65" s="205"/>
      <c r="AK65" s="205"/>
      <c r="AL65" s="206"/>
      <c r="AM65" s="207" t="s">
        <v>284</v>
      </c>
      <c r="AN65" s="205"/>
      <c r="AO65" s="205"/>
      <c r="AP65" s="206"/>
      <c r="AQ65" s="160"/>
    </row>
    <row r="66" spans="1:43">
      <c r="A66" s="160"/>
      <c r="B66" s="202"/>
      <c r="C66" s="203" t="s">
        <v>236</v>
      </c>
      <c r="D66" s="204"/>
      <c r="E66" s="205"/>
      <c r="F66" s="205"/>
      <c r="G66" s="205"/>
      <c r="H66" s="205"/>
      <c r="I66" s="205" t="s">
        <v>284</v>
      </c>
      <c r="J66" s="205" t="s">
        <v>284</v>
      </c>
      <c r="K66" s="205" t="s">
        <v>284</v>
      </c>
      <c r="L66" s="205" t="s">
        <v>284</v>
      </c>
      <c r="M66" s="205" t="s">
        <v>284</v>
      </c>
      <c r="N66" s="205"/>
      <c r="O66" s="206" t="s">
        <v>284</v>
      </c>
      <c r="P66" s="204"/>
      <c r="Q66" s="205"/>
      <c r="R66" s="205"/>
      <c r="S66" s="205"/>
      <c r="T66" s="205"/>
      <c r="U66" s="205"/>
      <c r="V66" s="205"/>
      <c r="W66" s="205"/>
      <c r="X66" s="205"/>
      <c r="Y66" s="205"/>
      <c r="Z66" s="205"/>
      <c r="AA66" s="205"/>
      <c r="AB66" s="205"/>
      <c r="AC66" s="205"/>
      <c r="AD66" s="205"/>
      <c r="AE66" s="205"/>
      <c r="AF66" s="205"/>
      <c r="AG66" s="206"/>
      <c r="AH66" s="204"/>
      <c r="AI66" s="205"/>
      <c r="AJ66" s="205"/>
      <c r="AK66" s="205"/>
      <c r="AL66" s="206"/>
      <c r="AM66" s="207" t="s">
        <v>284</v>
      </c>
      <c r="AN66" s="205"/>
      <c r="AO66" s="205"/>
      <c r="AP66" s="206"/>
      <c r="AQ66" s="160"/>
    </row>
    <row r="67" spans="1:43">
      <c r="A67" s="160"/>
      <c r="B67" s="202"/>
      <c r="C67" s="203" t="s">
        <v>247</v>
      </c>
      <c r="D67" s="204"/>
      <c r="E67" s="205"/>
      <c r="F67" s="205"/>
      <c r="G67" s="205"/>
      <c r="H67" s="205"/>
      <c r="I67" s="205" t="s">
        <v>284</v>
      </c>
      <c r="J67" s="205" t="s">
        <v>284</v>
      </c>
      <c r="K67" s="205" t="s">
        <v>284</v>
      </c>
      <c r="L67" s="205" t="s">
        <v>284</v>
      </c>
      <c r="M67" s="205" t="s">
        <v>284</v>
      </c>
      <c r="N67" s="205"/>
      <c r="O67" s="206"/>
      <c r="P67" s="204"/>
      <c r="Q67" s="205"/>
      <c r="R67" s="205"/>
      <c r="S67" s="205"/>
      <c r="T67" s="205"/>
      <c r="U67" s="205"/>
      <c r="V67" s="205"/>
      <c r="W67" s="205"/>
      <c r="X67" s="205"/>
      <c r="Y67" s="205"/>
      <c r="Z67" s="205"/>
      <c r="AA67" s="205"/>
      <c r="AB67" s="205"/>
      <c r="AC67" s="205"/>
      <c r="AD67" s="205"/>
      <c r="AE67" s="205"/>
      <c r="AF67" s="205"/>
      <c r="AG67" s="206"/>
      <c r="AH67" s="204"/>
      <c r="AI67" s="205"/>
      <c r="AJ67" s="205"/>
      <c r="AK67" s="205"/>
      <c r="AL67" s="206"/>
      <c r="AM67" s="207" t="s">
        <v>284</v>
      </c>
      <c r="AN67" s="205"/>
      <c r="AO67" s="205" t="s">
        <v>284</v>
      </c>
      <c r="AP67" s="206"/>
      <c r="AQ67" s="160"/>
    </row>
    <row r="68" spans="1:43">
      <c r="A68" s="160"/>
      <c r="B68" s="202"/>
      <c r="C68" s="203" t="s">
        <v>253</v>
      </c>
      <c r="D68" s="204"/>
      <c r="E68" s="205"/>
      <c r="F68" s="205"/>
      <c r="G68" s="205"/>
      <c r="H68" s="205"/>
      <c r="I68" s="205" t="s">
        <v>284</v>
      </c>
      <c r="J68" s="205" t="s">
        <v>284</v>
      </c>
      <c r="K68" s="205" t="s">
        <v>284</v>
      </c>
      <c r="L68" s="205" t="s">
        <v>284</v>
      </c>
      <c r="M68" s="205" t="s">
        <v>284</v>
      </c>
      <c r="N68" s="205"/>
      <c r="O68" s="206"/>
      <c r="P68" s="204"/>
      <c r="Q68" s="205"/>
      <c r="R68" s="205"/>
      <c r="S68" s="205"/>
      <c r="T68" s="205"/>
      <c r="U68" s="205"/>
      <c r="V68" s="205"/>
      <c r="W68" s="205"/>
      <c r="X68" s="205"/>
      <c r="Y68" s="205"/>
      <c r="Z68" s="205"/>
      <c r="AA68" s="205"/>
      <c r="AB68" s="205"/>
      <c r="AC68" s="205"/>
      <c r="AD68" s="205"/>
      <c r="AE68" s="205"/>
      <c r="AF68" s="205"/>
      <c r="AG68" s="206"/>
      <c r="AH68" s="204"/>
      <c r="AI68" s="205"/>
      <c r="AJ68" s="205"/>
      <c r="AK68" s="205"/>
      <c r="AL68" s="206"/>
      <c r="AM68" s="207" t="s">
        <v>284</v>
      </c>
      <c r="AN68" s="205"/>
      <c r="AO68" s="205" t="s">
        <v>284</v>
      </c>
      <c r="AP68" s="206"/>
      <c r="AQ68" s="160"/>
    </row>
    <row r="69" spans="1:43">
      <c r="A69" s="160"/>
      <c r="B69" s="202"/>
      <c r="C69" s="203" t="s">
        <v>322</v>
      </c>
      <c r="D69" s="204"/>
      <c r="E69" s="205"/>
      <c r="F69" s="205"/>
      <c r="G69" s="205"/>
      <c r="H69" s="205"/>
      <c r="I69" s="205" t="s">
        <v>284</v>
      </c>
      <c r="J69" s="205" t="s">
        <v>284</v>
      </c>
      <c r="K69" s="205" t="s">
        <v>284</v>
      </c>
      <c r="L69" s="205" t="s">
        <v>284</v>
      </c>
      <c r="M69" s="205" t="s">
        <v>284</v>
      </c>
      <c r="N69" s="205"/>
      <c r="O69" s="206" t="s">
        <v>284</v>
      </c>
      <c r="P69" s="204"/>
      <c r="Q69" s="205"/>
      <c r="R69" s="205"/>
      <c r="S69" s="205"/>
      <c r="T69" s="205"/>
      <c r="U69" s="205"/>
      <c r="V69" s="205"/>
      <c r="W69" s="205"/>
      <c r="X69" s="205"/>
      <c r="Y69" s="205"/>
      <c r="Z69" s="205"/>
      <c r="AA69" s="205"/>
      <c r="AB69" s="205"/>
      <c r="AC69" s="205"/>
      <c r="AD69" s="205"/>
      <c r="AE69" s="205"/>
      <c r="AF69" s="205"/>
      <c r="AG69" s="206"/>
      <c r="AH69" s="204"/>
      <c r="AI69" s="205"/>
      <c r="AJ69" s="205"/>
      <c r="AK69" s="205"/>
      <c r="AL69" s="206"/>
      <c r="AM69" s="207" t="s">
        <v>284</v>
      </c>
      <c r="AN69" s="205"/>
      <c r="AO69" s="205" t="s">
        <v>284</v>
      </c>
      <c r="AP69" s="206"/>
      <c r="AQ69" s="160"/>
    </row>
    <row r="70" spans="1:43">
      <c r="A70" s="160"/>
      <c r="B70" s="202"/>
      <c r="C70" s="203" t="s">
        <v>251</v>
      </c>
      <c r="D70" s="204"/>
      <c r="E70" s="205"/>
      <c r="F70" s="205"/>
      <c r="G70" s="205"/>
      <c r="H70" s="205"/>
      <c r="I70" s="205" t="s">
        <v>284</v>
      </c>
      <c r="J70" s="205" t="s">
        <v>284</v>
      </c>
      <c r="K70" s="205" t="s">
        <v>284</v>
      </c>
      <c r="L70" s="205" t="s">
        <v>284</v>
      </c>
      <c r="M70" s="205" t="s">
        <v>284</v>
      </c>
      <c r="N70" s="205"/>
      <c r="O70" s="206" t="s">
        <v>284</v>
      </c>
      <c r="P70" s="204"/>
      <c r="Q70" s="205"/>
      <c r="R70" s="205"/>
      <c r="S70" s="205"/>
      <c r="T70" s="205"/>
      <c r="U70" s="205"/>
      <c r="V70" s="205"/>
      <c r="W70" s="205"/>
      <c r="X70" s="205"/>
      <c r="Y70" s="205"/>
      <c r="Z70" s="205"/>
      <c r="AA70" s="205"/>
      <c r="AB70" s="205"/>
      <c r="AC70" s="205"/>
      <c r="AD70" s="205"/>
      <c r="AE70" s="205"/>
      <c r="AF70" s="205"/>
      <c r="AG70" s="206"/>
      <c r="AH70" s="204"/>
      <c r="AI70" s="205"/>
      <c r="AJ70" s="205"/>
      <c r="AK70" s="205"/>
      <c r="AL70" s="206"/>
      <c r="AM70" s="207" t="s">
        <v>284</v>
      </c>
      <c r="AN70" s="205"/>
      <c r="AO70" s="205" t="s">
        <v>284</v>
      </c>
      <c r="AP70" s="206"/>
      <c r="AQ70" s="160"/>
    </row>
    <row r="71" spans="1:43">
      <c r="A71" s="160"/>
      <c r="B71" s="202"/>
      <c r="C71" s="203" t="s">
        <v>260</v>
      </c>
      <c r="D71" s="204"/>
      <c r="E71" s="205"/>
      <c r="F71" s="205"/>
      <c r="G71" s="205"/>
      <c r="H71" s="205"/>
      <c r="I71" s="205" t="s">
        <v>284</v>
      </c>
      <c r="J71" s="205" t="s">
        <v>284</v>
      </c>
      <c r="K71" s="205" t="s">
        <v>284</v>
      </c>
      <c r="L71" s="205" t="s">
        <v>284</v>
      </c>
      <c r="M71" s="205" t="s">
        <v>284</v>
      </c>
      <c r="N71" s="205" t="s">
        <v>284</v>
      </c>
      <c r="O71" s="206"/>
      <c r="P71" s="204"/>
      <c r="Q71" s="205"/>
      <c r="R71" s="205"/>
      <c r="S71" s="205"/>
      <c r="T71" s="205"/>
      <c r="U71" s="205"/>
      <c r="V71" s="205"/>
      <c r="W71" s="205"/>
      <c r="X71" s="205"/>
      <c r="Y71" s="205"/>
      <c r="Z71" s="205"/>
      <c r="AA71" s="205"/>
      <c r="AB71" s="205"/>
      <c r="AC71" s="205"/>
      <c r="AD71" s="205"/>
      <c r="AE71" s="205"/>
      <c r="AF71" s="205"/>
      <c r="AG71" s="206"/>
      <c r="AH71" s="204"/>
      <c r="AI71" s="205"/>
      <c r="AJ71" s="205"/>
      <c r="AK71" s="205"/>
      <c r="AL71" s="206"/>
      <c r="AM71" s="207"/>
      <c r="AN71" s="205"/>
      <c r="AO71" s="205"/>
      <c r="AP71" s="206"/>
      <c r="AQ71" s="160"/>
    </row>
    <row r="72" spans="1:43">
      <c r="A72" s="160"/>
      <c r="B72" s="202"/>
      <c r="C72" s="203" t="s">
        <v>237</v>
      </c>
      <c r="D72" s="204"/>
      <c r="E72" s="205"/>
      <c r="F72" s="205"/>
      <c r="G72" s="205"/>
      <c r="H72" s="205"/>
      <c r="I72" s="205" t="s">
        <v>284</v>
      </c>
      <c r="J72" s="205" t="s">
        <v>284</v>
      </c>
      <c r="K72" s="205" t="s">
        <v>284</v>
      </c>
      <c r="L72" s="205" t="s">
        <v>284</v>
      </c>
      <c r="M72" s="205" t="s">
        <v>284</v>
      </c>
      <c r="N72" s="205" t="s">
        <v>284</v>
      </c>
      <c r="O72" s="206" t="s">
        <v>284</v>
      </c>
      <c r="P72" s="204"/>
      <c r="Q72" s="205"/>
      <c r="R72" s="205"/>
      <c r="S72" s="205"/>
      <c r="T72" s="205"/>
      <c r="U72" s="205"/>
      <c r="V72" s="205"/>
      <c r="W72" s="205"/>
      <c r="X72" s="205"/>
      <c r="Y72" s="205"/>
      <c r="Z72" s="205"/>
      <c r="AA72" s="205"/>
      <c r="AB72" s="205"/>
      <c r="AC72" s="205"/>
      <c r="AD72" s="205"/>
      <c r="AE72" s="205"/>
      <c r="AF72" s="205"/>
      <c r="AG72" s="206"/>
      <c r="AH72" s="204"/>
      <c r="AI72" s="205"/>
      <c r="AJ72" s="205"/>
      <c r="AK72" s="205"/>
      <c r="AL72" s="206"/>
      <c r="AM72" s="207" t="s">
        <v>284</v>
      </c>
      <c r="AN72" s="205"/>
      <c r="AO72" s="205"/>
      <c r="AP72" s="206"/>
      <c r="AQ72" s="160"/>
    </row>
    <row r="73" spans="1:43">
      <c r="A73" s="160"/>
      <c r="B73" s="202"/>
      <c r="C73" s="203" t="s">
        <v>323</v>
      </c>
      <c r="D73" s="204"/>
      <c r="E73" s="205"/>
      <c r="F73" s="205"/>
      <c r="G73" s="205"/>
      <c r="H73" s="205"/>
      <c r="I73" s="205" t="s">
        <v>284</v>
      </c>
      <c r="J73" s="205" t="s">
        <v>284</v>
      </c>
      <c r="K73" s="205" t="s">
        <v>284</v>
      </c>
      <c r="L73" s="205" t="s">
        <v>284</v>
      </c>
      <c r="M73" s="205" t="s">
        <v>284</v>
      </c>
      <c r="N73" s="205" t="s">
        <v>284</v>
      </c>
      <c r="O73" s="206"/>
      <c r="P73" s="204"/>
      <c r="Q73" s="205"/>
      <c r="R73" s="205"/>
      <c r="S73" s="205"/>
      <c r="T73" s="205"/>
      <c r="U73" s="205"/>
      <c r="V73" s="205"/>
      <c r="W73" s="205"/>
      <c r="X73" s="205"/>
      <c r="Y73" s="205"/>
      <c r="Z73" s="205"/>
      <c r="AA73" s="205"/>
      <c r="AB73" s="205"/>
      <c r="AC73" s="205"/>
      <c r="AD73" s="205"/>
      <c r="AE73" s="205"/>
      <c r="AF73" s="205"/>
      <c r="AG73" s="206"/>
      <c r="AH73" s="204"/>
      <c r="AI73" s="205"/>
      <c r="AJ73" s="205"/>
      <c r="AK73" s="205"/>
      <c r="AL73" s="206"/>
      <c r="AM73" s="207" t="s">
        <v>284</v>
      </c>
      <c r="AN73" s="205"/>
      <c r="AO73" s="205" t="s">
        <v>284</v>
      </c>
      <c r="AP73" s="206"/>
      <c r="AQ73" s="160"/>
    </row>
    <row r="74" spans="1:43">
      <c r="A74" s="160"/>
      <c r="B74" s="202"/>
      <c r="C74" s="203" t="s">
        <v>252</v>
      </c>
      <c r="D74" s="204"/>
      <c r="E74" s="205"/>
      <c r="F74" s="205"/>
      <c r="G74" s="205"/>
      <c r="H74" s="205"/>
      <c r="I74" s="205" t="s">
        <v>284</v>
      </c>
      <c r="J74" s="205" t="s">
        <v>284</v>
      </c>
      <c r="K74" s="205" t="s">
        <v>284</v>
      </c>
      <c r="L74" s="205" t="s">
        <v>284</v>
      </c>
      <c r="M74" s="205" t="s">
        <v>284</v>
      </c>
      <c r="N74" s="205" t="s">
        <v>284</v>
      </c>
      <c r="O74" s="206" t="s">
        <v>284</v>
      </c>
      <c r="P74" s="204"/>
      <c r="Q74" s="205"/>
      <c r="R74" s="205"/>
      <c r="S74" s="205"/>
      <c r="T74" s="205"/>
      <c r="U74" s="205"/>
      <c r="V74" s="205"/>
      <c r="W74" s="205"/>
      <c r="X74" s="205"/>
      <c r="Y74" s="205"/>
      <c r="Z74" s="205"/>
      <c r="AA74" s="205"/>
      <c r="AB74" s="205"/>
      <c r="AC74" s="205"/>
      <c r="AD74" s="205"/>
      <c r="AE74" s="205"/>
      <c r="AF74" s="205"/>
      <c r="AG74" s="206"/>
      <c r="AH74" s="204"/>
      <c r="AI74" s="205"/>
      <c r="AJ74" s="205"/>
      <c r="AK74" s="205"/>
      <c r="AL74" s="206"/>
      <c r="AM74" s="207" t="s">
        <v>284</v>
      </c>
      <c r="AN74" s="205"/>
      <c r="AO74" s="205" t="s">
        <v>284</v>
      </c>
      <c r="AP74" s="206"/>
      <c r="AQ74" s="160"/>
    </row>
    <row r="75" spans="1:43">
      <c r="A75" s="160"/>
      <c r="B75" s="202"/>
      <c r="C75" s="203" t="s">
        <v>324</v>
      </c>
      <c r="D75" s="204" t="s">
        <v>284</v>
      </c>
      <c r="E75" s="205" t="s">
        <v>284</v>
      </c>
      <c r="F75" s="205" t="s">
        <v>284</v>
      </c>
      <c r="G75" s="205" t="s">
        <v>284</v>
      </c>
      <c r="H75" s="205" t="s">
        <v>284</v>
      </c>
      <c r="I75" s="205"/>
      <c r="J75" s="205"/>
      <c r="K75" s="205"/>
      <c r="L75" s="205"/>
      <c r="M75" s="205"/>
      <c r="N75" s="205"/>
      <c r="O75" s="206" t="s">
        <v>284</v>
      </c>
      <c r="P75" s="204"/>
      <c r="Q75" s="205"/>
      <c r="R75" s="205"/>
      <c r="S75" s="205"/>
      <c r="T75" s="205"/>
      <c r="U75" s="205"/>
      <c r="V75" s="205"/>
      <c r="W75" s="205"/>
      <c r="X75" s="205"/>
      <c r="Y75" s="205"/>
      <c r="Z75" s="205"/>
      <c r="AA75" s="205"/>
      <c r="AB75" s="205"/>
      <c r="AC75" s="205"/>
      <c r="AD75" s="205"/>
      <c r="AE75" s="205"/>
      <c r="AF75" s="205"/>
      <c r="AG75" s="206"/>
      <c r="AH75" s="204"/>
      <c r="AI75" s="205"/>
      <c r="AJ75" s="205"/>
      <c r="AK75" s="205"/>
      <c r="AL75" s="206"/>
      <c r="AM75" s="207" t="s">
        <v>284</v>
      </c>
      <c r="AN75" s="205"/>
      <c r="AO75" s="205" t="s">
        <v>284</v>
      </c>
      <c r="AP75" s="206"/>
      <c r="AQ75" s="160"/>
    </row>
    <row r="76" spans="1:43">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4"/>
      <c r="Q76" s="205"/>
      <c r="R76" s="205"/>
      <c r="S76" s="205"/>
      <c r="T76" s="205"/>
      <c r="U76" s="205"/>
      <c r="V76" s="205"/>
      <c r="W76" s="205"/>
      <c r="X76" s="205"/>
      <c r="Y76" s="205"/>
      <c r="Z76" s="205"/>
      <c r="AA76" s="205"/>
      <c r="AB76" s="205"/>
      <c r="AC76" s="205"/>
      <c r="AD76" s="205"/>
      <c r="AE76" s="205"/>
      <c r="AF76" s="205"/>
      <c r="AG76" s="206"/>
      <c r="AH76" s="204"/>
      <c r="AI76" s="205"/>
      <c r="AJ76" s="205"/>
      <c r="AK76" s="205"/>
      <c r="AL76" s="206"/>
      <c r="AM76" s="207"/>
      <c r="AN76" s="205"/>
      <c r="AO76" s="205"/>
      <c r="AP76" s="206"/>
      <c r="AQ76" s="160"/>
    </row>
    <row r="77" spans="1:43">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4"/>
      <c r="Q77" s="205"/>
      <c r="R77" s="205"/>
      <c r="S77" s="205"/>
      <c r="T77" s="205"/>
      <c r="U77" s="205"/>
      <c r="V77" s="205"/>
      <c r="W77" s="205"/>
      <c r="X77" s="205"/>
      <c r="Y77" s="205"/>
      <c r="Z77" s="205"/>
      <c r="AA77" s="205"/>
      <c r="AB77" s="205"/>
      <c r="AC77" s="205"/>
      <c r="AD77" s="205"/>
      <c r="AE77" s="205"/>
      <c r="AF77" s="205"/>
      <c r="AG77" s="206"/>
      <c r="AH77" s="204"/>
      <c r="AI77" s="205"/>
      <c r="AJ77" s="205"/>
      <c r="AK77" s="205"/>
      <c r="AL77" s="206"/>
      <c r="AM77" s="207" t="s">
        <v>284</v>
      </c>
      <c r="AN77" s="205"/>
      <c r="AO77" s="205" t="s">
        <v>284</v>
      </c>
      <c r="AP77" s="206"/>
      <c r="AQ77" s="160"/>
    </row>
    <row r="78" spans="1:43">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4"/>
      <c r="Q78" s="205"/>
      <c r="R78" s="205"/>
      <c r="S78" s="205"/>
      <c r="T78" s="205"/>
      <c r="U78" s="205"/>
      <c r="V78" s="205"/>
      <c r="W78" s="205"/>
      <c r="X78" s="205"/>
      <c r="Y78" s="205"/>
      <c r="Z78" s="205"/>
      <c r="AA78" s="205"/>
      <c r="AB78" s="205"/>
      <c r="AC78" s="205"/>
      <c r="AD78" s="205"/>
      <c r="AE78" s="205"/>
      <c r="AF78" s="205"/>
      <c r="AG78" s="206"/>
      <c r="AH78" s="204"/>
      <c r="AI78" s="205"/>
      <c r="AJ78" s="205"/>
      <c r="AK78" s="205"/>
      <c r="AL78" s="206"/>
      <c r="AM78" s="207" t="s">
        <v>284</v>
      </c>
      <c r="AN78" s="205"/>
      <c r="AO78" s="205" t="s">
        <v>284</v>
      </c>
      <c r="AP78" s="206"/>
      <c r="AQ78" s="160"/>
    </row>
    <row r="79" spans="1:43" ht="13.8" thickBot="1">
      <c r="A79" s="160"/>
      <c r="B79" s="202"/>
      <c r="C79" s="247" t="s">
        <v>326</v>
      </c>
      <c r="D79" s="248" t="s">
        <v>284</v>
      </c>
      <c r="E79" s="249" t="s">
        <v>284</v>
      </c>
      <c r="F79" s="249" t="s">
        <v>284</v>
      </c>
      <c r="G79" s="249" t="s">
        <v>284</v>
      </c>
      <c r="H79" s="249" t="s">
        <v>284</v>
      </c>
      <c r="I79" s="249" t="s">
        <v>284</v>
      </c>
      <c r="J79" s="249" t="s">
        <v>284</v>
      </c>
      <c r="K79" s="249" t="s">
        <v>284</v>
      </c>
      <c r="L79" s="249" t="s">
        <v>284</v>
      </c>
      <c r="M79" s="249" t="s">
        <v>284</v>
      </c>
      <c r="N79" s="249" t="s">
        <v>284</v>
      </c>
      <c r="O79" s="250" t="s">
        <v>284</v>
      </c>
      <c r="P79" s="248"/>
      <c r="Q79" s="249"/>
      <c r="R79" s="249"/>
      <c r="S79" s="249"/>
      <c r="T79" s="249"/>
      <c r="U79" s="249"/>
      <c r="V79" s="249"/>
      <c r="W79" s="249"/>
      <c r="X79" s="249"/>
      <c r="Y79" s="249"/>
      <c r="Z79" s="249"/>
      <c r="AA79" s="249"/>
      <c r="AB79" s="249"/>
      <c r="AC79" s="249"/>
      <c r="AD79" s="249"/>
      <c r="AE79" s="249"/>
      <c r="AF79" s="249"/>
      <c r="AG79" s="250"/>
      <c r="AH79" s="248"/>
      <c r="AI79" s="249"/>
      <c r="AJ79" s="249"/>
      <c r="AK79" s="249"/>
      <c r="AL79" s="250"/>
      <c r="AM79" s="251" t="s">
        <v>284</v>
      </c>
      <c r="AN79" s="249"/>
      <c r="AO79" s="249" t="s">
        <v>284</v>
      </c>
      <c r="AP79" s="250"/>
      <c r="AQ79" s="160"/>
    </row>
    <row r="80" spans="1:43">
      <c r="A80" s="160"/>
      <c r="B80" s="215" t="s">
        <v>686</v>
      </c>
      <c r="C80" s="216" t="s">
        <v>344</v>
      </c>
      <c r="D80" s="197"/>
      <c r="E80" s="198"/>
      <c r="F80" s="198"/>
      <c r="G80" s="198"/>
      <c r="H80" s="198"/>
      <c r="I80" s="198"/>
      <c r="J80" s="198"/>
      <c r="K80" s="198"/>
      <c r="L80" s="198"/>
      <c r="M80" s="198"/>
      <c r="N80" s="198"/>
      <c r="O80" s="199"/>
      <c r="P80" s="197"/>
      <c r="Q80" s="198"/>
      <c r="R80" s="198"/>
      <c r="S80" s="198"/>
      <c r="T80" s="198"/>
      <c r="U80" s="198"/>
      <c r="V80" s="198"/>
      <c r="W80" s="198"/>
      <c r="X80" s="198"/>
      <c r="Y80" s="198"/>
      <c r="Z80" s="198"/>
      <c r="AA80" s="198"/>
      <c r="AB80" s="198"/>
      <c r="AC80" s="198"/>
      <c r="AD80" s="198"/>
      <c r="AE80" s="198"/>
      <c r="AF80" s="198"/>
      <c r="AG80" s="199"/>
      <c r="AH80" s="197"/>
      <c r="AI80" s="198"/>
      <c r="AJ80" s="198"/>
      <c r="AK80" s="198"/>
      <c r="AL80" s="199"/>
      <c r="AM80" s="200"/>
      <c r="AN80" s="198" t="s">
        <v>284</v>
      </c>
      <c r="AO80" s="198" t="s">
        <v>284</v>
      </c>
      <c r="AP80" s="199"/>
      <c r="AQ80" s="160"/>
    </row>
    <row r="81" spans="1:43">
      <c r="A81" s="160"/>
      <c r="B81" s="217"/>
      <c r="C81" s="176" t="s">
        <v>345</v>
      </c>
      <c r="D81" s="204"/>
      <c r="E81" s="205"/>
      <c r="F81" s="205"/>
      <c r="G81" s="205"/>
      <c r="H81" s="205"/>
      <c r="I81" s="205"/>
      <c r="J81" s="205"/>
      <c r="K81" s="205"/>
      <c r="L81" s="205"/>
      <c r="M81" s="205"/>
      <c r="N81" s="205"/>
      <c r="O81" s="206"/>
      <c r="P81" s="204"/>
      <c r="Q81" s="205"/>
      <c r="R81" s="205"/>
      <c r="S81" s="205"/>
      <c r="T81" s="205"/>
      <c r="U81" s="205"/>
      <c r="V81" s="205"/>
      <c r="W81" s="205"/>
      <c r="X81" s="205"/>
      <c r="Y81" s="205"/>
      <c r="Z81" s="205"/>
      <c r="AA81" s="205"/>
      <c r="AB81" s="205" t="s">
        <v>284</v>
      </c>
      <c r="AC81" s="205"/>
      <c r="AD81" s="205"/>
      <c r="AE81" s="205"/>
      <c r="AF81" s="205"/>
      <c r="AG81" s="206"/>
      <c r="AH81" s="204"/>
      <c r="AI81" s="205"/>
      <c r="AJ81" s="205"/>
      <c r="AK81" s="205"/>
      <c r="AL81" s="206"/>
      <c r="AM81" s="207"/>
      <c r="AN81" s="205" t="s">
        <v>284</v>
      </c>
      <c r="AO81" s="205" t="s">
        <v>284</v>
      </c>
      <c r="AP81" s="206"/>
      <c r="AQ81" s="160"/>
    </row>
    <row r="82" spans="1:43">
      <c r="A82" s="160"/>
      <c r="B82" s="217"/>
      <c r="C82" s="176" t="s">
        <v>346</v>
      </c>
      <c r="D82" s="204"/>
      <c r="E82" s="205"/>
      <c r="F82" s="205"/>
      <c r="G82" s="205"/>
      <c r="H82" s="205"/>
      <c r="I82" s="205"/>
      <c r="J82" s="205"/>
      <c r="K82" s="205"/>
      <c r="L82" s="205"/>
      <c r="M82" s="205"/>
      <c r="N82" s="205"/>
      <c r="O82" s="206"/>
      <c r="P82" s="204"/>
      <c r="Q82" s="205"/>
      <c r="R82" s="205"/>
      <c r="S82" s="205"/>
      <c r="T82" s="205"/>
      <c r="U82" s="205" t="s">
        <v>284</v>
      </c>
      <c r="V82" s="205" t="s">
        <v>284</v>
      </c>
      <c r="W82" s="205" t="s">
        <v>284</v>
      </c>
      <c r="X82" s="205" t="s">
        <v>284</v>
      </c>
      <c r="Y82" s="205"/>
      <c r="Z82" s="205"/>
      <c r="AA82" s="205"/>
      <c r="AB82" s="205"/>
      <c r="AC82" s="205"/>
      <c r="AD82" s="205"/>
      <c r="AE82" s="205"/>
      <c r="AF82" s="205"/>
      <c r="AG82" s="206"/>
      <c r="AH82" s="204"/>
      <c r="AI82" s="205"/>
      <c r="AJ82" s="205"/>
      <c r="AK82" s="205"/>
      <c r="AL82" s="206"/>
      <c r="AM82" s="207"/>
      <c r="AN82" s="205"/>
      <c r="AO82" s="205"/>
      <c r="AP82" s="206"/>
      <c r="AQ82" s="160"/>
    </row>
    <row r="83" spans="1:43">
      <c r="A83" s="160"/>
      <c r="B83" s="217"/>
      <c r="C83" s="176" t="s">
        <v>347</v>
      </c>
      <c r="D83" s="204"/>
      <c r="E83" s="205"/>
      <c r="F83" s="205"/>
      <c r="G83" s="205"/>
      <c r="H83" s="205"/>
      <c r="I83" s="205"/>
      <c r="J83" s="205"/>
      <c r="K83" s="205"/>
      <c r="L83" s="205"/>
      <c r="M83" s="205"/>
      <c r="N83" s="205"/>
      <c r="O83" s="206"/>
      <c r="P83" s="204"/>
      <c r="Q83" s="205"/>
      <c r="R83" s="205"/>
      <c r="S83" s="205"/>
      <c r="T83" s="205"/>
      <c r="U83" s="205" t="s">
        <v>284</v>
      </c>
      <c r="V83" s="205" t="s">
        <v>284</v>
      </c>
      <c r="W83" s="205" t="s">
        <v>284</v>
      </c>
      <c r="X83" s="205" t="s">
        <v>284</v>
      </c>
      <c r="Y83" s="205"/>
      <c r="Z83" s="205" t="s">
        <v>284</v>
      </c>
      <c r="AA83" s="205"/>
      <c r="AB83" s="205" t="s">
        <v>284</v>
      </c>
      <c r="AC83" s="205"/>
      <c r="AD83" s="205"/>
      <c r="AE83" s="205"/>
      <c r="AF83" s="205"/>
      <c r="AG83" s="206"/>
      <c r="AH83" s="204"/>
      <c r="AI83" s="205"/>
      <c r="AJ83" s="205"/>
      <c r="AK83" s="205"/>
      <c r="AL83" s="206"/>
      <c r="AM83" s="207"/>
      <c r="AN83" s="205"/>
      <c r="AO83" s="205"/>
      <c r="AP83" s="206"/>
      <c r="AQ83" s="160"/>
    </row>
    <row r="84" spans="1:43">
      <c r="A84" s="160"/>
      <c r="B84" s="217"/>
      <c r="C84" s="176" t="s">
        <v>348</v>
      </c>
      <c r="D84" s="204"/>
      <c r="E84" s="205"/>
      <c r="F84" s="205"/>
      <c r="G84" s="205"/>
      <c r="H84" s="205"/>
      <c r="I84" s="205"/>
      <c r="J84" s="205"/>
      <c r="K84" s="205"/>
      <c r="L84" s="205"/>
      <c r="M84" s="205"/>
      <c r="N84" s="205"/>
      <c r="O84" s="206"/>
      <c r="P84" s="204"/>
      <c r="Q84" s="205"/>
      <c r="R84" s="205"/>
      <c r="S84" s="205"/>
      <c r="T84" s="205"/>
      <c r="U84" s="205" t="s">
        <v>284</v>
      </c>
      <c r="V84" s="205" t="s">
        <v>284</v>
      </c>
      <c r="W84" s="205" t="s">
        <v>284</v>
      </c>
      <c r="X84" s="205" t="s">
        <v>284</v>
      </c>
      <c r="Y84" s="205"/>
      <c r="Z84" s="205"/>
      <c r="AA84" s="205"/>
      <c r="AB84" s="205"/>
      <c r="AC84" s="205"/>
      <c r="AD84" s="205"/>
      <c r="AE84" s="205"/>
      <c r="AF84" s="205"/>
      <c r="AG84" s="206"/>
      <c r="AH84" s="204"/>
      <c r="AI84" s="205"/>
      <c r="AJ84" s="205"/>
      <c r="AK84" s="205"/>
      <c r="AL84" s="206"/>
      <c r="AM84" s="207"/>
      <c r="AN84" s="205" t="s">
        <v>284</v>
      </c>
      <c r="AO84" s="205" t="s">
        <v>284</v>
      </c>
      <c r="AP84" s="206"/>
      <c r="AQ84" s="160"/>
    </row>
    <row r="85" spans="1:43">
      <c r="A85" s="160"/>
      <c r="B85" s="217"/>
      <c r="C85" s="176" t="s">
        <v>349</v>
      </c>
      <c r="D85" s="204"/>
      <c r="E85" s="205"/>
      <c r="F85" s="205"/>
      <c r="G85" s="205"/>
      <c r="H85" s="205"/>
      <c r="I85" s="205"/>
      <c r="J85" s="205"/>
      <c r="K85" s="205"/>
      <c r="L85" s="205"/>
      <c r="M85" s="205"/>
      <c r="N85" s="205"/>
      <c r="O85" s="206"/>
      <c r="P85" s="204"/>
      <c r="Q85" s="205"/>
      <c r="R85" s="205"/>
      <c r="S85" s="205"/>
      <c r="T85" s="205"/>
      <c r="U85" s="205" t="s">
        <v>284</v>
      </c>
      <c r="V85" s="205" t="s">
        <v>284</v>
      </c>
      <c r="W85" s="205" t="s">
        <v>284</v>
      </c>
      <c r="X85" s="205" t="s">
        <v>284</v>
      </c>
      <c r="Y85" s="205"/>
      <c r="Z85" s="205" t="s">
        <v>284</v>
      </c>
      <c r="AA85" s="205"/>
      <c r="AB85" s="205"/>
      <c r="AC85" s="205"/>
      <c r="AD85" s="205"/>
      <c r="AE85" s="205"/>
      <c r="AF85" s="205"/>
      <c r="AG85" s="206"/>
      <c r="AH85" s="204"/>
      <c r="AI85" s="205"/>
      <c r="AJ85" s="205"/>
      <c r="AK85" s="205"/>
      <c r="AL85" s="206"/>
      <c r="AM85" s="207"/>
      <c r="AN85" s="205" t="s">
        <v>284</v>
      </c>
      <c r="AO85" s="205" t="s">
        <v>284</v>
      </c>
      <c r="AP85" s="206"/>
      <c r="AQ85" s="160"/>
    </row>
    <row r="86" spans="1:43">
      <c r="A86" s="160"/>
      <c r="B86" s="217"/>
      <c r="C86" s="176" t="s">
        <v>350</v>
      </c>
      <c r="D86" s="204"/>
      <c r="E86" s="205"/>
      <c r="F86" s="205"/>
      <c r="G86" s="205"/>
      <c r="H86" s="205"/>
      <c r="I86" s="205"/>
      <c r="J86" s="205"/>
      <c r="K86" s="205"/>
      <c r="L86" s="205"/>
      <c r="M86" s="205"/>
      <c r="N86" s="205"/>
      <c r="O86" s="206"/>
      <c r="P86" s="204" t="s">
        <v>284</v>
      </c>
      <c r="Q86" s="205" t="s">
        <v>284</v>
      </c>
      <c r="R86" s="205" t="s">
        <v>284</v>
      </c>
      <c r="S86" s="205" t="s">
        <v>284</v>
      </c>
      <c r="T86" s="205"/>
      <c r="U86" s="205"/>
      <c r="V86" s="205"/>
      <c r="W86" s="205"/>
      <c r="X86" s="205"/>
      <c r="Y86" s="205"/>
      <c r="Z86" s="205"/>
      <c r="AA86" s="205"/>
      <c r="AB86" s="205"/>
      <c r="AC86" s="205"/>
      <c r="AD86" s="205" t="s">
        <v>284</v>
      </c>
      <c r="AE86" s="205"/>
      <c r="AF86" s="205" t="s">
        <v>284</v>
      </c>
      <c r="AG86" s="206"/>
      <c r="AH86" s="204"/>
      <c r="AI86" s="205"/>
      <c r="AJ86" s="205"/>
      <c r="AK86" s="205"/>
      <c r="AL86" s="206"/>
      <c r="AM86" s="207"/>
      <c r="AN86" s="205"/>
      <c r="AO86" s="205"/>
      <c r="AP86" s="206"/>
      <c r="AQ86" s="160"/>
    </row>
    <row r="87" spans="1:43">
      <c r="A87" s="160"/>
      <c r="B87" s="217"/>
      <c r="C87" s="176" t="s">
        <v>351</v>
      </c>
      <c r="D87" s="204"/>
      <c r="E87" s="205"/>
      <c r="F87" s="205"/>
      <c r="G87" s="205"/>
      <c r="H87" s="205"/>
      <c r="I87" s="205"/>
      <c r="J87" s="205"/>
      <c r="K87" s="205"/>
      <c r="L87" s="205"/>
      <c r="M87" s="205"/>
      <c r="N87" s="205"/>
      <c r="O87" s="206"/>
      <c r="P87" s="204" t="s">
        <v>284</v>
      </c>
      <c r="Q87" s="205" t="s">
        <v>284</v>
      </c>
      <c r="R87" s="205" t="s">
        <v>284</v>
      </c>
      <c r="S87" s="205" t="s">
        <v>284</v>
      </c>
      <c r="T87" s="205"/>
      <c r="U87" s="205"/>
      <c r="V87" s="205"/>
      <c r="W87" s="205"/>
      <c r="X87" s="205"/>
      <c r="Y87" s="205"/>
      <c r="Z87" s="205" t="s">
        <v>284</v>
      </c>
      <c r="AA87" s="205"/>
      <c r="AB87" s="205"/>
      <c r="AC87" s="205"/>
      <c r="AD87" s="205" t="s">
        <v>284</v>
      </c>
      <c r="AE87" s="205"/>
      <c r="AF87" s="205" t="s">
        <v>284</v>
      </c>
      <c r="AG87" s="206"/>
      <c r="AH87" s="204"/>
      <c r="AI87" s="205"/>
      <c r="AJ87" s="205"/>
      <c r="AK87" s="205"/>
      <c r="AL87" s="206"/>
      <c r="AM87" s="207"/>
      <c r="AN87" s="205"/>
      <c r="AO87" s="205"/>
      <c r="AP87" s="206"/>
      <c r="AQ87" s="160"/>
    </row>
    <row r="88" spans="1:43">
      <c r="A88" s="160"/>
      <c r="B88" s="217"/>
      <c r="C88" s="176" t="s">
        <v>352</v>
      </c>
      <c r="D88" s="204"/>
      <c r="E88" s="205"/>
      <c r="F88" s="205"/>
      <c r="G88" s="205"/>
      <c r="H88" s="205"/>
      <c r="I88" s="205"/>
      <c r="J88" s="205"/>
      <c r="K88" s="205"/>
      <c r="L88" s="205"/>
      <c r="M88" s="205"/>
      <c r="N88" s="205"/>
      <c r="O88" s="206"/>
      <c r="P88" s="204" t="s">
        <v>284</v>
      </c>
      <c r="Q88" s="205" t="s">
        <v>284</v>
      </c>
      <c r="R88" s="205" t="s">
        <v>284</v>
      </c>
      <c r="S88" s="205" t="s">
        <v>284</v>
      </c>
      <c r="T88" s="205"/>
      <c r="U88" s="205"/>
      <c r="V88" s="205"/>
      <c r="W88" s="205"/>
      <c r="X88" s="205"/>
      <c r="Y88" s="205"/>
      <c r="Z88" s="205"/>
      <c r="AA88" s="205"/>
      <c r="AB88" s="205"/>
      <c r="AC88" s="205"/>
      <c r="AD88" s="205" t="s">
        <v>284</v>
      </c>
      <c r="AE88" s="205"/>
      <c r="AF88" s="205" t="s">
        <v>284</v>
      </c>
      <c r="AG88" s="206"/>
      <c r="AH88" s="204"/>
      <c r="AI88" s="205"/>
      <c r="AJ88" s="205"/>
      <c r="AK88" s="205"/>
      <c r="AL88" s="206"/>
      <c r="AM88" s="207"/>
      <c r="AN88" s="205" t="s">
        <v>284</v>
      </c>
      <c r="AO88" s="205" t="s">
        <v>284</v>
      </c>
      <c r="AP88" s="206"/>
      <c r="AQ88" s="160"/>
    </row>
    <row r="89" spans="1:43">
      <c r="A89" s="160"/>
      <c r="B89" s="217"/>
      <c r="C89" s="176" t="s">
        <v>353</v>
      </c>
      <c r="D89" s="204"/>
      <c r="E89" s="205"/>
      <c r="F89" s="205"/>
      <c r="G89" s="205"/>
      <c r="H89" s="205"/>
      <c r="I89" s="205"/>
      <c r="J89" s="205"/>
      <c r="K89" s="205"/>
      <c r="L89" s="205"/>
      <c r="M89" s="205"/>
      <c r="N89" s="205"/>
      <c r="O89" s="206"/>
      <c r="P89" s="204" t="s">
        <v>284</v>
      </c>
      <c r="Q89" s="205" t="s">
        <v>284</v>
      </c>
      <c r="R89" s="205" t="s">
        <v>284</v>
      </c>
      <c r="S89" s="205" t="s">
        <v>284</v>
      </c>
      <c r="T89" s="205"/>
      <c r="U89" s="205"/>
      <c r="V89" s="205"/>
      <c r="W89" s="205"/>
      <c r="X89" s="205"/>
      <c r="Y89" s="205"/>
      <c r="Z89" s="205" t="s">
        <v>284</v>
      </c>
      <c r="AA89" s="205"/>
      <c r="AB89" s="205"/>
      <c r="AC89" s="205"/>
      <c r="AD89" s="205" t="s">
        <v>284</v>
      </c>
      <c r="AE89" s="205"/>
      <c r="AF89" s="205" t="s">
        <v>284</v>
      </c>
      <c r="AG89" s="206"/>
      <c r="AH89" s="204"/>
      <c r="AI89" s="205"/>
      <c r="AJ89" s="205"/>
      <c r="AK89" s="205"/>
      <c r="AL89" s="206"/>
      <c r="AM89" s="207"/>
      <c r="AN89" s="205" t="s">
        <v>284</v>
      </c>
      <c r="AO89" s="205" t="s">
        <v>284</v>
      </c>
      <c r="AP89" s="206"/>
      <c r="AQ89" s="160"/>
    </row>
    <row r="90" spans="1:43">
      <c r="A90" s="160"/>
      <c r="B90" s="217"/>
      <c r="C90" s="176" t="s">
        <v>354</v>
      </c>
      <c r="D90" s="204"/>
      <c r="E90" s="205"/>
      <c r="F90" s="205"/>
      <c r="G90" s="205"/>
      <c r="H90" s="205"/>
      <c r="I90" s="205"/>
      <c r="J90" s="205"/>
      <c r="K90" s="205"/>
      <c r="L90" s="205"/>
      <c r="M90" s="205"/>
      <c r="N90" s="205"/>
      <c r="O90" s="206"/>
      <c r="P90" s="204" t="s">
        <v>284</v>
      </c>
      <c r="Q90" s="205" t="s">
        <v>284</v>
      </c>
      <c r="R90" s="205" t="s">
        <v>284</v>
      </c>
      <c r="S90" s="205" t="s">
        <v>284</v>
      </c>
      <c r="T90" s="205"/>
      <c r="U90" s="205" t="s">
        <v>284</v>
      </c>
      <c r="V90" s="205" t="s">
        <v>284</v>
      </c>
      <c r="W90" s="205" t="s">
        <v>284</v>
      </c>
      <c r="X90" s="205" t="s">
        <v>284</v>
      </c>
      <c r="Y90" s="205"/>
      <c r="Z90" s="205"/>
      <c r="AA90" s="205"/>
      <c r="AB90" s="205"/>
      <c r="AC90" s="205"/>
      <c r="AD90" s="205" t="s">
        <v>284</v>
      </c>
      <c r="AE90" s="205"/>
      <c r="AF90" s="205" t="s">
        <v>284</v>
      </c>
      <c r="AG90" s="206"/>
      <c r="AH90" s="204"/>
      <c r="AI90" s="205"/>
      <c r="AJ90" s="205"/>
      <c r="AK90" s="205"/>
      <c r="AL90" s="206"/>
      <c r="AM90" s="207"/>
      <c r="AN90" s="205" t="s">
        <v>284</v>
      </c>
      <c r="AO90" s="205"/>
      <c r="AP90" s="206"/>
      <c r="AQ90" s="160"/>
    </row>
    <row r="91" spans="1:43">
      <c r="A91" s="160"/>
      <c r="B91" s="217"/>
      <c r="C91" s="176" t="s">
        <v>355</v>
      </c>
      <c r="D91" s="204"/>
      <c r="E91" s="205"/>
      <c r="F91" s="205"/>
      <c r="G91" s="205"/>
      <c r="H91" s="205"/>
      <c r="I91" s="205"/>
      <c r="J91" s="205"/>
      <c r="K91" s="205"/>
      <c r="L91" s="205"/>
      <c r="M91" s="205"/>
      <c r="N91" s="205"/>
      <c r="O91" s="206"/>
      <c r="P91" s="204" t="s">
        <v>284</v>
      </c>
      <c r="Q91" s="205" t="s">
        <v>284</v>
      </c>
      <c r="R91" s="205" t="s">
        <v>284</v>
      </c>
      <c r="S91" s="205" t="s">
        <v>284</v>
      </c>
      <c r="T91" s="205"/>
      <c r="U91" s="205" t="s">
        <v>284</v>
      </c>
      <c r="V91" s="205" t="s">
        <v>284</v>
      </c>
      <c r="W91" s="205" t="s">
        <v>284</v>
      </c>
      <c r="X91" s="205" t="s">
        <v>284</v>
      </c>
      <c r="Y91" s="205"/>
      <c r="Z91" s="205" t="s">
        <v>284</v>
      </c>
      <c r="AA91" s="205"/>
      <c r="AB91" s="205" t="s">
        <v>284</v>
      </c>
      <c r="AC91" s="205"/>
      <c r="AD91" s="205" t="s">
        <v>284</v>
      </c>
      <c r="AE91" s="205"/>
      <c r="AF91" s="205" t="s">
        <v>284</v>
      </c>
      <c r="AG91" s="206"/>
      <c r="AH91" s="204"/>
      <c r="AI91" s="205"/>
      <c r="AJ91" s="205"/>
      <c r="AK91" s="205"/>
      <c r="AL91" s="206"/>
      <c r="AM91" s="207"/>
      <c r="AN91" s="205" t="s">
        <v>284</v>
      </c>
      <c r="AO91" s="205"/>
      <c r="AP91" s="206"/>
      <c r="AQ91" s="160"/>
    </row>
    <row r="92" spans="1:43">
      <c r="A92" s="160"/>
      <c r="B92" s="217"/>
      <c r="C92" s="176" t="s">
        <v>356</v>
      </c>
      <c r="D92" s="204"/>
      <c r="E92" s="205"/>
      <c r="F92" s="205"/>
      <c r="G92" s="205"/>
      <c r="H92" s="205"/>
      <c r="I92" s="205"/>
      <c r="J92" s="205"/>
      <c r="K92" s="205"/>
      <c r="L92" s="205"/>
      <c r="M92" s="205"/>
      <c r="N92" s="205"/>
      <c r="O92" s="206"/>
      <c r="P92" s="204" t="s">
        <v>284</v>
      </c>
      <c r="Q92" s="205" t="s">
        <v>284</v>
      </c>
      <c r="R92" s="205" t="s">
        <v>284</v>
      </c>
      <c r="S92" s="205" t="s">
        <v>284</v>
      </c>
      <c r="T92" s="205"/>
      <c r="U92" s="205" t="s">
        <v>284</v>
      </c>
      <c r="V92" s="205" t="s">
        <v>284</v>
      </c>
      <c r="W92" s="205" t="s">
        <v>284</v>
      </c>
      <c r="X92" s="205" t="s">
        <v>284</v>
      </c>
      <c r="Y92" s="205"/>
      <c r="Z92" s="205"/>
      <c r="AA92" s="205"/>
      <c r="AB92" s="205"/>
      <c r="AC92" s="205"/>
      <c r="AD92" s="205" t="s">
        <v>284</v>
      </c>
      <c r="AE92" s="205"/>
      <c r="AF92" s="205" t="s">
        <v>284</v>
      </c>
      <c r="AG92" s="206"/>
      <c r="AH92" s="204"/>
      <c r="AI92" s="205"/>
      <c r="AJ92" s="205"/>
      <c r="AK92" s="205"/>
      <c r="AL92" s="206"/>
      <c r="AM92" s="207"/>
      <c r="AN92" s="205" t="s">
        <v>284</v>
      </c>
      <c r="AO92" s="205" t="s">
        <v>284</v>
      </c>
      <c r="AP92" s="206"/>
      <c r="AQ92" s="160"/>
    </row>
    <row r="93" spans="1:43">
      <c r="A93" s="160"/>
      <c r="B93" s="217"/>
      <c r="C93" s="176" t="s">
        <v>357</v>
      </c>
      <c r="D93" s="204"/>
      <c r="E93" s="205"/>
      <c r="F93" s="205"/>
      <c r="G93" s="205"/>
      <c r="H93" s="205"/>
      <c r="I93" s="205"/>
      <c r="J93" s="205"/>
      <c r="K93" s="205"/>
      <c r="L93" s="205"/>
      <c r="M93" s="205"/>
      <c r="N93" s="205"/>
      <c r="O93" s="206"/>
      <c r="P93" s="204" t="s">
        <v>284</v>
      </c>
      <c r="Q93" s="205" t="s">
        <v>284</v>
      </c>
      <c r="R93" s="205" t="s">
        <v>284</v>
      </c>
      <c r="S93" s="205" t="s">
        <v>284</v>
      </c>
      <c r="T93" s="205"/>
      <c r="U93" s="205" t="s">
        <v>284</v>
      </c>
      <c r="V93" s="205" t="s">
        <v>284</v>
      </c>
      <c r="W93" s="205" t="s">
        <v>284</v>
      </c>
      <c r="X93" s="205" t="s">
        <v>284</v>
      </c>
      <c r="Y93" s="205"/>
      <c r="Z93" s="205" t="s">
        <v>284</v>
      </c>
      <c r="AA93" s="205"/>
      <c r="AB93" s="205"/>
      <c r="AC93" s="205"/>
      <c r="AD93" s="205" t="s">
        <v>284</v>
      </c>
      <c r="AE93" s="205"/>
      <c r="AF93" s="205" t="s">
        <v>284</v>
      </c>
      <c r="AG93" s="206"/>
      <c r="AH93" s="204"/>
      <c r="AI93" s="205"/>
      <c r="AJ93" s="205"/>
      <c r="AK93" s="205"/>
      <c r="AL93" s="206"/>
      <c r="AM93" s="207"/>
      <c r="AN93" s="205" t="s">
        <v>284</v>
      </c>
      <c r="AO93" s="205" t="s">
        <v>284</v>
      </c>
      <c r="AP93" s="206"/>
      <c r="AQ93" s="160"/>
    </row>
    <row r="94" spans="1:43">
      <c r="A94" s="160"/>
      <c r="B94" s="217"/>
      <c r="C94" s="219" t="s">
        <v>358</v>
      </c>
      <c r="D94" s="204"/>
      <c r="E94" s="205"/>
      <c r="F94" s="205"/>
      <c r="G94" s="205"/>
      <c r="H94" s="205"/>
      <c r="I94" s="205"/>
      <c r="J94" s="205"/>
      <c r="K94" s="205"/>
      <c r="L94" s="205"/>
      <c r="M94" s="205"/>
      <c r="N94" s="205"/>
      <c r="O94" s="206"/>
      <c r="P94" s="204" t="s">
        <v>284</v>
      </c>
      <c r="Q94" s="205" t="s">
        <v>284</v>
      </c>
      <c r="R94" s="205" t="s">
        <v>284</v>
      </c>
      <c r="S94" s="205" t="s">
        <v>284</v>
      </c>
      <c r="T94" s="205" t="s">
        <v>284</v>
      </c>
      <c r="U94" s="205" t="s">
        <v>284</v>
      </c>
      <c r="V94" s="205" t="s">
        <v>284</v>
      </c>
      <c r="W94" s="205" t="s">
        <v>284</v>
      </c>
      <c r="X94" s="205" t="s">
        <v>284</v>
      </c>
      <c r="Y94" s="205" t="s">
        <v>284</v>
      </c>
      <c r="Z94" s="205"/>
      <c r="AA94" s="205"/>
      <c r="AB94" s="205"/>
      <c r="AC94" s="205"/>
      <c r="AD94" s="205" t="s">
        <v>284</v>
      </c>
      <c r="AE94" s="205" t="s">
        <v>284</v>
      </c>
      <c r="AF94" s="205" t="s">
        <v>284</v>
      </c>
      <c r="AG94" s="206" t="s">
        <v>284</v>
      </c>
      <c r="AH94" s="204"/>
      <c r="AI94" s="205"/>
      <c r="AJ94" s="205"/>
      <c r="AK94" s="205"/>
      <c r="AL94" s="206"/>
      <c r="AM94" s="207"/>
      <c r="AN94" s="205" t="s">
        <v>284</v>
      </c>
      <c r="AO94" s="205"/>
      <c r="AP94" s="206"/>
      <c r="AQ94" s="160"/>
    </row>
    <row r="95" spans="1:43">
      <c r="A95" s="160"/>
      <c r="B95" s="217"/>
      <c r="C95" s="219" t="s">
        <v>359</v>
      </c>
      <c r="D95" s="204"/>
      <c r="E95" s="205"/>
      <c r="F95" s="205"/>
      <c r="G95" s="205"/>
      <c r="H95" s="205"/>
      <c r="I95" s="205"/>
      <c r="J95" s="205"/>
      <c r="K95" s="205"/>
      <c r="L95" s="205"/>
      <c r="M95" s="205"/>
      <c r="N95" s="205"/>
      <c r="O95" s="206"/>
      <c r="P95" s="204" t="s">
        <v>284</v>
      </c>
      <c r="Q95" s="205" t="s">
        <v>284</v>
      </c>
      <c r="R95" s="205" t="s">
        <v>284</v>
      </c>
      <c r="S95" s="205" t="s">
        <v>284</v>
      </c>
      <c r="T95" s="205" t="s">
        <v>284</v>
      </c>
      <c r="U95" s="205" t="s">
        <v>284</v>
      </c>
      <c r="V95" s="205" t="s">
        <v>284</v>
      </c>
      <c r="W95" s="205" t="s">
        <v>284</v>
      </c>
      <c r="X95" s="205" t="s">
        <v>284</v>
      </c>
      <c r="Y95" s="205" t="s">
        <v>284</v>
      </c>
      <c r="Z95" s="205" t="s">
        <v>284</v>
      </c>
      <c r="AA95" s="205" t="s">
        <v>284</v>
      </c>
      <c r="AB95" s="205" t="s">
        <v>284</v>
      </c>
      <c r="AC95" s="205" t="s">
        <v>284</v>
      </c>
      <c r="AD95" s="205" t="s">
        <v>284</v>
      </c>
      <c r="AE95" s="205" t="s">
        <v>284</v>
      </c>
      <c r="AF95" s="205" t="s">
        <v>284</v>
      </c>
      <c r="AG95" s="206" t="s">
        <v>284</v>
      </c>
      <c r="AH95" s="204"/>
      <c r="AI95" s="205"/>
      <c r="AJ95" s="205"/>
      <c r="AK95" s="205"/>
      <c r="AL95" s="206"/>
      <c r="AM95" s="207"/>
      <c r="AN95" s="205" t="s">
        <v>284</v>
      </c>
      <c r="AO95" s="205"/>
      <c r="AP95" s="206"/>
      <c r="AQ95" s="160"/>
    </row>
    <row r="96" spans="1:43">
      <c r="A96" s="160"/>
      <c r="B96" s="217"/>
      <c r="C96" s="219" t="s">
        <v>360</v>
      </c>
      <c r="D96" s="204"/>
      <c r="E96" s="205"/>
      <c r="F96" s="205"/>
      <c r="G96" s="205"/>
      <c r="H96" s="205"/>
      <c r="I96" s="205"/>
      <c r="J96" s="205"/>
      <c r="K96" s="205"/>
      <c r="L96" s="205"/>
      <c r="M96" s="205"/>
      <c r="N96" s="205"/>
      <c r="O96" s="206"/>
      <c r="P96" s="204" t="s">
        <v>284</v>
      </c>
      <c r="Q96" s="205" t="s">
        <v>284</v>
      </c>
      <c r="R96" s="205" t="s">
        <v>284</v>
      </c>
      <c r="S96" s="205" t="s">
        <v>284</v>
      </c>
      <c r="T96" s="205" t="s">
        <v>284</v>
      </c>
      <c r="U96" s="205" t="s">
        <v>284</v>
      </c>
      <c r="V96" s="205" t="s">
        <v>284</v>
      </c>
      <c r="W96" s="205" t="s">
        <v>284</v>
      </c>
      <c r="X96" s="205" t="s">
        <v>284</v>
      </c>
      <c r="Y96" s="205" t="s">
        <v>284</v>
      </c>
      <c r="Z96" s="205"/>
      <c r="AA96" s="205"/>
      <c r="AB96" s="205"/>
      <c r="AC96" s="205"/>
      <c r="AD96" s="205" t="s">
        <v>284</v>
      </c>
      <c r="AE96" s="205" t="s">
        <v>284</v>
      </c>
      <c r="AF96" s="205" t="s">
        <v>284</v>
      </c>
      <c r="AG96" s="206" t="s">
        <v>284</v>
      </c>
      <c r="AH96" s="204"/>
      <c r="AI96" s="205"/>
      <c r="AJ96" s="205"/>
      <c r="AK96" s="205"/>
      <c r="AL96" s="206"/>
      <c r="AM96" s="207"/>
      <c r="AN96" s="205" t="s">
        <v>284</v>
      </c>
      <c r="AO96" s="205" t="s">
        <v>284</v>
      </c>
      <c r="AP96" s="206"/>
      <c r="AQ96" s="160"/>
    </row>
    <row r="97" spans="1:43" ht="13.8" thickBot="1">
      <c r="A97" s="160"/>
      <c r="B97" s="252"/>
      <c r="C97" s="221" t="s">
        <v>361</v>
      </c>
      <c r="D97" s="210"/>
      <c r="E97" s="211"/>
      <c r="F97" s="211"/>
      <c r="G97" s="211"/>
      <c r="H97" s="211"/>
      <c r="I97" s="211"/>
      <c r="J97" s="211"/>
      <c r="K97" s="211"/>
      <c r="L97" s="211"/>
      <c r="M97" s="211"/>
      <c r="N97" s="211"/>
      <c r="O97" s="212"/>
      <c r="P97" s="210" t="s">
        <v>284</v>
      </c>
      <c r="Q97" s="211" t="s">
        <v>284</v>
      </c>
      <c r="R97" s="211" t="s">
        <v>284</v>
      </c>
      <c r="S97" s="211" t="s">
        <v>284</v>
      </c>
      <c r="T97" s="211" t="s">
        <v>284</v>
      </c>
      <c r="U97" s="211" t="s">
        <v>284</v>
      </c>
      <c r="V97" s="211" t="s">
        <v>284</v>
      </c>
      <c r="W97" s="211" t="s">
        <v>284</v>
      </c>
      <c r="X97" s="211" t="s">
        <v>284</v>
      </c>
      <c r="Y97" s="211" t="s">
        <v>284</v>
      </c>
      <c r="Z97" s="211" t="s">
        <v>284</v>
      </c>
      <c r="AA97" s="211" t="s">
        <v>284</v>
      </c>
      <c r="AB97" s="211"/>
      <c r="AC97" s="211"/>
      <c r="AD97" s="211" t="s">
        <v>284</v>
      </c>
      <c r="AE97" s="211" t="s">
        <v>284</v>
      </c>
      <c r="AF97" s="211" t="s">
        <v>284</v>
      </c>
      <c r="AG97" s="212" t="s">
        <v>284</v>
      </c>
      <c r="AH97" s="210"/>
      <c r="AI97" s="211"/>
      <c r="AJ97" s="211"/>
      <c r="AK97" s="211"/>
      <c r="AL97" s="212"/>
      <c r="AM97" s="213"/>
      <c r="AN97" s="211" t="s">
        <v>284</v>
      </c>
      <c r="AO97" s="211" t="s">
        <v>284</v>
      </c>
      <c r="AP97" s="212"/>
      <c r="AQ97" s="160"/>
    </row>
    <row r="98" spans="1:43" ht="13.8" thickBot="1">
      <c r="A98" s="160"/>
      <c r="B98" s="222" t="s">
        <v>687</v>
      </c>
      <c r="C98" s="253" t="s">
        <v>265</v>
      </c>
      <c r="D98" s="254"/>
      <c r="E98" s="255"/>
      <c r="F98" s="255"/>
      <c r="G98" s="255"/>
      <c r="H98" s="255"/>
      <c r="I98" s="255"/>
      <c r="J98" s="255"/>
      <c r="K98" s="255"/>
      <c r="L98" s="255"/>
      <c r="M98" s="255"/>
      <c r="N98" s="255"/>
      <c r="O98" s="256"/>
      <c r="P98" s="254"/>
      <c r="Q98" s="255"/>
      <c r="R98" s="255"/>
      <c r="S98" s="255"/>
      <c r="T98" s="255"/>
      <c r="U98" s="255"/>
      <c r="V98" s="255"/>
      <c r="W98" s="255"/>
      <c r="X98" s="255"/>
      <c r="Y98" s="255"/>
      <c r="Z98" s="255"/>
      <c r="AA98" s="255"/>
      <c r="AB98" s="255"/>
      <c r="AC98" s="255"/>
      <c r="AD98" s="255"/>
      <c r="AE98" s="255"/>
      <c r="AF98" s="255"/>
      <c r="AG98" s="256"/>
      <c r="AH98" s="254"/>
      <c r="AI98" s="255"/>
      <c r="AJ98" s="255"/>
      <c r="AK98" s="255"/>
      <c r="AL98" s="256"/>
      <c r="AM98" s="257"/>
      <c r="AN98" s="255"/>
      <c r="AO98" s="255" t="s">
        <v>284</v>
      </c>
      <c r="AP98" s="256"/>
      <c r="AQ98" s="160"/>
    </row>
    <row r="99" spans="1:43">
      <c r="A99" s="160"/>
      <c r="B99" s="228" t="s">
        <v>688</v>
      </c>
      <c r="C99" s="229" t="s">
        <v>405</v>
      </c>
      <c r="D99" s="197"/>
      <c r="E99" s="198"/>
      <c r="F99" s="198"/>
      <c r="G99" s="198"/>
      <c r="H99" s="198"/>
      <c r="I99" s="198"/>
      <c r="J99" s="198"/>
      <c r="K99" s="198"/>
      <c r="L99" s="198"/>
      <c r="M99" s="198"/>
      <c r="N99" s="198"/>
      <c r="O99" s="199"/>
      <c r="P99" s="197"/>
      <c r="Q99" s="198"/>
      <c r="R99" s="198"/>
      <c r="S99" s="198"/>
      <c r="T99" s="198"/>
      <c r="U99" s="198"/>
      <c r="V99" s="198"/>
      <c r="W99" s="198"/>
      <c r="X99" s="198"/>
      <c r="Y99" s="198"/>
      <c r="Z99" s="198"/>
      <c r="AA99" s="198"/>
      <c r="AB99" s="198"/>
      <c r="AC99" s="198"/>
      <c r="AD99" s="198"/>
      <c r="AE99" s="198"/>
      <c r="AF99" s="198"/>
      <c r="AG99" s="199"/>
      <c r="AH99" s="197"/>
      <c r="AI99" s="198"/>
      <c r="AJ99" s="198"/>
      <c r="AK99" s="198"/>
      <c r="AL99" s="199"/>
      <c r="AM99" s="200"/>
      <c r="AN99" s="198"/>
      <c r="AO99" s="198" t="s">
        <v>284</v>
      </c>
      <c r="AP99" s="199" t="s">
        <v>284</v>
      </c>
      <c r="AQ99" s="160"/>
    </row>
    <row r="100" spans="1:43">
      <c r="A100" s="160"/>
      <c r="B100" s="230" t="s">
        <v>689</v>
      </c>
      <c r="C100" s="231" t="s">
        <v>406</v>
      </c>
      <c r="D100" s="204"/>
      <c r="E100" s="205"/>
      <c r="F100" s="205"/>
      <c r="G100" s="205"/>
      <c r="H100" s="205"/>
      <c r="I100" s="205"/>
      <c r="J100" s="205"/>
      <c r="K100" s="205"/>
      <c r="L100" s="205"/>
      <c r="M100" s="205"/>
      <c r="N100" s="205"/>
      <c r="O100" s="206"/>
      <c r="P100" s="204"/>
      <c r="Q100" s="205"/>
      <c r="R100" s="205"/>
      <c r="S100" s="205"/>
      <c r="T100" s="205"/>
      <c r="U100" s="205"/>
      <c r="V100" s="205"/>
      <c r="W100" s="205"/>
      <c r="X100" s="205"/>
      <c r="Y100" s="205"/>
      <c r="Z100" s="205"/>
      <c r="AA100" s="205"/>
      <c r="AB100" s="205"/>
      <c r="AC100" s="205"/>
      <c r="AD100" s="205"/>
      <c r="AE100" s="205"/>
      <c r="AF100" s="205"/>
      <c r="AG100" s="206"/>
      <c r="AH100" s="204" t="s">
        <v>284</v>
      </c>
      <c r="AI100" s="205" t="s">
        <v>284</v>
      </c>
      <c r="AJ100" s="205" t="s">
        <v>284</v>
      </c>
      <c r="AK100" s="205" t="s">
        <v>284</v>
      </c>
      <c r="AL100" s="206" t="s">
        <v>284</v>
      </c>
      <c r="AM100" s="207"/>
      <c r="AN100" s="205"/>
      <c r="AO100" s="205" t="s">
        <v>284</v>
      </c>
      <c r="AP100" s="206" t="s">
        <v>284</v>
      </c>
      <c r="AQ100" s="160"/>
    </row>
    <row r="101" spans="1:43" ht="13.8" thickBot="1">
      <c r="A101" s="160"/>
      <c r="B101" s="232"/>
      <c r="C101" s="233" t="s">
        <v>490</v>
      </c>
      <c r="D101" s="210"/>
      <c r="E101" s="211"/>
      <c r="F101" s="211"/>
      <c r="G101" s="211"/>
      <c r="H101" s="211"/>
      <c r="I101" s="211"/>
      <c r="J101" s="211"/>
      <c r="K101" s="211"/>
      <c r="L101" s="211"/>
      <c r="M101" s="211"/>
      <c r="N101" s="211"/>
      <c r="O101" s="212"/>
      <c r="P101" s="210"/>
      <c r="Q101" s="211"/>
      <c r="R101" s="211"/>
      <c r="S101" s="211"/>
      <c r="T101" s="211"/>
      <c r="U101" s="211"/>
      <c r="V101" s="211"/>
      <c r="W101" s="211"/>
      <c r="X101" s="211"/>
      <c r="Y101" s="211"/>
      <c r="Z101" s="211"/>
      <c r="AA101" s="211"/>
      <c r="AB101" s="211"/>
      <c r="AC101" s="211"/>
      <c r="AD101" s="211"/>
      <c r="AE101" s="211"/>
      <c r="AF101" s="211"/>
      <c r="AG101" s="212"/>
      <c r="AH101" s="210" t="s">
        <v>284</v>
      </c>
      <c r="AI101" s="211" t="s">
        <v>284</v>
      </c>
      <c r="AJ101" s="211" t="s">
        <v>284</v>
      </c>
      <c r="AK101" s="211" t="s">
        <v>284</v>
      </c>
      <c r="AL101" s="212" t="s">
        <v>284</v>
      </c>
      <c r="AM101" s="213"/>
      <c r="AN101" s="211"/>
      <c r="AO101" s="211" t="s">
        <v>284</v>
      </c>
      <c r="AP101" s="212" t="s">
        <v>284</v>
      </c>
      <c r="AQ101" s="160"/>
    </row>
    <row r="102" spans="1:43" ht="40.200000000000003" thickBot="1">
      <c r="A102" s="160"/>
      <c r="B102" s="234" t="s">
        <v>690</v>
      </c>
      <c r="C102" s="258" t="s">
        <v>415</v>
      </c>
      <c r="D102" s="259" t="s">
        <v>284</v>
      </c>
      <c r="E102" s="260" t="s">
        <v>284</v>
      </c>
      <c r="F102" s="260" t="s">
        <v>284</v>
      </c>
      <c r="G102" s="260" t="s">
        <v>284</v>
      </c>
      <c r="H102" s="260" t="s">
        <v>284</v>
      </c>
      <c r="I102" s="260" t="s">
        <v>284</v>
      </c>
      <c r="J102" s="260" t="s">
        <v>284</v>
      </c>
      <c r="K102" s="260" t="s">
        <v>284</v>
      </c>
      <c r="L102" s="260" t="s">
        <v>284</v>
      </c>
      <c r="M102" s="260" t="s">
        <v>284</v>
      </c>
      <c r="N102" s="260" t="s">
        <v>284</v>
      </c>
      <c r="O102" s="261" t="s">
        <v>284</v>
      </c>
      <c r="P102" s="259" t="s">
        <v>284</v>
      </c>
      <c r="Q102" s="260" t="s">
        <v>284</v>
      </c>
      <c r="R102" s="260" t="s">
        <v>284</v>
      </c>
      <c r="S102" s="260" t="s">
        <v>284</v>
      </c>
      <c r="T102" s="260" t="s">
        <v>284</v>
      </c>
      <c r="U102" s="260" t="s">
        <v>284</v>
      </c>
      <c r="V102" s="260" t="s">
        <v>284</v>
      </c>
      <c r="W102" s="260" t="s">
        <v>284</v>
      </c>
      <c r="X102" s="260" t="s">
        <v>284</v>
      </c>
      <c r="Y102" s="260" t="s">
        <v>284</v>
      </c>
      <c r="Z102" s="260" t="s">
        <v>284</v>
      </c>
      <c r="AA102" s="260" t="s">
        <v>284</v>
      </c>
      <c r="AB102" s="260" t="s">
        <v>284</v>
      </c>
      <c r="AC102" s="260" t="s">
        <v>284</v>
      </c>
      <c r="AD102" s="260" t="s">
        <v>284</v>
      </c>
      <c r="AE102" s="260" t="s">
        <v>284</v>
      </c>
      <c r="AF102" s="260" t="s">
        <v>284</v>
      </c>
      <c r="AG102" s="261" t="s">
        <v>284</v>
      </c>
      <c r="AH102" s="259" t="s">
        <v>284</v>
      </c>
      <c r="AI102" s="260" t="s">
        <v>284</v>
      </c>
      <c r="AJ102" s="260" t="s">
        <v>284</v>
      </c>
      <c r="AK102" s="260" t="s">
        <v>284</v>
      </c>
      <c r="AL102" s="261" t="s">
        <v>284</v>
      </c>
      <c r="AM102" s="262" t="s">
        <v>284</v>
      </c>
      <c r="AN102" s="260" t="s">
        <v>284</v>
      </c>
      <c r="AO102" s="260" t="s">
        <v>284</v>
      </c>
      <c r="AP102" s="261" t="s">
        <v>284</v>
      </c>
      <c r="AQ102" s="160"/>
    </row>
    <row r="103" spans="1:43">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row>
  </sheetData>
  <sheetProtection algorithmName="SHA-512" hashValue="5QJoRQkNI8/r7Qw/gaYWfPObOyCT387GHqN/sq15c/Z82MSz1ENB3Xq322PbUDTJyNtQeSIfa0XiZTdnVL+DWw==" saltValue="9AlJ/mq5pxCEd1KOjJ9maQ==" spinCount="100000" sheet="1" objects="1" scenarios="1"/>
  <mergeCells count="14">
    <mergeCell ref="B6:C6"/>
    <mergeCell ref="B7:C7"/>
    <mergeCell ref="AB4:AC4"/>
    <mergeCell ref="AD4:AE4"/>
    <mergeCell ref="AF4:AG4"/>
    <mergeCell ref="AH4:AL4"/>
    <mergeCell ref="AM4:AP4"/>
    <mergeCell ref="B5:C5"/>
    <mergeCell ref="B4:C4"/>
    <mergeCell ref="D4:H4"/>
    <mergeCell ref="I4:M4"/>
    <mergeCell ref="P4:T4"/>
    <mergeCell ref="U4:Y4"/>
    <mergeCell ref="Z4:AA4"/>
  </mergeCells>
  <phoneticPr fontI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5" tint="0.59999389629810485"/>
  </sheetPr>
  <dimension ref="A1:A121"/>
  <sheetViews>
    <sheetView workbookViewId="0"/>
  </sheetViews>
  <sheetFormatPr defaultRowHeight="13.2"/>
  <sheetData>
    <row r="1" spans="1:1">
      <c r="A1" t="s">
        <v>725</v>
      </c>
    </row>
    <row r="2" spans="1:1">
      <c r="A2" s="160" t="s">
        <v>283</v>
      </c>
    </row>
    <row r="3" spans="1:1">
      <c r="A3" s="160" t="s">
        <v>239</v>
      </c>
    </row>
    <row r="4" spans="1:1">
      <c r="A4" s="160" t="s">
        <v>285</v>
      </c>
    </row>
    <row r="5" spans="1:1">
      <c r="A5" s="160" t="s">
        <v>286</v>
      </c>
    </row>
    <row r="6" spans="1:1">
      <c r="A6" s="160" t="s">
        <v>287</v>
      </c>
    </row>
    <row r="7" spans="1:1">
      <c r="A7" s="160" t="s">
        <v>288</v>
      </c>
    </row>
    <row r="8" spans="1:1">
      <c r="A8" s="160" t="s">
        <v>289</v>
      </c>
    </row>
    <row r="9" spans="1:1">
      <c r="A9" s="160" t="s">
        <v>290</v>
      </c>
    </row>
    <row r="10" spans="1:1">
      <c r="A10" s="160" t="s">
        <v>291</v>
      </c>
    </row>
    <row r="11" spans="1:1">
      <c r="A11" s="160" t="s">
        <v>292</v>
      </c>
    </row>
    <row r="12" spans="1:1">
      <c r="A12" s="160" t="s">
        <v>293</v>
      </c>
    </row>
    <row r="13" spans="1:1">
      <c r="A13" s="160" t="s">
        <v>243</v>
      </c>
    </row>
    <row r="14" spans="1:1">
      <c r="A14" s="160" t="s">
        <v>249</v>
      </c>
    </row>
    <row r="15" spans="1:1">
      <c r="A15" s="160" t="s">
        <v>294</v>
      </c>
    </row>
    <row r="16" spans="1:1">
      <c r="A16" s="160" t="s">
        <v>241</v>
      </c>
    </row>
    <row r="17" spans="1:1">
      <c r="A17" s="160" t="s">
        <v>295</v>
      </c>
    </row>
    <row r="18" spans="1:1">
      <c r="A18" s="160" t="s">
        <v>254</v>
      </c>
    </row>
    <row r="19" spans="1:1">
      <c r="A19" s="160" t="s">
        <v>257</v>
      </c>
    </row>
    <row r="20" spans="1:1">
      <c r="A20" s="160" t="s">
        <v>250</v>
      </c>
    </row>
    <row r="21" spans="1:1">
      <c r="A21" s="160" t="s">
        <v>296</v>
      </c>
    </row>
    <row r="22" spans="1:1">
      <c r="A22" s="160" t="s">
        <v>297</v>
      </c>
    </row>
    <row r="23" spans="1:1">
      <c r="A23" s="160" t="s">
        <v>258</v>
      </c>
    </row>
    <row r="24" spans="1:1">
      <c r="A24" s="160" t="s">
        <v>298</v>
      </c>
    </row>
    <row r="25" spans="1:1">
      <c r="A25" s="160" t="s">
        <v>240</v>
      </c>
    </row>
    <row r="26" spans="1:1">
      <c r="A26" s="160" t="s">
        <v>299</v>
      </c>
    </row>
    <row r="27" spans="1:1">
      <c r="A27" s="160" t="s">
        <v>256</v>
      </c>
    </row>
    <row r="28" spans="1:1">
      <c r="A28" s="160" t="s">
        <v>300</v>
      </c>
    </row>
    <row r="29" spans="1:1">
      <c r="A29" s="160" t="s">
        <v>255</v>
      </c>
    </row>
    <row r="30" spans="1:1">
      <c r="A30" s="160" t="s">
        <v>242</v>
      </c>
    </row>
    <row r="31" spans="1:1">
      <c r="A31" s="160" t="s">
        <v>301</v>
      </c>
    </row>
    <row r="32" spans="1:1">
      <c r="A32" s="160" t="s">
        <v>302</v>
      </c>
    </row>
    <row r="33" spans="1:1">
      <c r="A33" s="160" t="s">
        <v>303</v>
      </c>
    </row>
    <row r="34" spans="1:1">
      <c r="A34" s="160" t="s">
        <v>244</v>
      </c>
    </row>
    <row r="35" spans="1:1">
      <c r="A35" s="160" t="s">
        <v>304</v>
      </c>
    </row>
    <row r="36" spans="1:1">
      <c r="A36" s="160" t="s">
        <v>305</v>
      </c>
    </row>
    <row r="37" spans="1:1">
      <c r="A37" s="160" t="s">
        <v>306</v>
      </c>
    </row>
    <row r="38" spans="1:1">
      <c r="A38" s="160" t="s">
        <v>248</v>
      </c>
    </row>
    <row r="39" spans="1:1">
      <c r="A39" s="160" t="s">
        <v>307</v>
      </c>
    </row>
    <row r="40" spans="1:1">
      <c r="A40" s="160" t="s">
        <v>308</v>
      </c>
    </row>
    <row r="41" spans="1:1">
      <c r="A41" s="160" t="s">
        <v>259</v>
      </c>
    </row>
    <row r="42" spans="1:1">
      <c r="A42" s="160" t="s">
        <v>309</v>
      </c>
    </row>
    <row r="43" spans="1:1">
      <c r="A43" s="160" t="s">
        <v>310</v>
      </c>
    </row>
    <row r="44" spans="1:1">
      <c r="A44" s="160" t="s">
        <v>311</v>
      </c>
    </row>
    <row r="45" spans="1:1">
      <c r="A45" s="160" t="s">
        <v>312</v>
      </c>
    </row>
    <row r="46" spans="1:1">
      <c r="A46" s="160" t="s">
        <v>313</v>
      </c>
    </row>
    <row r="47" spans="1:1">
      <c r="A47" s="160" t="s">
        <v>314</v>
      </c>
    </row>
    <row r="48" spans="1:1">
      <c r="A48" s="160" t="s">
        <v>315</v>
      </c>
    </row>
    <row r="49" spans="1:1">
      <c r="A49" s="160" t="s">
        <v>264</v>
      </c>
    </row>
    <row r="50" spans="1:1">
      <c r="A50" s="160" t="s">
        <v>316</v>
      </c>
    </row>
    <row r="51" spans="1:1">
      <c r="A51" s="160" t="s">
        <v>317</v>
      </c>
    </row>
    <row r="52" spans="1:1">
      <c r="A52" s="160" t="s">
        <v>318</v>
      </c>
    </row>
    <row r="53" spans="1:1">
      <c r="A53" s="160" t="s">
        <v>263</v>
      </c>
    </row>
    <row r="54" spans="1:1">
      <c r="A54" s="160" t="s">
        <v>319</v>
      </c>
    </row>
    <row r="55" spans="1:1">
      <c r="A55" s="160" t="s">
        <v>320</v>
      </c>
    </row>
    <row r="56" spans="1:1">
      <c r="A56" s="160" t="s">
        <v>261</v>
      </c>
    </row>
    <row r="57" spans="1:1">
      <c r="A57" s="160" t="s">
        <v>321</v>
      </c>
    </row>
    <row r="58" spans="1:1">
      <c r="A58" s="160" t="s">
        <v>246</v>
      </c>
    </row>
    <row r="59" spans="1:1">
      <c r="A59" s="160" t="s">
        <v>245</v>
      </c>
    </row>
    <row r="60" spans="1:1">
      <c r="A60" s="160" t="s">
        <v>236</v>
      </c>
    </row>
    <row r="61" spans="1:1">
      <c r="A61" s="160" t="s">
        <v>247</v>
      </c>
    </row>
    <row r="62" spans="1:1">
      <c r="A62" s="160" t="s">
        <v>253</v>
      </c>
    </row>
    <row r="63" spans="1:1">
      <c r="A63" s="160" t="s">
        <v>322</v>
      </c>
    </row>
    <row r="64" spans="1:1">
      <c r="A64" s="160" t="s">
        <v>251</v>
      </c>
    </row>
    <row r="65" spans="1:1">
      <c r="A65" s="160" t="s">
        <v>260</v>
      </c>
    </row>
    <row r="66" spans="1:1">
      <c r="A66" s="160" t="s">
        <v>237</v>
      </c>
    </row>
    <row r="67" spans="1:1">
      <c r="A67" s="160" t="s">
        <v>323</v>
      </c>
    </row>
    <row r="68" spans="1:1">
      <c r="A68" s="160" t="s">
        <v>252</v>
      </c>
    </row>
    <row r="69" spans="1:1">
      <c r="A69" s="160" t="s">
        <v>324</v>
      </c>
    </row>
    <row r="70" spans="1:1">
      <c r="A70" s="160" t="s">
        <v>238</v>
      </c>
    </row>
    <row r="71" spans="1:1">
      <c r="A71" s="160" t="s">
        <v>325</v>
      </c>
    </row>
    <row r="72" spans="1:1">
      <c r="A72" s="160" t="s">
        <v>262</v>
      </c>
    </row>
    <row r="73" spans="1:1">
      <c r="A73" s="160" t="s">
        <v>326</v>
      </c>
    </row>
    <row r="74" spans="1:1">
      <c r="A74" s="160" t="s">
        <v>344</v>
      </c>
    </row>
    <row r="75" spans="1:1">
      <c r="A75" s="160" t="s">
        <v>345</v>
      </c>
    </row>
    <row r="76" spans="1:1">
      <c r="A76" s="160" t="s">
        <v>346</v>
      </c>
    </row>
    <row r="77" spans="1:1">
      <c r="A77" s="160" t="s">
        <v>347</v>
      </c>
    </row>
    <row r="78" spans="1:1">
      <c r="A78" s="160" t="s">
        <v>348</v>
      </c>
    </row>
    <row r="79" spans="1:1">
      <c r="A79" s="160" t="s">
        <v>349</v>
      </c>
    </row>
    <row r="80" spans="1:1">
      <c r="A80" s="160" t="s">
        <v>350</v>
      </c>
    </row>
    <row r="81" spans="1:1">
      <c r="A81" s="160" t="s">
        <v>351</v>
      </c>
    </row>
    <row r="82" spans="1:1">
      <c r="A82" s="160" t="s">
        <v>352</v>
      </c>
    </row>
    <row r="83" spans="1:1">
      <c r="A83" s="160" t="s">
        <v>353</v>
      </c>
    </row>
    <row r="84" spans="1:1">
      <c r="A84" s="160" t="s">
        <v>354</v>
      </c>
    </row>
    <row r="85" spans="1:1">
      <c r="A85" s="160" t="s">
        <v>355</v>
      </c>
    </row>
    <row r="86" spans="1:1">
      <c r="A86" s="160" t="s">
        <v>356</v>
      </c>
    </row>
    <row r="87" spans="1:1">
      <c r="A87" s="160" t="s">
        <v>357</v>
      </c>
    </row>
    <row r="88" spans="1:1">
      <c r="A88" s="160" t="s">
        <v>358</v>
      </c>
    </row>
    <row r="89" spans="1:1">
      <c r="A89" s="160" t="s">
        <v>359</v>
      </c>
    </row>
    <row r="90" spans="1:1">
      <c r="A90" s="160" t="s">
        <v>360</v>
      </c>
    </row>
    <row r="91" spans="1:1">
      <c r="A91" s="160" t="s">
        <v>361</v>
      </c>
    </row>
    <row r="92" spans="1:1">
      <c r="A92" s="160" t="s">
        <v>265</v>
      </c>
    </row>
    <row r="93" spans="1:1">
      <c r="A93" s="160" t="s">
        <v>405</v>
      </c>
    </row>
    <row r="94" spans="1:1">
      <c r="A94" s="160" t="s">
        <v>406</v>
      </c>
    </row>
    <row r="95" spans="1:1">
      <c r="A95" s="160" t="s">
        <v>490</v>
      </c>
    </row>
    <row r="96" spans="1:1">
      <c r="A96" s="160"/>
    </row>
    <row r="97" spans="1:1">
      <c r="A97" s="71"/>
    </row>
    <row r="98" spans="1:1">
      <c r="A98" s="71"/>
    </row>
    <row r="99" spans="1:1">
      <c r="A99" s="71"/>
    </row>
    <row r="100" spans="1:1">
      <c r="A100" s="71"/>
    </row>
    <row r="101" spans="1:1">
      <c r="A101" s="71"/>
    </row>
    <row r="102" spans="1:1">
      <c r="A102" s="71"/>
    </row>
    <row r="103" spans="1:1">
      <c r="A103" s="71"/>
    </row>
    <row r="104" spans="1:1">
      <c r="A104" s="71"/>
    </row>
    <row r="105" spans="1:1">
      <c r="A105" s="71"/>
    </row>
    <row r="106" spans="1:1">
      <c r="A106" s="71"/>
    </row>
    <row r="107" spans="1:1">
      <c r="A107" s="71"/>
    </row>
    <row r="108" spans="1:1">
      <c r="A108" s="71"/>
    </row>
    <row r="109" spans="1:1">
      <c r="A109" s="71"/>
    </row>
    <row r="110" spans="1:1">
      <c r="A110" s="71"/>
    </row>
    <row r="111" spans="1:1">
      <c r="A111" s="71"/>
    </row>
    <row r="112" spans="1:1">
      <c r="A112" s="71"/>
    </row>
    <row r="113" spans="1:1">
      <c r="A113" s="71"/>
    </row>
    <row r="114" spans="1:1">
      <c r="A114" s="71"/>
    </row>
    <row r="115" spans="1:1">
      <c r="A115" s="71"/>
    </row>
    <row r="116" spans="1:1">
      <c r="A116" s="71"/>
    </row>
    <row r="117" spans="1:1">
      <c r="A117" s="71"/>
    </row>
    <row r="118" spans="1:1">
      <c r="A118" s="71"/>
    </row>
    <row r="119" spans="1:1">
      <c r="A119" s="71"/>
    </row>
    <row r="120" spans="1:1">
      <c r="A120" s="71"/>
    </row>
    <row r="121" spans="1:1">
      <c r="A121" s="71"/>
    </row>
  </sheetData>
  <phoneticPr fontId="6"/>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NgCharSheet"/>
  <dimension ref="A1:C17"/>
  <sheetViews>
    <sheetView workbookViewId="0"/>
  </sheetViews>
  <sheetFormatPr defaultColWidth="9" defaultRowHeight="13.2"/>
  <cols>
    <col min="1" max="1" width="10.33203125" style="4" customWidth="1"/>
    <col min="2" max="2" width="61" style="4" customWidth="1"/>
    <col min="3" max="3" width="21.21875" style="4" bestFit="1" customWidth="1"/>
    <col min="4" max="16384" width="9" style="4"/>
  </cols>
  <sheetData>
    <row r="1" spans="1:3" ht="16.2">
      <c r="A1" s="3" t="s">
        <v>153</v>
      </c>
    </row>
    <row r="3" spans="1:3">
      <c r="A3" s="5" t="s">
        <v>154</v>
      </c>
      <c r="B3" s="5" t="s">
        <v>155</v>
      </c>
      <c r="C3" s="5" t="s">
        <v>156</v>
      </c>
    </row>
    <row r="4" spans="1:3">
      <c r="A4" s="6" t="s">
        <v>157</v>
      </c>
      <c r="B4" s="6" t="s">
        <v>158</v>
      </c>
      <c r="C4" s="6" t="s">
        <v>159</v>
      </c>
    </row>
    <row r="5" spans="1:3">
      <c r="A5" s="6" t="s">
        <v>160</v>
      </c>
      <c r="B5" s="6" t="s">
        <v>161</v>
      </c>
      <c r="C5" s="6" t="s">
        <v>162</v>
      </c>
    </row>
    <row r="6" spans="1:3">
      <c r="A6" s="6" t="s">
        <v>163</v>
      </c>
      <c r="B6" s="6" t="s">
        <v>164</v>
      </c>
      <c r="C6" s="6" t="s">
        <v>165</v>
      </c>
    </row>
    <row r="7" spans="1:3">
      <c r="A7" s="6" t="s">
        <v>166</v>
      </c>
      <c r="B7" s="6" t="s">
        <v>167</v>
      </c>
      <c r="C7" s="6" t="s">
        <v>168</v>
      </c>
    </row>
    <row r="8" spans="1:3">
      <c r="A8" s="6" t="s">
        <v>169</v>
      </c>
      <c r="B8" s="6" t="s">
        <v>170</v>
      </c>
      <c r="C8" s="6" t="s">
        <v>171</v>
      </c>
    </row>
    <row r="9" spans="1:3">
      <c r="A9" s="6" t="s">
        <v>172</v>
      </c>
      <c r="B9" s="6" t="s">
        <v>173</v>
      </c>
      <c r="C9" s="6" t="s">
        <v>174</v>
      </c>
    </row>
    <row r="10" spans="1:3">
      <c r="A10" s="6" t="s">
        <v>175</v>
      </c>
      <c r="B10" s="6" t="s">
        <v>176</v>
      </c>
      <c r="C10" s="6" t="s">
        <v>177</v>
      </c>
    </row>
    <row r="11" spans="1:3">
      <c r="A11" s="6" t="s">
        <v>178</v>
      </c>
      <c r="B11" s="7" t="s">
        <v>179</v>
      </c>
      <c r="C11" s="6" t="s">
        <v>180</v>
      </c>
    </row>
    <row r="12" spans="1:3">
      <c r="A12" s="6" t="s">
        <v>181</v>
      </c>
      <c r="B12" s="6" t="s">
        <v>182</v>
      </c>
      <c r="C12" s="6" t="s">
        <v>183</v>
      </c>
    </row>
    <row r="13" spans="1:3">
      <c r="A13" s="6" t="s">
        <v>184</v>
      </c>
      <c r="B13" s="6" t="s">
        <v>185</v>
      </c>
      <c r="C13" s="6" t="s">
        <v>186</v>
      </c>
    </row>
    <row r="14" spans="1:3" ht="39.6">
      <c r="A14" s="6" t="s">
        <v>187</v>
      </c>
      <c r="B14" s="8" t="s">
        <v>188</v>
      </c>
      <c r="C14" s="6" t="s">
        <v>189</v>
      </c>
    </row>
    <row r="15" spans="1:3" ht="171.6">
      <c r="A15" s="6" t="s">
        <v>190</v>
      </c>
      <c r="B15" s="8" t="s">
        <v>2</v>
      </c>
      <c r="C15" s="6" t="s">
        <v>3</v>
      </c>
    </row>
    <row r="16" spans="1:3" ht="171.6">
      <c r="A16" s="6" t="s">
        <v>4</v>
      </c>
      <c r="B16" s="8" t="s">
        <v>5</v>
      </c>
      <c r="C16" s="6" t="s">
        <v>6</v>
      </c>
    </row>
    <row r="17" spans="1:3">
      <c r="A17" s="6" t="s">
        <v>7</v>
      </c>
      <c r="B17" s="8" t="s">
        <v>8</v>
      </c>
      <c r="C17" s="8" t="s">
        <v>8</v>
      </c>
    </row>
  </sheetData>
  <sheetProtection password="CB27" sheet="1" objects="1" scenarios="1"/>
  <phoneticPr fontId="6"/>
  <pageMargins left="0.75" right="0.75" top="1" bottom="1" header="0.51200000000000001" footer="0.51200000000000001"/>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AD37"/>
  <sheetViews>
    <sheetView showGridLines="0" workbookViewId="0"/>
  </sheetViews>
  <sheetFormatPr defaultColWidth="8" defaultRowHeight="12"/>
  <cols>
    <col min="1" max="1" width="3.33203125" style="9" customWidth="1"/>
    <col min="2" max="2" width="24.109375" style="11" customWidth="1"/>
    <col min="3" max="3" width="79.44140625" style="9" customWidth="1"/>
    <col min="4" max="4" width="3.109375" style="9" customWidth="1"/>
    <col min="5" max="16384" width="8" style="9"/>
  </cols>
  <sheetData>
    <row r="2" spans="2:30" ht="21">
      <c r="B2" s="10" t="s">
        <v>9</v>
      </c>
    </row>
    <row r="3" spans="2:30" ht="12.6" thickBot="1"/>
    <row r="4" spans="2:30" ht="21.75" customHeight="1">
      <c r="B4" s="12" t="s">
        <v>10</v>
      </c>
      <c r="C4" s="13" t="s">
        <v>11</v>
      </c>
    </row>
    <row r="5" spans="2:30" ht="16.2">
      <c r="B5" s="14"/>
      <c r="C5" s="15"/>
    </row>
    <row r="6" spans="2:30" ht="15" customHeight="1">
      <c r="B6" s="16" t="s">
        <v>12</v>
      </c>
      <c r="C6" s="17">
        <v>1234567890</v>
      </c>
      <c r="E6" s="18"/>
    </row>
    <row r="7" spans="2:30" ht="15" customHeight="1">
      <c r="B7" s="19"/>
      <c r="C7" s="20"/>
    </row>
    <row r="8" spans="2:30" ht="15" customHeight="1">
      <c r="B8" s="16"/>
      <c r="C8" s="21"/>
    </row>
    <row r="9" spans="2:30" ht="15" customHeight="1">
      <c r="B9" s="16" t="s">
        <v>13</v>
      </c>
      <c r="C9" s="17" t="s">
        <v>14</v>
      </c>
    </row>
    <row r="10" spans="2:30" ht="15" customHeight="1">
      <c r="B10" s="19"/>
      <c r="C10" s="20"/>
    </row>
    <row r="11" spans="2:30" ht="15" customHeight="1">
      <c r="B11" s="22"/>
      <c r="C11" s="23"/>
    </row>
    <row r="12" spans="2:30" ht="15" customHeight="1">
      <c r="B12" s="16" t="s">
        <v>15</v>
      </c>
      <c r="C12" s="17" t="s">
        <v>111</v>
      </c>
    </row>
    <row r="13" spans="2:30" ht="15" customHeight="1">
      <c r="B13" s="24"/>
      <c r="C13" s="25"/>
    </row>
    <row r="14" spans="2:30">
      <c r="B14" s="26"/>
      <c r="C14" s="27"/>
    </row>
    <row r="15" spans="2:30" ht="19.2">
      <c r="B15" s="16" t="s">
        <v>16</v>
      </c>
      <c r="C15" s="28" t="s">
        <v>112</v>
      </c>
      <c r="E15" s="29"/>
      <c r="F15" s="29"/>
      <c r="G15" s="29"/>
      <c r="H15" s="29"/>
      <c r="I15" s="30"/>
      <c r="J15" s="30" t="s">
        <v>17</v>
      </c>
      <c r="K15" s="30"/>
      <c r="L15" s="30"/>
      <c r="M15" s="30"/>
      <c r="N15" s="29"/>
      <c r="O15" s="30"/>
      <c r="P15" s="31"/>
      <c r="Q15" s="31"/>
      <c r="R15" s="31"/>
      <c r="S15" s="32"/>
      <c r="T15" s="32"/>
      <c r="U15" s="29"/>
      <c r="V15" s="29"/>
      <c r="W15" s="29"/>
      <c r="X15" s="29"/>
      <c r="Y15" s="29"/>
      <c r="Z15" s="32"/>
      <c r="AA15" s="32">
        <v>47</v>
      </c>
      <c r="AB15" s="32"/>
      <c r="AC15" s="32"/>
      <c r="AD15" s="29"/>
    </row>
    <row r="16" spans="2:30">
      <c r="B16" s="24"/>
      <c r="C16" s="25"/>
      <c r="E16" s="29"/>
      <c r="F16" s="29"/>
      <c r="G16" s="29"/>
      <c r="H16" s="29"/>
      <c r="I16" s="30"/>
      <c r="J16" s="30" t="s">
        <v>18</v>
      </c>
      <c r="K16" s="30"/>
      <c r="L16" s="30"/>
      <c r="M16" s="30"/>
      <c r="N16" s="29"/>
      <c r="O16" s="30"/>
      <c r="P16" s="31"/>
      <c r="Q16" s="31"/>
      <c r="R16" s="31"/>
      <c r="S16" s="32"/>
      <c r="T16" s="32"/>
      <c r="U16" s="29"/>
      <c r="V16" s="29"/>
      <c r="W16" s="29"/>
      <c r="X16" s="29"/>
      <c r="Y16" s="29"/>
      <c r="Z16" s="32"/>
      <c r="AA16" s="32">
        <v>6</v>
      </c>
      <c r="AB16" s="32"/>
      <c r="AC16" s="32"/>
      <c r="AD16" s="29"/>
    </row>
    <row r="17" spans="2:30">
      <c r="B17" s="26"/>
      <c r="C17" s="27"/>
      <c r="E17" s="29"/>
      <c r="F17" s="29"/>
      <c r="G17" s="29"/>
      <c r="H17" s="29"/>
      <c r="I17" s="30"/>
      <c r="J17" s="30"/>
      <c r="K17" s="30"/>
      <c r="L17" s="30"/>
      <c r="M17" s="30"/>
      <c r="N17" s="29"/>
      <c r="O17" s="30"/>
      <c r="P17" s="31"/>
      <c r="Q17" s="31"/>
      <c r="R17" s="31"/>
      <c r="S17" s="32"/>
      <c r="T17" s="32"/>
      <c r="U17" s="29"/>
      <c r="V17" s="29"/>
      <c r="W17" s="29"/>
      <c r="X17" s="29"/>
      <c r="Y17" s="29"/>
      <c r="Z17" s="29"/>
      <c r="AA17" s="32"/>
      <c r="AB17" s="29"/>
      <c r="AC17" s="29"/>
      <c r="AD17" s="29"/>
    </row>
    <row r="18" spans="2:30" ht="16.2">
      <c r="B18" s="16" t="s">
        <v>19</v>
      </c>
      <c r="C18" s="27" t="s">
        <v>20</v>
      </c>
      <c r="E18" s="29"/>
      <c r="F18" s="29"/>
      <c r="G18" s="29"/>
      <c r="H18" s="29"/>
      <c r="I18" s="30"/>
      <c r="J18" s="30"/>
      <c r="K18" s="30"/>
      <c r="L18" s="30"/>
      <c r="M18" s="30"/>
      <c r="N18" s="29"/>
      <c r="O18" s="30"/>
      <c r="P18" s="31"/>
      <c r="Q18" s="31"/>
      <c r="R18" s="31"/>
      <c r="S18" s="32"/>
      <c r="T18" s="32"/>
      <c r="U18" s="29"/>
      <c r="V18" s="29"/>
      <c r="W18" s="29"/>
      <c r="X18" s="29"/>
      <c r="Y18" s="29"/>
      <c r="Z18" s="29"/>
      <c r="AA18" s="32"/>
      <c r="AB18" s="29"/>
      <c r="AC18" s="29"/>
      <c r="AD18" s="29"/>
    </row>
    <row r="19" spans="2:30" ht="12.6" thickBot="1">
      <c r="B19" s="33"/>
      <c r="C19" s="34"/>
      <c r="P19" s="35"/>
      <c r="Q19" s="35"/>
      <c r="R19" s="35"/>
      <c r="S19" s="35"/>
      <c r="T19" s="35"/>
    </row>
    <row r="20" spans="2:30">
      <c r="P20" s="35"/>
      <c r="Q20" s="35"/>
      <c r="R20" s="35"/>
      <c r="S20" s="35"/>
      <c r="T20" s="35"/>
    </row>
    <row r="21" spans="2:30" ht="14.4">
      <c r="B21" s="36"/>
      <c r="P21" s="35"/>
      <c r="Q21" s="35"/>
      <c r="R21" s="35"/>
      <c r="S21" s="35"/>
      <c r="T21" s="35"/>
    </row>
    <row r="22" spans="2:30">
      <c r="P22" s="35"/>
      <c r="Q22" s="35"/>
      <c r="R22" s="35"/>
      <c r="S22" s="35"/>
      <c r="T22" s="35"/>
    </row>
    <row r="23" spans="2:30">
      <c r="P23" s="35"/>
      <c r="Q23" s="35"/>
      <c r="R23" s="35"/>
      <c r="S23" s="35"/>
      <c r="T23" s="35"/>
    </row>
    <row r="24" spans="2:30">
      <c r="P24" s="35"/>
      <c r="Q24" s="35"/>
      <c r="R24" s="35"/>
      <c r="S24" s="35"/>
      <c r="T24" s="35"/>
    </row>
    <row r="25" spans="2:30">
      <c r="P25" s="35"/>
      <c r="Q25" s="35"/>
      <c r="R25" s="35"/>
      <c r="S25" s="35"/>
      <c r="T25" s="35"/>
    </row>
    <row r="26" spans="2:30">
      <c r="P26" s="35"/>
      <c r="Q26" s="35"/>
      <c r="R26" s="35"/>
      <c r="S26" s="35"/>
      <c r="T26" s="35"/>
    </row>
    <row r="27" spans="2:30">
      <c r="P27" s="35"/>
      <c r="Q27" s="35"/>
      <c r="R27" s="35"/>
      <c r="S27" s="35"/>
      <c r="T27" s="35"/>
    </row>
    <row r="28" spans="2:30">
      <c r="P28" s="35"/>
      <c r="Q28" s="35"/>
      <c r="R28" s="35"/>
      <c r="S28" s="35"/>
      <c r="T28" s="35"/>
    </row>
    <row r="29" spans="2:30">
      <c r="P29" s="35"/>
      <c r="Q29" s="35"/>
      <c r="R29" s="35"/>
      <c r="S29" s="35"/>
      <c r="T29" s="35"/>
    </row>
    <row r="30" spans="2:30">
      <c r="P30" s="35"/>
      <c r="Q30" s="35"/>
      <c r="R30" s="35"/>
      <c r="S30" s="35"/>
      <c r="T30" s="35"/>
    </row>
    <row r="31" spans="2:30">
      <c r="P31" s="35"/>
      <c r="Q31" s="35"/>
      <c r="R31" s="35"/>
      <c r="S31" s="35"/>
      <c r="T31" s="35"/>
    </row>
    <row r="32" spans="2:30">
      <c r="P32" s="35"/>
      <c r="Q32" s="35"/>
      <c r="R32" s="35"/>
      <c r="S32" s="35"/>
      <c r="T32" s="35"/>
    </row>
    <row r="33" spans="16:20">
      <c r="P33" s="35"/>
      <c r="Q33" s="35"/>
      <c r="R33" s="35"/>
      <c r="S33" s="35"/>
      <c r="T33" s="35"/>
    </row>
    <row r="34" spans="16:20">
      <c r="P34" s="35"/>
      <c r="Q34" s="35"/>
      <c r="R34" s="35"/>
      <c r="S34" s="35"/>
      <c r="T34" s="35"/>
    </row>
    <row r="35" spans="16:20">
      <c r="P35" s="35"/>
      <c r="Q35" s="35"/>
      <c r="R35" s="35"/>
      <c r="S35" s="35"/>
      <c r="T35" s="35"/>
    </row>
    <row r="36" spans="16:20">
      <c r="P36" s="35"/>
      <c r="Q36" s="35"/>
      <c r="R36" s="35"/>
      <c r="S36" s="35"/>
      <c r="T36" s="35"/>
    </row>
    <row r="37" spans="16:20">
      <c r="P37" s="35"/>
      <c r="Q37" s="35"/>
      <c r="R37" s="35"/>
      <c r="S37" s="35"/>
      <c r="T37" s="35"/>
    </row>
  </sheetData>
  <sheetProtection password="CB27" sheet="1" objects="1" scenarios="1"/>
  <phoneticPr fontId="6"/>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9</vt:i4>
      </vt:variant>
      <vt:variant>
        <vt:lpstr>名前付き一覧</vt:lpstr>
      </vt:variant>
      <vt:variant>
        <vt:i4>1</vt:i4>
      </vt:variant>
    </vt:vector>
  </HeadingPairs>
  <TitlesOfParts>
    <vt:vector size="10" baseType="lpstr">
      <vt:lpstr>サービスコードマスタ（入力シート）</vt:lpstr>
      <vt:lpstr>サービスコードマスタ（入力シート説明）</vt:lpstr>
      <vt:lpstr>（サービスコードマスタ）入力チェックシート</vt:lpstr>
      <vt:lpstr>補足_変換表</vt:lpstr>
      <vt:lpstr>【参考】税金グループ（個別入力）</vt:lpstr>
      <vt:lpstr>【参考】税金グループ（個別入力以外）</vt:lpstr>
      <vt:lpstr>リスト</vt:lpstr>
      <vt:lpstr>禁則文字一覧</vt:lpstr>
      <vt:lpstr>全銀協許容文字</vt:lpstr>
      <vt:lpstr>税金グループ</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Plum PlumX</cp:lastModifiedBy>
  <cp:lastPrinted>2007-12-18T07:40:36Z</cp:lastPrinted>
  <dcterms:created xsi:type="dcterms:W3CDTF">2007-05-10T09:24:11Z</dcterms:created>
  <dcterms:modified xsi:type="dcterms:W3CDTF">2026-04-05T09:13:20Z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bb4fa5d-3ac5-4415-967c-34900a0e1c6f_Enabled">
    <vt:lpwstr>True</vt:lpwstr>
  </property>
  <property fmtid="{D5CDD505-2E9C-101B-9397-08002B2CF9AE}" pid="3" name="MSIP_Label_dbb4fa5d-3ac5-4415-967c-34900a0e1c6f_SiteId">
    <vt:lpwstr>a629ef32-67ba-47a6-8eb3-ec43935644fc</vt:lpwstr>
  </property>
  <property fmtid="{D5CDD505-2E9C-101B-9397-08002B2CF9AE}" pid="4" name="MSIP_Label_dbb4fa5d-3ac5-4415-967c-34900a0e1c6f_Owner">
    <vt:lpwstr>0803133@coe.ntt.com</vt:lpwstr>
  </property>
  <property fmtid="{D5CDD505-2E9C-101B-9397-08002B2CF9AE}" pid="5" name="MSIP_Label_dbb4fa5d-3ac5-4415-967c-34900a0e1c6f_SetDate">
    <vt:lpwstr>2021-10-26T04:38:33.0036457Z</vt:lpwstr>
  </property>
  <property fmtid="{D5CDD505-2E9C-101B-9397-08002B2CF9AE}" pid="6" name="MSIP_Label_dbb4fa5d-3ac5-4415-967c-34900a0e1c6f_Name">
    <vt:lpwstr>機密性0</vt:lpwstr>
  </property>
  <property fmtid="{D5CDD505-2E9C-101B-9397-08002B2CF9AE}" pid="7" name="MSIP_Label_dbb4fa5d-3ac5-4415-967c-34900a0e1c6f_Application">
    <vt:lpwstr>Microsoft Azure Information Protection</vt:lpwstr>
  </property>
  <property fmtid="{D5CDD505-2E9C-101B-9397-08002B2CF9AE}" pid="8" name="MSIP_Label_dbb4fa5d-3ac5-4415-967c-34900a0e1c6f_ActionId">
    <vt:lpwstr>b2c52ffa-b5c0-4363-8d5a-8db8f26d631f</vt:lpwstr>
  </property>
  <property fmtid="{D5CDD505-2E9C-101B-9397-08002B2CF9AE}" pid="9" name="MSIP_Label_dbb4fa5d-3ac5-4415-967c-34900a0e1c6f_Extended_MSFT_Method">
    <vt:lpwstr>Manual</vt:lpwstr>
  </property>
</Properties>
</file>